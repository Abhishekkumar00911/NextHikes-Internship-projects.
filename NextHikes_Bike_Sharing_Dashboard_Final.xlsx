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Dashboard" sheetId="1" state="visible" r:id="rId2"/>
    <sheet name="Dataset_1_Raw" sheetId="2" state="visible" r:id="rId3"/>
    <sheet name="Dataset_2_Raw" sheetId="3" state="visible" r:id="rId4"/>
    <sheet name="Dataset_3_Raw" sheetId="4" state="visible" r:id="rId5"/>
    <sheet name="Lookups_Metadata" sheetId="5" state="visible" r:id="rId6"/>
    <sheet name="Master_Cleaned_Data" sheetId="6" state="visible" r:id="rId7"/>
    <sheet name="Statistical_Analysis" sheetId="7" state="visible" r:id="rId8"/>
    <sheet name="Pivot_Summaries" sheetId="8" state="visible" r:id="rId9"/>
    <sheet name="AI_Forecasting_Anomalies" sheetId="9" state="visible" r:id="rId10"/>
    <sheet name="VBA_Code_Documentation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  <ext xmlns:x14="http://schemas.microsoft.com/office/spreadsheetml/2009/9/main" uri="{2F2919EE-6E15-4DFD-9B5E-C79CDB243A4D}">
      <x14:slicerCaches>
        <x14:slicerCache r:id="rId13"/>
      </x14:slicerCaches>
    </ext>
  </extLst>
</workbook>
</file>

<file path=xl/sharedStrings.xml><?xml version="1.0" encoding="utf-8"?>
<sst xmlns="http://schemas.openxmlformats.org/spreadsheetml/2006/main" count="2816" uniqueCount="449">
  <si>
    <t xml:space="preserve">NEXTHIKES IT SOLUTIONS | BIKE SHARING DEMAND EXECUTIVE DASHBOARD</t>
  </si>
  <si>
    <t xml:space="preserve">Operational Business Intelligence, Fleet Rebalancing &amp; AI Forecasting | Submitted by Ritesh Saroj</t>
  </si>
  <si>
    <t xml:space="preserve">TOTAL BIKE RENTALS</t>
  </si>
  <si>
    <t xml:space="preserve">REGISTERED COMMUTERS</t>
  </si>
  <si>
    <t xml:space="preserve">CASUAL LEISURE RIDERS</t>
  </si>
  <si>
    <t xml:space="preserve">AVERAGE HOURLY DEMAND</t>
  </si>
  <si>
    <t xml:space="preserve">PEAK RECORDED DEMAND</t>
  </si>
  <si>
    <t xml:space="preserve">PEAK COMMUTE SURGE</t>
  </si>
  <si>
    <t xml:space="preserve">THERMAL DEMAND LIFT</t>
  </si>
  <si>
    <t xml:space="preserve">Total Demand (1,000 Hours)</t>
  </si>
  <si>
    <t xml:space="preserve">91.6% of Total Ridership</t>
  </si>
  <si>
    <t xml:space="preserve">8.4% Pay-Per-Ride</t>
  </si>
  <si>
    <t xml:space="preserve">±51.0 Rides/Hr Volatility</t>
  </si>
  <si>
    <t xml:space="preserve">Record: Thu 17:00 (Inst #440)</t>
  </si>
  <si>
    <t xml:space="preserve">Rush Hours (07-09 &amp; 17-19)</t>
  </si>
  <si>
    <t xml:space="preserve">Hot (86) vs Cold (51) Lift</t>
  </si>
  <si>
    <t xml:space="preserve">Operational Demand Heatmap: Hour of Day vs Day of Week (Rides / Hr)</t>
  </si>
  <si>
    <t xml:space="preserve">Weather Severity Impact Analysis</t>
  </si>
  <si>
    <t xml:space="preserve">Hour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</si>
  <si>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</si>
  <si>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</si>
  <si>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</si>
  <si>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</si>
  <si>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</si>
  <si>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</si>
  <si>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</si>
  <si>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24-Hr Avg</t>
  </si>
  <si>
    <t xml:space="preserve">Weather Category</t>
  </si>
  <si>
    <t xml:space="preserve">Hours</t>
  </si>
  <si>
    <t xml:space="preserve">Average Demand</t>
  </si>
  <si>
    <t xml:space="preserve">Volume Impact</t>
  </si>
  <si>
    <t xml:space="preserve">00:00</t>
  </si>
  <si>
    <t xml:space="preserve">Clear / Few Clouds</t>
  </si>
  <si>
    <t xml:space="preserve">01:00</t>
  </si>
  <si>
    <t xml:space="preserve">Mist / Cloudy</t>
  </si>
  <si>
    <t xml:space="preserve">02:00</t>
  </si>
  <si>
    <t xml:space="preserve">Light Snow / Rain</t>
  </si>
  <si>
    <t xml:space="preserve">03:00</t>
  </si>
  <si>
    <t xml:space="preserve">Heavy Rain / Ice</t>
  </si>
  <si>
    <t xml:space="preserve">04:00</t>
  </si>
  <si>
    <t xml:space="preserve">Total Network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</si>
  <si>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</si>
  <si>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</si>
  <si>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</si>
  <si>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</si>
  <si>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</si>
  <si>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</si>
  <si>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</si>
  <si>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</si>
  <si>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</si>
  <si>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</si>
  <si>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</si>
  <si>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</si>
  <si>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</si>
  <si>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</si>
  <si>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</si>
  <si>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</si>
  <si>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</si>
  <si>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</si>
  <si>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</si>
  <si>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</si>
  <si>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Day Average</t>
  </si>
  <si>
    <t xml:space="preserve">INTERACTIVE SLICERS &amp; OPERATIONAL FILTER CONTROLS (EXCEL BI SUITE)</t>
  </si>
  <si>
    <t xml:space="preserve">• Slicer 1: [Day Type Filter] - Connected to Final_Data_Set / Master table. Allows 1-click toggling between Weekday, Weekend, and Holiday to analyze commuter vs recreational demand patterns.</t>
  </si>
  <si>
    <t xml:space="preserve">• Slicer 2: [Weather Situation Filter] - Filters between Clear, Mist, Rain/Snow, and Heavy Storms to evaluate fleet weather vulnerability and rain-penalty thresholds.</t>
  </si>
  <si>
    <t xml:space="preserve">• Slicer 3: [Month Filter] - Filters between January and February to analyze seasonal expansion, weekly compounding ridership growth (+38.6%), and operational scaling.</t>
  </si>
  <si>
    <t xml:space="preserve">• Operational Tip: In Excel, click on any Pivot Table or the Master Data table and choose Insert &gt; Slicer to activate dynamic floating visual buttons.</t>
  </si>
  <si>
    <t xml:space="preserve">instant</t>
  </si>
  <si>
    <t xml:space="preserve">dteday</t>
  </si>
  <si>
    <t xml:space="preserve">season</t>
  </si>
  <si>
    <t xml:space="preserve">yr</t>
  </si>
  <si>
    <t xml:space="preserve">mnth</t>
  </si>
  <si>
    <t xml:space="preserve">hr</t>
  </si>
  <si>
    <t xml:space="preserve">holiday</t>
  </si>
  <si>
    <t xml:space="preserve">weekday</t>
  </si>
  <si>
    <t xml:space="preserve">weathersit</t>
  </si>
  <si>
    <t xml:space="preserve">temp</t>
  </si>
  <si>
    <t xml:space="preserve">2011-01-01</t>
  </si>
  <si>
    <t xml:space="preserve">2011-01-02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</si>
  <si>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</si>
  <si>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</si>
  <si>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</si>
  <si>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</si>
  <si>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</si>
  <si>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2011-01-08</t>
  </si>
  <si>
    <t xml:space="preserve">2011-01-09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</si>
  <si>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</si>
  <si>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</si>
  <si>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</si>
  <si>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</si>
  <si>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</si>
  <si>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2011-01-15</t>
  </si>
  <si>
    <t xml:space="preserve">2011-01-16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</si>
  <si>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</si>
  <si>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</si>
  <si>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</si>
  <si>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</si>
  <si>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</si>
  <si>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2011-01-22</t>
  </si>
  <si>
    <t xml:space="preserve">2011-01-23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</si>
  <si>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</si>
  <si>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</si>
  <si>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</si>
  <si>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</si>
  <si>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</si>
  <si>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Unnamed: 0</t>
  </si>
  <si>
    <t xml:space="preserve">atemp</t>
  </si>
  <si>
    <t xml:space="preserve">hum</t>
  </si>
  <si>
    <t xml:space="preserve">windspeed</t>
  </si>
  <si>
    <t xml:space="preserve">casual</t>
  </si>
  <si>
    <t xml:space="preserve">registered</t>
  </si>
  <si>
    <t xml:space="preserve">cnt</t>
  </si>
  <si>
    <t xml:space="preserve">2011-01-29</t>
  </si>
  <si>
    <t xml:space="preserve">2011-01-30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</si>
  <si>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</si>
  <si>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</si>
  <si>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</si>
  <si>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</si>
  <si>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</si>
  <si>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2011-02-05</t>
  </si>
  <si>
    <t xml:space="preserve">2011-02-06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</si>
  <si>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</si>
  <si>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</si>
  <si>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</si>
  <si>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</si>
  <si>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</si>
  <si>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</si>
  <si>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2011-02-13</t>
  </si>
  <si>
    <t xml:space="preserve">2011-02-14</t>
  </si>
  <si>
    <t xml:space="preserve">NEXTHIKES IT SOLUTIONS | SYSTEM LOOKUP TABLES &amp; DATA DICTIONARY</t>
  </si>
  <si>
    <t xml:space="preserve">Season Code</t>
  </si>
  <si>
    <t xml:space="preserve">Season Name</t>
  </si>
  <si>
    <t xml:space="preserve">Weekday Code</t>
  </si>
  <si>
    <t xml:space="preserve">Weekday Name</t>
  </si>
  <si>
    <t xml:space="preserve">Weather Code</t>
  </si>
  <si>
    <t xml:space="preserve">Weather Description</t>
  </si>
  <si>
    <t xml:space="preserve">Demand Level</t>
  </si>
  <si>
    <t xml:space="preserve">Threshold Rule</t>
  </si>
  <si>
    <t xml:space="preserve">Spring</t>
  </si>
  <si>
    <t xml:space="preserve">Low Demand</t>
  </si>
  <si>
    <t xml:space="preserve">&lt; 50 rides/hr</t>
  </si>
  <si>
    <t xml:space="preserve">Summer</t>
  </si>
  <si>
    <t xml:space="preserve">Moderate Demand</t>
  </si>
  <si>
    <t xml:space="preserve">50 to 149 rides/hr</t>
  </si>
  <si>
    <t xml:space="preserve">Fall</t>
  </si>
  <si>
    <t xml:space="preserve">Light Snow / Light Rain</t>
  </si>
  <si>
    <t xml:space="preserve">High Demand</t>
  </si>
  <si>
    <t xml:space="preserve">&gt;= 150 rides/hr</t>
  </si>
  <si>
    <t xml:space="preserve">Winter</t>
  </si>
  <si>
    <t xml:space="preserve">Heavy Rain / Ice Pellets</t>
  </si>
  <si>
    <t xml:space="preserve">Peak Commute</t>
  </si>
  <si>
    <t xml:space="preserve">Weekdays 07:00-09:00 &amp; 17:00-19:00</t>
  </si>
  <si>
    <t xml:space="preserve">DATA DICTIONARY &amp; FIELD SPECIFICATIONS</t>
  </si>
  <si>
    <t xml:space="preserve">Field Name</t>
  </si>
  <si>
    <t xml:space="preserve">Source Tab</t>
  </si>
  <si>
    <t xml:space="preserve">Type</t>
  </si>
  <si>
    <t xml:space="preserve">Excel Transformation / Formula Logic</t>
  </si>
  <si>
    <t xml:space="preserve">Business Definition &amp; Analytic Utility</t>
  </si>
  <si>
    <t xml:space="preserve">Dataset 1 &amp; 3</t>
  </si>
  <si>
    <t xml:space="preserve">Integer</t>
  </si>
  <si>
    <t xml:space="preserve">Primary Key identifier (1 to 1000)</t>
  </si>
  <si>
    <t xml:space="preserve">Sequential record number tracking chronological hourly progression.</t>
  </si>
  <si>
    <t xml:space="preserve">Date</t>
  </si>
  <si>
    <t xml:space="preserve">Format YYYY-MM-DD</t>
  </si>
  <si>
    <t xml:space="preserve">Observation date spanning 2011-01-01 through 2011-02-14.</t>
  </si>
  <si>
    <t xml:space="preserve">1=Spring, 2=Summer, 3=Fall, 4=Winter</t>
  </si>
  <si>
    <t xml:space="preserve">Seasonal indicator (all rows in Winter/Spring code 1).</t>
  </si>
  <si>
    <t xml:space="preserve">Season_Name</t>
  </si>
  <si>
    <t xml:space="preserve">Derived</t>
  </si>
  <si>
    <t xml:space="preserve">Text</t>
  </si>
  <si>
    <t xml:space="preserve">VLOOKUP(C5, Lookups_Metadata!$A$4:$B$7, 2, FALSE)</t>
  </si>
  <si>
    <t xml:space="preserve">Decoded textual name of season.</t>
  </si>
  <si>
    <t xml:space="preserve">0=2011, 1=2012</t>
  </si>
  <si>
    <t xml:space="preserve">Year indicator code.</t>
  </si>
  <si>
    <t xml:space="preserve">1 to 12</t>
  </si>
  <si>
    <t xml:space="preserve">Calendar month of observation (1=January, 2=February).</t>
  </si>
  <si>
    <t xml:space="preserve">0 to 23</t>
  </si>
  <si>
    <t xml:space="preserve">Hour of day in 24-hour wall-clock notation.</t>
  </si>
  <si>
    <t xml:space="preserve">Boolean</t>
  </si>
  <si>
    <t xml:space="preserve">TRUE / FALSE</t>
  </si>
  <si>
    <t xml:space="preserve">Whether the day was an official public holiday (e.g. MLK Day).</t>
  </si>
  <si>
    <t xml:space="preserve">0=Sunday to 6=Saturday</t>
  </si>
  <si>
    <t xml:space="preserve">Day-of-week index.</t>
  </si>
  <si>
    <t xml:space="preserve">Weekday_Name</t>
  </si>
  <si>
    <t xml:space="preserve">INDEX(Lookups_Metadata!$E$4:$E$10, MATCH(I5, Lookups_Metadata!$D$4:$D$10, 0))</t>
  </si>
  <si>
    <t xml:space="preserve">Decoded human-readable weekday name via INDEX-MATCH.</t>
  </si>
  <si>
    <t xml:space="preserve">Day_Type</t>
  </si>
  <si>
    <t xml:space="preserve">IF(H5=TRUE, "Holiday", IF(OR(I5=0, I5=6), "Weekend", "Weekday"))</t>
  </si>
  <si>
    <t xml:space="preserve">Operational categorization: Weekday, Weekend, or Holiday.</t>
  </si>
  <si>
    <t xml:space="preserve">Rush_Hour</t>
  </si>
  <si>
    <t xml:space="preserve">IF(AND(K5="Weekday", OR(AND(G5&gt;=7,G5&lt;=9), AND(G5&gt;=17,G5&lt;=19))), "Peak Commute", "Off-Peak")</t>
  </si>
  <si>
    <t xml:space="preserve">Flags high-volume commuter time bands.</t>
  </si>
  <si>
    <t xml:space="preserve">1 to 4</t>
  </si>
  <si>
    <t xml:space="preserve">Categorical meteorological condition severity code.</t>
  </si>
  <si>
    <t xml:space="preserve">Weather_Desc</t>
  </si>
  <si>
    <t xml:space="preserve">VLOOKUP(M5, Lookups_Metadata!$G$4:$H$7, 2, FALSE)</t>
  </si>
  <si>
    <t xml:space="preserve">Decoded weather situation description.</t>
  </si>
  <si>
    <t xml:space="preserve">Decimal</t>
  </si>
  <si>
    <t xml:space="preserve">Normalized Celsius: t/41</t>
  </si>
  <si>
    <t xml:space="preserve">Normalized actual ambient temperature (min 0.02, max 0.46).</t>
  </si>
  <si>
    <t xml:space="preserve">atemp_raw</t>
  </si>
  <si>
    <t xml:space="preserve">Dataset 2 &amp; 3</t>
  </si>
  <si>
    <t xml:space="preserve">VLOOKUP(A5, Dataset_2_Raw!$B$2:$C$611, 2, FALSE)</t>
  </si>
  <si>
    <t xml:space="preserve">Original feeling temperature; contains 11 missing values in Dataset 2.</t>
  </si>
  <si>
    <t xml:space="preserve">atemp_cleaned</t>
  </si>
  <si>
    <t xml:space="preserve">Engineered</t>
  </si>
  <si>
    <t xml:space="preserve">IF(OR(P5="", ISBLANK(P5)), ROUND(0.9367*O5+0.0175, 4), P5)</t>
  </si>
  <si>
    <t xml:space="preserve">Cleaned temperature feeling index with regression/interpolation imputation.</t>
  </si>
  <si>
    <t xml:space="preserve">Imputation_Flag</t>
  </si>
  <si>
    <t xml:space="preserve">IF(OR(P5="", ISBLANK(P5)), "Imputed (Regression/Trend)", "Original")</t>
  </si>
  <si>
    <t xml:space="preserve">Audit tracking flag ensuring data governance compliance.</t>
  </si>
  <si>
    <t xml:space="preserve">Normalized humidity: h/100</t>
  </si>
  <si>
    <t xml:space="preserve">Normalized relative humidity measurement (0 to 1).</t>
  </si>
  <si>
    <t xml:space="preserve">Normalized windspeed: w/67</t>
  </si>
  <si>
    <t xml:space="preserve">Normalized wind velocity scale (0 to 1).</t>
  </si>
  <si>
    <t xml:space="preserve">Rider Count</t>
  </si>
  <si>
    <t xml:space="preserve">Number of non-registered, pay-per-trip casual riders.</t>
  </si>
  <si>
    <t xml:space="preserve">Number of subscribed annual/monthly registered commuters.</t>
  </si>
  <si>
    <t xml:space="preserve">Formula: U5+V5</t>
  </si>
  <si>
    <t xml:space="preserve">Total bike sharing rental demand count for the hour.</t>
  </si>
  <si>
    <t xml:space="preserve">Casual_Share</t>
  </si>
  <si>
    <t xml:space="preserve">Percentage</t>
  </si>
  <si>
    <t xml:space="preserve">Formula: U5/W5</t>
  </si>
  <si>
    <t xml:space="preserve">Percentage contribution of casual users to total demand.</t>
  </si>
  <si>
    <t xml:space="preserve">Registered_Share</t>
  </si>
  <si>
    <t xml:space="preserve">Formula: V5/W5</t>
  </si>
  <si>
    <t xml:space="preserve">Percentage contribution of registered users to total demand.</t>
  </si>
  <si>
    <t xml:space="preserve">Demand_Level</t>
  </si>
  <si>
    <t xml:space="preserve">IF(W5&gt;=150, "High Demand", IF(W5&gt;=50, "Moderate Demand", "Low Demand"))</t>
  </si>
  <si>
    <t xml:space="preserve">Classification tier for operational resource allocation.</t>
  </si>
  <si>
    <t xml:space="preserve">Hour_Format</t>
  </si>
  <si>
    <t xml:space="preserve">TEXT(G5, "00") &amp; ":00"</t>
  </si>
  <si>
    <t xml:space="preserve">Formatted 2-digit hour label for charting and display.</t>
  </si>
  <si>
    <t xml:space="preserve">Date_Year</t>
  </si>
  <si>
    <t xml:space="preserve">YEAR(B5)</t>
  </si>
  <si>
    <t xml:space="preserve">Extracted calendar year.</t>
  </si>
  <si>
    <t xml:space="preserve">Date_Month_Text</t>
  </si>
  <si>
    <t xml:space="preserve">TEXT(B5, "mmmm")</t>
  </si>
  <si>
    <t xml:space="preserve">Full month name (January, February).</t>
  </si>
  <si>
    <t xml:space="preserve">Date_Length</t>
  </si>
  <si>
    <t xml:space="preserve">LEN(TEXT(B5, "YYYY-MM-DD"))</t>
  </si>
  <si>
    <t xml:space="preserve">Character length validation string function (LEN).</t>
  </si>
  <si>
    <t xml:space="preserve">Date_Left_Yr</t>
  </si>
  <si>
    <t xml:space="preserve">LEFT(TEXT(B5, "YYYY-MM-DD"), 4)</t>
  </si>
  <si>
    <t xml:space="preserve">Year string extraction via LEFT text function.</t>
  </si>
  <si>
    <t xml:space="preserve">Date_Right_Day</t>
  </si>
  <si>
    <t xml:space="preserve">RIGHT(TEXT(B5, "YYYY-MM-DD"), 2)</t>
  </si>
  <si>
    <t xml:space="preserve">Day of month extraction via RIGHT text function.</t>
  </si>
  <si>
    <t xml:space="preserve">NEXTHIKES IT SOLUTIONS | MASTER CONSOLIDATED &amp; CLEANED BIKE DEMAND DATASET</t>
  </si>
  <si>
    <t xml:space="preserve">Hourly Records 1 to 1,000 | Merged Keys: instant, dteday, hr | Imputed Feeling Temperature | Dynamic Feature Engineering</t>
  </si>
  <si>
    <t xml:space="preserve">Instant</t>
  </si>
  <si>
    <t xml:space="preserve">Season</t>
  </si>
  <si>
    <t xml:space="preserve">Year</t>
  </si>
  <si>
    <t xml:space="preserve">Month</t>
  </si>
  <si>
    <t xml:space="preserve">Holiday</t>
  </si>
  <si>
    <t xml:space="preserve">Weekday</t>
  </si>
  <si>
    <t xml:space="preserve">Weather_Sit</t>
  </si>
  <si>
    <t xml:space="preserve">Temp_Norm</t>
  </si>
  <si>
    <t xml:space="preserve">Atemp_Raw</t>
  </si>
  <si>
    <t xml:space="preserve">Atemp_Cleaned</t>
  </si>
  <si>
    <t xml:space="preserve">Humidity</t>
  </si>
  <si>
    <t xml:space="preserve">Windspeed</t>
  </si>
  <si>
    <t xml:space="preserve">Casual</t>
  </si>
  <si>
    <t xml:space="preserve">Registered</t>
  </si>
  <si>
    <t xml:space="preserve">Total_Count</t>
  </si>
  <si>
    <t xml:space="preserve">Total Summary</t>
  </si>
  <si>
    <t xml:space="preserve">NEXTHIKES IT SOLUTIONS | STATISTICAL ANALYSIS &amp; CORRELATION ENGINE</t>
  </si>
  <si>
    <t xml:space="preserve">Descriptive Metrics, Correlation Matrix, and Conditional Aggregations (STDEV, CORREL, COUNTIF, SUMIF)</t>
  </si>
  <si>
    <t xml:space="preserve">1. Descriptive Statistics Overview (All 1,000 Hourly Intervals)</t>
  </si>
  <si>
    <t xml:space="preserve">Metric</t>
  </si>
  <si>
    <t xml:space="preserve">Temperature (Norm)</t>
  </si>
  <si>
    <t xml:space="preserve">Feeling Temp (Norm)</t>
  </si>
  <si>
    <t xml:space="preserve">Humidity (Norm)</t>
  </si>
  <si>
    <t xml:space="preserve">Windspeed (Norm)</t>
  </si>
  <si>
    <t xml:space="preserve">Casual Rentals</t>
  </si>
  <si>
    <t xml:space="preserve">Registered Rentals</t>
  </si>
  <si>
    <t xml:space="preserve">Total Demand (cnt)</t>
  </si>
  <si>
    <t xml:space="preserve">Observation Count</t>
  </si>
  <si>
    <t xml:space="preserve">Sum / Total</t>
  </si>
  <si>
    <t xml:space="preserve">Mean / Average</t>
  </si>
  <si>
    <t xml:space="preserve">Median</t>
  </si>
  <si>
    <t xml:space="preserve">Minimum</t>
  </si>
  <si>
    <t xml:space="preserve">Maximum</t>
  </si>
  <si>
    <t xml:space="preserve">Standard Deviation</t>
  </si>
  <si>
    <t xml:space="preserve">Sample Variance</t>
  </si>
  <si>
    <t xml:space="preserve">Skewness</t>
  </si>
  <si>
    <t xml:space="preserve">2. Pearson Correlation Matrix (CORREL Analysis with Total Demand &amp; Factors)</t>
  </si>
  <si>
    <t xml:space="preserve">Factor</t>
  </si>
  <si>
    <t xml:space="preserve">temp (O)</t>
  </si>
  <si>
    <t xml:space="preserve">atemp (Q)</t>
  </si>
  <si>
    <t xml:space="preserve">hum (S)</t>
  </si>
  <si>
    <t xml:space="preserve">windspeed (T)</t>
  </si>
  <si>
    <t xml:space="preserve">casual (U)</t>
  </si>
  <si>
    <t xml:space="preserve">registered (V)</t>
  </si>
  <si>
    <t xml:space="preserve">cnt (W)</t>
  </si>
  <si>
    <t xml:space="preserve">3. Segment Performance Breakdown via Conditional Aggregation Formulas</t>
  </si>
  <si>
    <t xml:space="preserve">Segment / Factor</t>
  </si>
  <si>
    <t xml:space="preserve">Filter Condition</t>
  </si>
  <si>
    <t xml:space="preserve">Hours (COUNTIF)</t>
  </si>
  <si>
    <t xml:space="preserve">Total Rentals (SUMIF)</t>
  </si>
  <si>
    <t xml:space="preserve">Avg Demand/Hr (AVERAGEIF)</t>
  </si>
  <si>
    <t xml:space="preserve">Casual Rentals (SUMIF)</t>
  </si>
  <si>
    <t xml:space="preserve">Registered Rentals (SUMIF)</t>
  </si>
  <si>
    <t xml:space="preserve">Commuter Share %</t>
  </si>
  <si>
    <t xml:space="preserve">Weather 1: Clear / Few Clouds</t>
  </si>
  <si>
    <t xml:space="preserve">weathersit = 1</t>
  </si>
  <si>
    <t xml:space="preserve">Weather 2: Mist / Overcast</t>
  </si>
  <si>
    <t xml:space="preserve">weathersit = 2</t>
  </si>
  <si>
    <t xml:space="preserve">Weather 3: Light Rain / Snow</t>
  </si>
  <si>
    <t xml:space="preserve">weathersit = 3</t>
  </si>
  <si>
    <t xml:space="preserve">Weather 4: Heavy Precipitation</t>
  </si>
  <si>
    <t xml:space="preserve">weathersit = 4</t>
  </si>
  <si>
    <t xml:space="preserve">Weekday Operations</t>
  </si>
  <si>
    <t xml:space="preserve">Day_Type = "Weekday"</t>
  </si>
  <si>
    <t xml:space="preserve">Weekend Leisure</t>
  </si>
  <si>
    <t xml:space="preserve">Day_Type = "Weekend"</t>
  </si>
  <si>
    <t xml:space="preserve">Official Holidays</t>
  </si>
  <si>
    <t xml:space="preserve">holiday = TRUE</t>
  </si>
  <si>
    <t xml:space="preserve">Peak Commute Hours</t>
  </si>
  <si>
    <t xml:space="preserve">Rush_Hour = "Peak Commute"</t>
  </si>
  <si>
    <t xml:space="preserve">Off-Peak Hours</t>
  </si>
  <si>
    <t xml:space="preserve">Rush_Hour = "Off-Peak"</t>
  </si>
  <si>
    <t xml:space="preserve">Month: January 2011</t>
  </si>
  <si>
    <t xml:space="preserve">mnth = 1</t>
  </si>
  <si>
    <t xml:space="preserve">Month: February 2011</t>
  </si>
  <si>
    <t xml:space="preserve">mnth = 2</t>
  </si>
  <si>
    <t xml:space="preserve">NEXTHIKES IT SOLUTIONS | PIVOT ANALYSIS &amp; MULTI-DIMENSIONAL AGGREGATIONS</t>
  </si>
  <si>
    <t xml:space="preserve">Summary Tables by Time of Day, Day of Week, Rider Segmentation, and Temperature Tiers</t>
  </si>
  <si>
    <t xml:space="preserve">Table 1: Hourly Demand Profile &amp; Commuter Rhythm (24-Hour Cycle)</t>
  </si>
  <si>
    <t xml:space="preserve">Hour Code</t>
  </si>
  <si>
    <t xml:space="preserve">Time Slot</t>
  </si>
  <si>
    <t xml:space="preserve">Tracked Hours</t>
  </si>
  <si>
    <t xml:space="preserve">Avg Casual</t>
  </si>
  <si>
    <t xml:space="preserve">Avg Registered</t>
  </si>
  <si>
    <t xml:space="preserve">Avg Total Demand</t>
  </si>
  <si>
    <t xml:space="preserve">Peak Recorded</t>
  </si>
  <si>
    <t xml:space="preserve">Registered Ratio</t>
  </si>
  <si>
    <t xml:space="preserve">24-Hour Cycle Total</t>
  </si>
  <si>
    <t xml:space="preserve">All Hours</t>
  </si>
  <si>
    <t xml:space="preserve">Table 2: Day of Week Rental Distribution &amp; User Dynamics</t>
  </si>
  <si>
    <t xml:space="preserve">Day Code</t>
  </si>
  <si>
    <t xml:space="preserve">Operating Type</t>
  </si>
  <si>
    <t xml:space="preserve">Total Rides</t>
  </si>
  <si>
    <t xml:space="preserve">Hourly Average</t>
  </si>
  <si>
    <t xml:space="preserve">Casual Average</t>
  </si>
  <si>
    <t xml:space="preserve">Registered Average</t>
  </si>
  <si>
    <t xml:space="preserve">Casual Ratio</t>
  </si>
  <si>
    <t xml:space="preserve">Weekend</t>
  </si>
  <si>
    <t xml:space="preserve">Full Week Summary</t>
  </si>
  <si>
    <t xml:space="preserve">All 7 Days</t>
  </si>
  <si>
    <t xml:space="preserve">Table 3: User Segment Breakdown (Registered Commuters vs Casual Riders)</t>
  </si>
  <si>
    <t xml:space="preserve">Segment Code</t>
  </si>
  <si>
    <t xml:space="preserve">User Category</t>
  </si>
  <si>
    <t xml:space="preserve">Total Rides (cnt)</t>
  </si>
  <si>
    <t xml:space="preserve">Ridership Share %</t>
  </si>
  <si>
    <t xml:space="preserve">Avg Demand / Hr</t>
  </si>
  <si>
    <t xml:space="preserve">Primary Peak Window</t>
  </si>
  <si>
    <t xml:space="preserve">REG</t>
  </si>
  <si>
    <t xml:space="preserve">Registered Commuters</t>
  </si>
  <si>
    <t xml:space="preserve">08:00 &amp; 17:00 Rush Hour</t>
  </si>
  <si>
    <t xml:space="preserve">CAS</t>
  </si>
  <si>
    <t xml:space="preserve">Casual Riders</t>
  </si>
  <si>
    <t xml:space="preserve">12:00 to 16:00 Weekend Midday</t>
  </si>
  <si>
    <t xml:space="preserve">TOT</t>
  </si>
  <si>
    <t xml:space="preserve">Total Fleet Demand</t>
  </si>
  <si>
    <t xml:space="preserve">24/7 Full Network</t>
  </si>
  <si>
    <t xml:space="preserve">Table 4: Temperature Band Impact Analysis (Thermal Sensitivity)</t>
  </si>
  <si>
    <t xml:space="preserve">Tier Code</t>
  </si>
  <si>
    <t xml:space="preserve">Temperature Tier</t>
  </si>
  <si>
    <t xml:space="preserve">Normalized Temp Range</t>
  </si>
  <si>
    <t xml:space="preserve">Operating Hours</t>
  </si>
  <si>
    <t xml:space="preserve">Avg Rides / Hr</t>
  </si>
  <si>
    <t xml:space="preserve">Total Volume</t>
  </si>
  <si>
    <t xml:space="preserve">Demand Lift vs Cold</t>
  </si>
  <si>
    <t xml:space="preserve">COLD</t>
  </si>
  <si>
    <t xml:space="preserve">Cold</t>
  </si>
  <si>
    <t xml:space="preserve">&lt;= 0.22 (&lt; 9°C)</t>
  </si>
  <si>
    <t xml:space="preserve">Baseline (0.0%)</t>
  </si>
  <si>
    <t xml:space="preserve">MILD</t>
  </si>
  <si>
    <t xml:space="preserve">Mild</t>
  </si>
  <si>
    <t xml:space="preserve">0.22 to 0.28 (9°C to 12°C)</t>
  </si>
  <si>
    <t xml:space="preserve">HOT</t>
  </si>
  <si>
    <t xml:space="preserve">Hot / Warm</t>
  </si>
  <si>
    <t xml:space="preserve">&gt; 0.28 (&gt; 12°C)</t>
  </si>
  <si>
    <t xml:space="preserve">All Ranges</t>
  </si>
  <si>
    <t xml:space="preserve">NEXTHIKES IT SOLUTIONS | AI-POWERED DEMAND FORECASTING &amp; ANOMALY DETECTION</t>
  </si>
  <si>
    <t xml:space="preserve">Automated Statistical Anomaly Detection (|Z| &gt;= 2.0) and Machine Learning 48-Hour Ahead Demand Projection</t>
  </si>
  <si>
    <t xml:space="preserve">1. AI Anomaly Detection Engine (Outlier Detection via Standardized Residuals)</t>
  </si>
  <si>
    <t xml:space="preserve">Hour Slot</t>
  </si>
  <si>
    <t xml:space="preserve">Weather Sit</t>
  </si>
  <si>
    <t xml:space="preserve">Actual Demand (cnt)</t>
  </si>
  <si>
    <t xml:space="preserve">Hourly Baseline</t>
  </si>
  <si>
    <t xml:space="preserve">Residual (Diff)</t>
  </si>
  <si>
    <t xml:space="preserve">Z-Score</t>
  </si>
  <si>
    <t xml:space="preserve">Anomaly Flag</t>
  </si>
  <si>
    <t xml:space="preserve">Business Context / Driver</t>
  </si>
  <si>
    <t xml:space="preserve">Positive Spike (Demand Surge)</t>
  </si>
  <si>
    <t xml:space="preserve">Unseasonably warm afternoon / High commuter surge</t>
  </si>
  <si>
    <t xml:space="preserve">Severe Deficit (Demand Drop)</t>
  </si>
  <si>
    <t xml:space="preserve">Adverse weather event (precipitation/freezing cold)</t>
  </si>
  <si>
    <t xml:space="preserve">2. 48-Hour Predictive Demand Forecast Horizon (Hours 1001 to 1048)</t>
  </si>
  <si>
    <t xml:space="preserve">Forecast Instant</t>
  </si>
  <si>
    <t xml:space="preserve">Projected Date</t>
  </si>
  <si>
    <t xml:space="preserve">Day of Week</t>
  </si>
  <si>
    <t xml:space="preserve">Base Level</t>
  </si>
  <si>
    <t xml:space="preserve">Seasonal Index</t>
  </si>
  <si>
    <t xml:space="preserve">Weather Adjustment</t>
  </si>
  <si>
    <t xml:space="preserve">Predicted Demand (cnt)</t>
  </si>
  <si>
    <t xml:space="preserve">Lower 95% Bound</t>
  </si>
  <si>
    <t xml:space="preserve">Upper 95% Bound</t>
  </si>
  <si>
    <t xml:space="preserve">Operational Alert</t>
  </si>
  <si>
    <t xml:space="preserve">2011-02-15</t>
  </si>
  <si>
    <t xml:space="preserve">2011-02-16</t>
  </si>
  <si>
    <t xml:space="preserve">NEXTHIKES IT SOLUTIONS | VBA AUTOMATION SUITE &amp; MACRO DOCUMENTATION</t>
  </si>
  <si>
    <t xml:space="preserve">Technical Specifications, Subroutines, and Custom User-Defined Functions (UDFs) | .BAS File Bundled</t>
  </si>
  <si>
    <t xml:space="preserve">Procedure Name</t>
  </si>
  <si>
    <t xml:space="preserve">Target Scope</t>
  </si>
  <si>
    <t xml:space="preserve">Key Algorithmic Concepts</t>
  </si>
  <si>
    <t xml:space="preserve">Business Utility &amp; Operational Deliverable</t>
  </si>
  <si>
    <t xml:space="preserve">AutomatedDataCleaningAndMerge</t>
  </si>
  <si>
    <t xml:space="preserve">Subroutine (Macro)</t>
  </si>
  <si>
    <t xml:space="preserve">Master_Cleaned_Data</t>
  </si>
  <si>
    <t xml:space="preserve">Loops, Dictionary Lookup, Missing Value Imputation</t>
  </si>
  <si>
    <t xml:space="preserve">Integrates raw datasets 1, 2, and 3 via O(1) hash table lookup; automatically imputes 11 missing feeling temperature records using linear regression; formats all fields into an analysis-ready single master table.</t>
  </si>
  <si>
    <t xml:space="preserve">GenerateExecutiveSummary</t>
  </si>
  <si>
    <t xml:space="preserve">Executive_Dashboard</t>
  </si>
  <si>
    <t xml:space="preserve">Dynamic Table Generation, Conditional Formatting</t>
  </si>
  <si>
    <t xml:space="preserve">Automatically generates the Executive Summary KPI block, day-type breakdowns, and weather severity performance tables from current data with zero manual intervention.</t>
  </si>
  <si>
    <t xml:space="preserve">RunAIAnomalyDetection</t>
  </si>
  <si>
    <t xml:space="preserve">AI_Forecasting_Anomalies</t>
  </si>
  <si>
    <t xml:space="preserve">Statistical Modeling, Z-Score Thresholding</t>
  </si>
  <si>
    <t xml:space="preserve">Calculates hourly standardized residuals and flags extreme positive demand surges and weather deficits (|Z| &gt;= 2.0) with automated root-cause diagnostic labeling.</t>
  </si>
  <si>
    <t xml:space="preserve">ClassifyDemandLevel</t>
  </si>
  <si>
    <t xml:space="preserve">Custom Function (UDF)</t>
  </si>
  <si>
    <t xml:space="preserve">Global (Cell Formula)</t>
  </si>
  <si>
    <t xml:space="preserve">Conditional Tier Evaluation</t>
  </si>
  <si>
    <t xml:space="preserve">Usage: ClassifyDemandLevel(cnt) - Classifies any hourly rental volume into 'High Demand' (&gt;=150), 'Moderate Demand' (50-149), or 'Low Demand' (&lt;50).</t>
  </si>
  <si>
    <t xml:space="preserve">PredictHourlyDemand</t>
  </si>
  <si>
    <t xml:space="preserve">Predictive Regression Multiplier</t>
  </si>
  <si>
    <t xml:space="preserve">Usage: PredictHourlyDemand(base, hour, weather) - Computes projected hourly ridership applying calibrated diurnal hour weights and weather penalty discount factors.</t>
  </si>
  <si>
    <t xml:space="preserve">CalculateZScore</t>
  </si>
  <si>
    <t xml:space="preserve">Residual Normalization</t>
  </si>
  <si>
    <t xml:space="preserve">Usage: CalculateZScore(actual, mean, stdev) - Computes exact standardized deviation to identify operational fleet abnormalities in real time.</t>
  </si>
  <si>
    <t xml:space="preserve">HOW TO IMPORT AND RUN VBA SCRIPTS IN MICROSOFT EXCEL:</t>
  </si>
  <si>
    <t xml:space="preserve">1. Open Microsoft Excel and press Alt + F11 to open the Visual Basic for Applications (VBA) Editor.</t>
  </si>
  <si>
    <t xml:space="preserve">2. In the VBA menu, click File &gt; Import File... (or press Ctrl + M).</t>
  </si>
  <si>
    <t xml:space="preserve">3. Select the provided standalone automation file: 'vba_automation_scripts.bas' and click Open.</t>
  </si>
  <si>
    <t xml:space="preserve">4. The module 'modNextHikesBikeAnalysis' will appear under Modules in the Project Explorer.</t>
  </si>
  <si>
    <t xml:space="preserve">5. Return to the Excel workbook and press Alt + F8 to view and execute the macros, or use the custom UDF functions directly in cell formulas.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</si>
</sst>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"/>
    <numFmt numFmtId="167" formatCode="\+0.0%"/>
    <numFmt numFmtId="168" formatCode="\+0.0%;\-0.0%;0.0%"/>
    <numFmt numFmtId="169" formatCode="yyyy\-mm\-dd"/>
    <numFmt numFmtId="170" formatCode="General"/>
    <numFmt numFmtId="171" formatCode="0.0000"/>
    <numFmt numFmtId="172" formatCode="0.0%"/>
    <numFmt numFmtId="173" formatCode="0.00"/>
    <numFmt numFmtId="174" formatCode="0"/>
    <numFmt numFmtId="175" formatCode="\+#,##0.0;\-#,##0.0;0.0"/>
    <numFmt numFmtId="176" formatCode="\+0.00;\-0.00;0.00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i val="true"/>
      <sz val="10"/>
      <color rgb="FFFFFFFF"/>
      <name val="Segoe UI"/>
      <family val="0"/>
      <charset val="1"/>
    </font>
    <font>
      <b val="true"/>
      <sz val="8.5"/>
      <color rgb="FF1B365D"/>
      <name val="Segoe UI"/>
      <family val="0"/>
      <charset val="1"/>
    </font>
    <font>
      <b val="true"/>
      <sz val="8.5"/>
      <color rgb="FF107C41"/>
      <name val="Segoe UI"/>
      <family val="0"/>
      <charset val="1"/>
    </font>
    <font>
      <b val="true"/>
      <sz val="8.5"/>
      <color rgb="FFD97706"/>
      <name val="Segoe UI"/>
      <family val="0"/>
      <charset val="1"/>
    </font>
    <font>
      <b val="true"/>
      <sz val="8.5"/>
      <color rgb="FFB91C1C"/>
      <name val="Segoe UI"/>
      <family val="0"/>
      <charset val="1"/>
    </font>
    <font>
      <b val="true"/>
      <sz val="14"/>
      <color rgb="FF1B365D"/>
      <name val="Segoe UI"/>
      <family val="0"/>
      <charset val="1"/>
    </font>
    <font>
      <b val="true"/>
      <sz val="14"/>
      <color rgb="FF107C41"/>
      <name val="Segoe UI"/>
      <family val="0"/>
      <charset val="1"/>
    </font>
    <font>
      <b val="true"/>
      <sz val="14"/>
      <color rgb="FFD97706"/>
      <name val="Segoe UI"/>
      <family val="0"/>
      <charset val="1"/>
    </font>
    <font>
      <b val="true"/>
      <sz val="14"/>
      <color rgb="FFB91C1C"/>
      <name val="Segoe UI"/>
      <family val="0"/>
      <charset val="1"/>
    </font>
    <font>
      <i val="true"/>
      <sz val="8"/>
      <color rgb="FF64748B"/>
      <name val="Segoe UI"/>
      <family val="0"/>
      <charset val="1"/>
    </font>
    <font>
      <b val="true"/>
      <sz val="11.5"/>
      <color rgb="FF1B365D"/>
      <name val="Segoe UI"/>
      <family val="0"/>
      <charset val="1"/>
    </font>
    <font>
      <b val="true"/>
      <sz val="9.5"/>
      <color rgb="FFFFFFFF"/>
      <name val="Segoe UI"/>
      <family val="0"/>
      <charset val="1"/>
    </font>
    <font>
      <b val="true"/>
      <sz val="9"/>
      <name val="Segoe UI"/>
      <family val="0"/>
      <charset val="1"/>
    </font>
    <font>
      <sz val="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8.5"/>
      <color rgb="FF1B365D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.5"/>
      <color rgb="FF1B365D"/>
      <name val="Consolas"/>
      <family val="0"/>
      <charset val="1"/>
    </font>
    <font>
      <b val="true"/>
      <sz val="9"/>
      <color rgb="FF166534"/>
      <name val="Segoe UI"/>
      <family val="0"/>
      <charset val="1"/>
    </font>
    <font>
      <b val="true"/>
      <sz val="9"/>
      <color rgb="FF991B1B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A43"/>
        <bgColor rgb="FF333333"/>
      </patternFill>
    </fill>
    <fill>
      <patternFill patternType="solid">
        <fgColor rgb="FF1B365D"/>
        <bgColor rgb="FF0F2A43"/>
      </patternFill>
    </fill>
    <fill>
      <patternFill patternType="solid">
        <fgColor rgb="FFF8FAFC"/>
        <bgColor rgb="FFF9F9F9"/>
      </patternFill>
    </fill>
    <fill>
      <patternFill patternType="solid">
        <fgColor rgb="FFE2E8F0"/>
        <bgColor rgb="FFF1F5F9"/>
      </patternFill>
    </fill>
    <fill>
      <patternFill patternType="solid">
        <fgColor rgb="FFF1F5F9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7E9945"/>
      <rgbColor rgb="FF800080"/>
      <rgbColor rgb="FF107C41"/>
      <rgbColor rgb="FFC0D2A7"/>
      <rgbColor rgb="FF878787"/>
      <rgbColor rgb="FF9999FF"/>
      <rgbColor rgb="FFC0504D"/>
      <rgbColor rgb="FFF9F9F9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D9D9D9"/>
      <rgbColor rgb="FF4F81BD"/>
      <rgbColor rgb="FF33CCCC"/>
      <rgbColor rgb="FF98B855"/>
      <rgbColor rgb="FFFFCC00"/>
      <rgbColor rgb="FFFF9900"/>
      <rgbColor rgb="FFD97706"/>
      <rgbColor rgb="FF64748B"/>
      <rgbColor rgb="FF969696"/>
      <rgbColor rgb="FF1B365D"/>
      <rgbColor rgb="FF339966"/>
      <rgbColor rgb="FF003300"/>
      <rgbColor rgb="FF333300"/>
      <rgbColor rgb="FF991B1B"/>
      <rgbColor rgb="FFB91C1C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Relationship Id="rId13" Type="http://schemas.microsoft.com/office/2007/relationships/slicerCache" Target="slicerCaches/slicerCach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Hourly Demand Profile: Commuter vs Leisure Rhythm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Pivot_Summaries!D5</c:f>
              <c:strCache>
                <c:ptCount val="1"/>
                <c:pt idx="0">
                  <c:v>Avg Casual</c:v>
                </c:pt>
              </c:strCache>
            </c:strRef>
          </c:tx>
          <c:spPr>
            <a:solidFill>
              <a:srgbClr val="F59E0B"/>
            </a:solidFill>
            <a:ln w="4752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Pivot_Summaries!$B$6:$B$29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Pivot_Summaries!$D$6:$D$29</c:f>
              <c:numCache>
                <c:formatCode>General</c:formatCode>
                <c:ptCount val="24"/>
                <c:pt idx="0">
                  <c:v>1.72093023255814</c:v>
                </c:pt>
                <c:pt idx="1">
                  <c:v>1.11627906976744</c:v>
                </c:pt>
                <c:pt idx="2">
                  <c:v>0.804878048780488</c:v>
                </c:pt>
                <c:pt idx="3">
                  <c:v>1.09677419354839</c:v>
                </c:pt>
                <c:pt idx="4">
                  <c:v>0.21875</c:v>
                </c:pt>
                <c:pt idx="5">
                  <c:v>0.0769230769230769</c:v>
                </c:pt>
                <c:pt idx="6">
                  <c:v>0.5</c:v>
                </c:pt>
                <c:pt idx="7">
                  <c:v>1.48837209302326</c:v>
                </c:pt>
                <c:pt idx="8">
                  <c:v>3.02380952380952</c:v>
                </c:pt>
                <c:pt idx="9">
                  <c:v>4.0952380952381</c:v>
                </c:pt>
                <c:pt idx="10">
                  <c:v>5.14285714285714</c:v>
                </c:pt>
                <c:pt idx="11">
                  <c:v>8.73809523809524</c:v>
                </c:pt>
                <c:pt idx="12">
                  <c:v>11.2093023255814</c:v>
                </c:pt>
                <c:pt idx="13">
                  <c:v>11.9302325581395</c:v>
                </c:pt>
                <c:pt idx="14">
                  <c:v>10.8372093023256</c:v>
                </c:pt>
                <c:pt idx="15">
                  <c:v>12.4651162790698</c:v>
                </c:pt>
                <c:pt idx="16">
                  <c:v>11.2045454545455</c:v>
                </c:pt>
                <c:pt idx="17">
                  <c:v>8.97727272727273</c:v>
                </c:pt>
                <c:pt idx="18">
                  <c:v>5.16279069767442</c:v>
                </c:pt>
                <c:pt idx="19">
                  <c:v>4.34883720930233</c:v>
                </c:pt>
                <c:pt idx="20">
                  <c:v>3.25581395348837</c:v>
                </c:pt>
                <c:pt idx="21">
                  <c:v>2.72093023255814</c:v>
                </c:pt>
                <c:pt idx="22">
                  <c:v>2.3953488372093</c:v>
                </c:pt>
                <c:pt idx="23">
                  <c:v>2.34883720930233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Pivot_Summaries!E5</c:f>
              <c:strCache>
                <c:ptCount val="1"/>
                <c:pt idx="0">
                  <c:v>Avg Registered</c:v>
                </c:pt>
              </c:strCache>
            </c:strRef>
          </c:tx>
          <c:spPr>
            <a:solidFill>
              <a:srgbClr val="1B365D"/>
            </a:solidFill>
            <a:ln w="47520">
              <a:solidFill>
                <a:srgbClr val="1B365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Pivot_Summaries!$B$6:$B$29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Pivot_Summaries!$E$6:$E$29</c:f>
              <c:numCache>
                <c:formatCode>General</c:formatCode>
                <c:ptCount val="24"/>
                <c:pt idx="0">
                  <c:v>14.6279069767442</c:v>
                </c:pt>
                <c:pt idx="1">
                  <c:v>9.58139534883721</c:v>
                </c:pt>
                <c:pt idx="2">
                  <c:v>6.36585365853659</c:v>
                </c:pt>
                <c:pt idx="3">
                  <c:v>3.7741935483871</c:v>
                </c:pt>
                <c:pt idx="4">
                  <c:v>1.9375</c:v>
                </c:pt>
                <c:pt idx="5">
                  <c:v>4.12820512820513</c:v>
                </c:pt>
                <c:pt idx="6">
                  <c:v>19.0714285714286</c:v>
                </c:pt>
                <c:pt idx="7">
                  <c:v>52.906976744186</c:v>
                </c:pt>
                <c:pt idx="8">
                  <c:v>125.261904761905</c:v>
                </c:pt>
                <c:pt idx="9">
                  <c:v>83.3333333333333</c:v>
                </c:pt>
                <c:pt idx="10">
                  <c:v>48.5</c:v>
                </c:pt>
                <c:pt idx="11">
                  <c:v>50.6428571428571</c:v>
                </c:pt>
                <c:pt idx="12">
                  <c:v>65.1395348837209</c:v>
                </c:pt>
                <c:pt idx="13">
                  <c:v>66.5813953488372</c:v>
                </c:pt>
                <c:pt idx="14">
                  <c:v>63.5813953488372</c:v>
                </c:pt>
                <c:pt idx="15">
                  <c:v>65.4883720930233</c:v>
                </c:pt>
                <c:pt idx="16">
                  <c:v>78.0681818181818</c:v>
                </c:pt>
                <c:pt idx="17">
                  <c:v>131.227272727273</c:v>
                </c:pt>
                <c:pt idx="18">
                  <c:v>117.697674418605</c:v>
                </c:pt>
                <c:pt idx="19">
                  <c:v>80.7906976744186</c:v>
                </c:pt>
                <c:pt idx="20">
                  <c:v>58.5116279069767</c:v>
                </c:pt>
                <c:pt idx="21">
                  <c:v>43.6976744186047</c:v>
                </c:pt>
                <c:pt idx="22">
                  <c:v>32.6744186046512</c:v>
                </c:pt>
                <c:pt idx="23">
                  <c:v>22.8372093023256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Pivot_Summaries!F5</c:f>
              <c:strCache>
                <c:ptCount val="1"/>
                <c:pt idx="0">
                  <c:v>Avg Total Demand</c:v>
                </c:pt>
              </c:strCache>
            </c:strRef>
          </c:tx>
          <c:spPr>
            <a:solidFill>
              <a:srgbClr val="059669"/>
            </a:solidFill>
            <a:ln w="4752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Pivot_Summaries!$B$6:$B$29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Pivot_Summaries!$F$6:$F$29</c:f>
              <c:numCache>
                <c:formatCode>General</c:formatCode>
                <c:ptCount val="24"/>
                <c:pt idx="0">
                  <c:v>16.3488372093023</c:v>
                </c:pt>
                <c:pt idx="1">
                  <c:v>10.6976744186047</c:v>
                </c:pt>
                <c:pt idx="2">
                  <c:v>7.17073170731707</c:v>
                </c:pt>
                <c:pt idx="3">
                  <c:v>4.87096774193548</c:v>
                </c:pt>
                <c:pt idx="4">
                  <c:v>2.15625</c:v>
                </c:pt>
                <c:pt idx="5">
                  <c:v>4.20512820512821</c:v>
                </c:pt>
                <c:pt idx="6">
                  <c:v>19.5714285714286</c:v>
                </c:pt>
                <c:pt idx="7">
                  <c:v>54.3953488372093</c:v>
                </c:pt>
                <c:pt idx="8">
                  <c:v>128.285714285714</c:v>
                </c:pt>
                <c:pt idx="9">
                  <c:v>87.4285714285714</c:v>
                </c:pt>
                <c:pt idx="10">
                  <c:v>53.6428571428571</c:v>
                </c:pt>
                <c:pt idx="11">
                  <c:v>59.3809523809524</c:v>
                </c:pt>
                <c:pt idx="12">
                  <c:v>76.3488372093023</c:v>
                </c:pt>
                <c:pt idx="13">
                  <c:v>78.5116279069767</c:v>
                </c:pt>
                <c:pt idx="14">
                  <c:v>74.4186046511628</c:v>
                </c:pt>
                <c:pt idx="15">
                  <c:v>77.953488372093</c:v>
                </c:pt>
                <c:pt idx="16">
                  <c:v>89.2727272727273</c:v>
                </c:pt>
                <c:pt idx="17">
                  <c:v>140.204545454545</c:v>
                </c:pt>
                <c:pt idx="18">
                  <c:v>122.860465116279</c:v>
                </c:pt>
                <c:pt idx="19">
                  <c:v>85.1395348837209</c:v>
                </c:pt>
                <c:pt idx="20">
                  <c:v>61.7674418604651</c:v>
                </c:pt>
                <c:pt idx="21">
                  <c:v>46.4186046511628</c:v>
                </c:pt>
                <c:pt idx="22">
                  <c:v>35.0697674418605</c:v>
                </c:pt>
                <c:pt idx="23">
                  <c:v>25.1860465116279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79379"/>
        <c:axId val="94033700"/>
      </c:lineChart>
      <c:catAx>
        <c:axId val="20079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of Day (00:00 to 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33700"/>
        <c:crosses val="autoZero"/>
        <c:auto val="1"/>
        <c:lblAlgn val="ctr"/>
        <c:lblOffset val="100"/>
        <c:noMultiLvlLbl val="0"/>
      </c:catAx>
      <c:valAx>
        <c:axId val="94033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Rentals /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793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Rental Volume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Pivot_Summaries!E34</c:f>
              <c:strCache>
                <c:ptCount val="1"/>
                <c:pt idx="0">
                  <c:v>Total Rides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Pivot_Summaries!$B$35:$B$41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Pivot_Summaries!$E$35:$E$41</c:f>
              <c:numCache>
                <c:formatCode>General</c:formatCode>
                <c:ptCount val="7"/>
                <c:pt idx="0">
                  <c:v>8121</c:v>
                </c:pt>
                <c:pt idx="1">
                  <c:v>8450</c:v>
                </c:pt>
                <c:pt idx="2">
                  <c:v>8383</c:v>
                </c:pt>
                <c:pt idx="3">
                  <c:v>8049</c:v>
                </c:pt>
                <c:pt idx="4">
                  <c:v>8458</c:v>
                </c:pt>
                <c:pt idx="5">
                  <c:v>9095</c:v>
                </c:pt>
                <c:pt idx="6">
                  <c:v>7748</c:v>
                </c:pt>
              </c:numCache>
            </c:numRef>
          </c:val>
        </c:ser>
        <c:gapWidth val="150"/>
        <c:overlap val="0"/>
        <c:axId val="82217243"/>
        <c:axId val="52002280"/>
      </c:barChart>
      <c:catAx>
        <c:axId val="82217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2280"/>
        <c:crosses val="autoZero"/>
        <c:auto val="1"/>
        <c:lblAlgn val="ctr"/>
        <c:lblOffset val="100"/>
        <c:noMultiLvlLbl val="0"/>
      </c:catAx>
      <c:valAx>
        <c:axId val="52002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Bike 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17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Rider Segmentation: Commuter vs Casual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Pivot_Summaries!C46</c:f>
              <c:strCache>
                <c:ptCount val="1"/>
                <c:pt idx="0">
                  <c:v>Total Rides (cnt)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563E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59E0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Pivot_Summaries!$B$47:$B$48</c:f>
              <c:strCache>
                <c:ptCount val="2"/>
                <c:pt idx="0">
                  <c:v>Registered Commuters</c:v>
                </c:pt>
                <c:pt idx="1">
                  <c:v>Casual Riders</c:v>
                </c:pt>
              </c:strCache>
            </c:strRef>
          </c:cat>
          <c:val>
            <c:numRef>
              <c:f>Pivot_Summaries!$C$47:$C$48</c:f>
              <c:numCache>
                <c:formatCode>General</c:formatCode>
                <c:ptCount val="2"/>
                <c:pt idx="0">
                  <c:v>53383</c:v>
                </c:pt>
                <c:pt idx="1">
                  <c:v>4921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Demand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Executive_Dashboard!M28</c:f>
              <c:strCache>
                <c:ptCount val="1"/>
                <c:pt idx="0">
                  <c:v>Average Demand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Executive_Dashboard!$K$29:$K$32</c:f>
              <c:strCache>
                <c:ptCount val="4"/>
                <c:pt idx="0">
                  <c:v>Clear / Few Clouds</c:v>
                </c:pt>
                <c:pt idx="1">
                  <c:v>Mist / Cloudy</c:v>
                </c:pt>
                <c:pt idx="2">
                  <c:v>Light Snow / Rain</c:v>
                </c:pt>
                <c:pt idx="3">
                  <c:v>Heavy Rain / Ice</c:v>
                </c:pt>
              </c:strCache>
            </c:strRef>
          </c:cat>
          <c:val>
            <c:numRef>
              <c:f>Executive_Dashboard!$M$29:$M$32</c:f>
              <c:numCache>
                <c:formatCode>General</c:formatCode>
                <c:ptCount val="4"/>
                <c:pt idx="0">
                  <c:v>61.6716171617162</c:v>
                </c:pt>
                <c:pt idx="1">
                  <c:v>58.5954692556634</c:v>
                </c:pt>
                <c:pt idx="2">
                  <c:v>33.202380952381</c:v>
                </c:pt>
                <c:pt idx="3">
                  <c:v>36</c:v>
                </c:pt>
              </c:numCache>
            </c:numRef>
          </c:val>
        </c:ser>
        <c:gapWidth val="150"/>
        <c:overlap val="0"/>
        <c:axId val="70764455"/>
        <c:axId val="37255167"/>
      </c:barChart>
      <c:catAx>
        <c:axId val="7076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55167"/>
        <c:crosses val="autoZero"/>
        <c:auto val="1"/>
        <c:lblAlgn val="ctr"/>
        <c:lblOffset val="100"/>
        <c:noMultiLvlLbl val="0"/>
      </c:catAx>
      <c:valAx>
        <c:axId val="37255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Rides/Hr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64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4</xdr:col>
      <xdr:colOff>390525</xdr:colOff>
      <xdr:row>22</xdr:row>
      <xdr:rowOff>93960</xdr:rowOff>
    </xdr:to>
    <xdr:graphicFrame>
      <xdr:nvGraphicFramePr>
        <xdr:cNvPr id="1" name="Chart 1"/>
        <xdr:cNvGraphicFramePr/>
      </xdr:nvGraphicFramePr>
      <xdr:xfrm>
        <a:off x="0" y="1581120"/>
        <a:ext cx="354330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9</xdr:col>
      <xdr:colOff>419100</xdr:colOff>
      <xdr:row>22</xdr:row>
      <xdr:rowOff>93960</xdr:rowOff>
    </xdr:to>
    <xdr:graphicFrame>
      <xdr:nvGraphicFramePr>
        <xdr:cNvPr id="2" name="Chart 2"/>
        <xdr:cNvGraphicFramePr/>
      </xdr:nvGraphicFramePr>
      <xdr:xfrm>
        <a:off x="3933825" y="1581120"/>
        <a:ext cx="3609975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13</xdr:col>
      <xdr:colOff>577800</xdr:colOff>
      <xdr:row>48</xdr:row>
      <xdr:rowOff>140760</xdr:rowOff>
    </xdr:to>
    <xdr:graphicFrame>
      <xdr:nvGraphicFramePr>
        <xdr:cNvPr id="3" name="Chart 3"/>
        <xdr:cNvGraphicFramePr/>
      </xdr:nvGraphicFramePr>
      <xdr:xfrm>
        <a:off x="7972425" y="6743880"/>
        <a:ext cx="4031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13</xdr:col>
      <xdr:colOff>577800</xdr:colOff>
      <xdr:row>22</xdr:row>
      <xdr:rowOff>93960</xdr:rowOff>
    </xdr:to>
    <xdr:graphicFrame>
      <xdr:nvGraphicFramePr>
        <xdr:cNvPr id="4" name="Chart 4"/>
        <xdr:cNvGraphicFramePr/>
      </xdr:nvGraphicFramePr>
      <xdr:xfrm>
        <a:off x="7972425" y="1581120"/>
        <a:ext cx="403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_Type" sourceName="Day_Type">
  <extLst>
    <x:ext xmlns:x14="http://schemas.microsoft.com/office/spreadsheetml/2009/9/main" uri="{BBE1A952-AA13-448e-AADC-164164E4294F}">
      <x14:slicerCache>
        <x14:data>
          <x14:tabular pivotCacheId="1">
            <x14:items count="3">
              <x14:i x="0"/>
              <x14:i x="1"/>
              <x14:i x="2"/>
            </x14:items>
          </x14:tabular>
        </x14:data>
      </x14:slicerCache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_Type" cache="Slicer_Day_Type" caption="Day Type" columnCount="1" showCaption="1" level="0" style="SlicerStyleLight1" rowHeight="246888"/>
</slicers>
</file>

<file path=xl/tables/table1.xml><?xml version="1.0" encoding="utf-8"?>
<table xmlns="http://schemas.openxmlformats.org/spreadsheetml/2006/main" id="1" name="BikeData" displayName="BikeData" ref="A4:AF1004" headerRowCount="1" totalsRowShown="0">
  <autoFilter ref="A4:AF1004"/>
  <tableColumns count="32">
    <tableColumn id="1" name="Instant"/>
    <tableColumn id="2" name="Date"/>
    <tableColumn id="3" name="Season"/>
    <tableColumn id="4" name="Season_Name"/>
    <tableColumn id="5" name="Year"/>
    <tableColumn id="6" name="Month"/>
    <tableColumn id="7" name="Hour"/>
    <tableColumn id="8" name="Holiday"/>
    <tableColumn id="9" name="Weekday"/>
    <tableColumn id="10" name="Weekday_Name"/>
    <tableColumn id="11" name="Day_Type"/>
    <tableColumn id="12" name="Rush_Hour"/>
    <tableColumn id="13" name="Weather_Sit"/>
    <tableColumn id="14" name="Weather_Desc"/>
    <tableColumn id="15" name="Temp_Norm"/>
    <tableColumn id="16" name="Atemp_Raw"/>
    <tableColumn id="17" name="Atemp_Cleaned"/>
    <tableColumn id="18" name="Imputation_Flag"/>
    <tableColumn id="19" name="Humidity"/>
    <tableColumn id="20" name="Windspeed"/>
    <tableColumn id="21" name="Casual"/>
    <tableColumn id="22" name="Registered"/>
    <tableColumn id="23" name="Total_Count"/>
    <tableColumn id="24" name="Casual_Share"/>
    <tableColumn id="25" name="Registered_Share"/>
    <tableColumn id="26" name="Demand_Level"/>
    <tableColumn id="27" name="Hour_Format"/>
    <tableColumn id="28" name="Date_Year"/>
    <tableColumn id="29" name="Date_Month_Text"/>
    <tableColumn id="30" name="Date_Length"/>
    <tableColumn id="31" name="Date_Left_Yr"/>
    <tableColumn id="32" name="Date_Right_Day"/>
  </tableColumns>
  <tableStyleInfo name="TableStyleMedium2" showFirstColumn="0" showLastColumn="0" showRowStripes="1" showColumnStripes="0"/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1"/>
    <col collapsed="false" customWidth="true" hidden="false" outlineLevel="0" max="12" min="12" style="0" width="11"/>
    <col collapsed="false" customWidth="true" hidden="false" outlineLevel="0" max="13" min="13" style="0" width="17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3" t="s">
        <v>5</v>
      </c>
      <c r="H4" s="3"/>
      <c r="I4" s="6" t="s">
        <v>6</v>
      </c>
      <c r="J4" s="6"/>
      <c r="K4" s="3" t="s">
        <v>7</v>
      </c>
      <c r="L4" s="3"/>
      <c r="M4" s="5" t="s">
        <v>8</v>
      </c>
      <c r="N4" s="5"/>
    </row>
    <row r="5" customFormat="false" ht="24" hidden="false" customHeight="true" outlineLevel="0" collapsed="false">
      <c r="A5" s="7" t="n">
        <f aca="false">SUM(Master_Cleaned_Data!W5:W1004)</f>
        <v>58304</v>
      </c>
      <c r="B5" s="7"/>
      <c r="C5" s="8" t="n">
        <f aca="false">SUM(Master_Cleaned_Data!V5:V1004)</f>
        <v>53383</v>
      </c>
      <c r="D5" s="8"/>
      <c r="E5" s="9" t="n">
        <f aca="false">SUM(Master_Cleaned_Data!U5:U1004)</f>
        <v>4921</v>
      </c>
      <c r="F5" s="9"/>
      <c r="G5" s="10" t="n">
        <f aca="false">ROUND(AVERAGE(Master_Cleaned_Data!W5:W1004), 1)</f>
        <v>58.3</v>
      </c>
      <c r="H5" s="10"/>
      <c r="I5" s="11" t="n">
        <f aca="false">MAX(Master_Cleaned_Data!W5:W1004)</f>
        <v>249</v>
      </c>
      <c r="J5" s="11"/>
      <c r="K5" s="10" t="n">
        <f aca="false">ROUND(AVERAGEIF(Master_Cleaned_Data!L5:L1004, "Peak Commute", Master_Cleaned_Data!W5:W1004), 1)</f>
        <v>135.5</v>
      </c>
      <c r="L5" s="10"/>
      <c r="M5" s="12" t="n">
        <f aca="false">(AVERAGEIF(Master_Cleaned_Data!O5:O1004, "&gt;0.28", Master_Cleaned_Data!W5:W1004) - AVERAGEIF(Master_Cleaned_Data!O5:O1004, "&lt;=0.22", Master_Cleaned_Data!W5:W1004)) / AVERAGEIF(Master_Cleaned_Data!O5:O1004, "&lt;=0.22", Master_Cleaned_Data!W5:W1004)</f>
        <v>0.67656074233813</v>
      </c>
      <c r="N5" s="12"/>
    </row>
    <row r="6" customFormat="false" ht="15.75" hidden="false" customHeight="true" outlineLevel="0" collapsed="false">
      <c r="A6" s="13" t="s">
        <v>9</v>
      </c>
      <c r="B6" s="13"/>
      <c r="C6" s="13" t="s">
        <v>10</v>
      </c>
      <c r="D6" s="13"/>
      <c r="E6" s="13" t="s">
        <v>11</v>
      </c>
      <c r="F6" s="13"/>
      <c r="G6" s="13" t="s">
        <v>12</v>
      </c>
      <c r="H6" s="13"/>
      <c r="I6" s="13" t="s">
        <v>13</v>
      </c>
      <c r="J6" s="13"/>
      <c r="K6" s="13" t="s">
        <v>14</v>
      </c>
      <c r="L6" s="13"/>
      <c r="M6" s="13" t="s">
        <v>15</v>
      </c>
      <c r="N6" s="13"/>
    </row>
    <row r="7" customFormat="false" ht="9.75" hidden="false" customHeight="true" outlineLevel="0" collapsed="false"/>
    <row r="26" customFormat="false" ht="12" hidden="false" customHeight="true" outlineLevel="0" collapsed="false"/>
    <row r="27" customFormat="false" ht="15" hidden="false" customHeight="false" outlineLevel="0" collapsed="false">
      <c r="A27" s="14" t="s">
        <v>16</v>
      </c>
      <c r="B27" s="14"/>
      <c r="C27" s="14"/>
      <c r="D27" s="14"/>
      <c r="E27" s="14"/>
      <c r="F27" s="14"/>
      <c r="G27" s="14"/>
      <c r="H27" s="14"/>
      <c r="I27" s="14"/>
      <c r="K27" s="14" t="s">
        <v>17</v>
      </c>
      <c r="L27" s="14"/>
      <c r="M27" s="14"/>
      <c r="N27" s="14"/>
    </row>
    <row r="28" customFormat="false" ht="19.5" hidden="false" customHeight="true" outlineLevel="0" collapsed="false">
      <c r="A28" s="15" t="s">
        <v>18</v>
      </c>
      <c r="B28" s="15" t="s">
        <v>19</v>
      </c>
      <c r="C28" s="15" t="s">
        <v>20</v>
      </c>
      <c r="D28" s="15" t="s">
        <v>21</v>
      </c>
      <c r="E28" s="15" t="s">
        <v>22</v>
      </c>
      <c r="F28" s="15" t="s">
        <v>23</v>
      </c>
      <c r="G28" s="15" t="s">
        <v>24</v>
      </c>
      <c r="H28" s="15" t="s">
        <v>25</v>
      </c>
      <c r="I28" s="15" t="s">
        <v>26</v>
      </c>
      <c r="K28" s="16" t="s">
        <v>27</v>
      </c>
      <c r="L28" s="16" t="s">
        <v>28</v>
      </c>
      <c r="M28" s="16" t="s">
        <v>29</v>
      </c>
      <c r="N28" s="16" t="s">
        <v>30</v>
      </c>
    </row>
    <row r="29" customFormat="false" ht="15" hidden="false" customHeight="false" outlineLevel="0" collapsed="false">
      <c r="A29" s="17" t="s">
        <v>31</v>
      </c>
      <c r="B29" s="18" t="n">
        <f aca="false">AVERAGEIFS(Master_Cleaned_Data!$W$5:$W$1004, Master_Cleaned_Data!$G$5:$G$1004, 0, Master_Cleaned_Data!$I$5:$I$1004, 0)</f>
        <v>30.5714285714286</v>
      </c>
      <c r="C29" s="18" t="n">
        <f aca="false">AVERAGEIFS(Master_Cleaned_Data!$W$5:$W$1004, Master_Cleaned_Data!$G$5:$G$1004, 0, Master_Cleaned_Data!$I$5:$I$1004, 1)</f>
        <v>9.57142857142857</v>
      </c>
      <c r="D29" s="18" t="n">
        <f aca="false">AVERAGEIFS(Master_Cleaned_Data!$W$5:$W$1004, Master_Cleaned_Data!$G$5:$G$1004, 0, Master_Cleaned_Data!$I$5:$I$1004, 2)</f>
        <v>8.8</v>
      </c>
      <c r="E29" s="18" t="n">
        <f aca="false">AVERAGEIFS(Master_Cleaned_Data!$W$5:$W$1004, Master_Cleaned_Data!$G$5:$G$1004, 0, Master_Cleaned_Data!$I$5:$I$1004, 3)</f>
        <v>8.66666666666667</v>
      </c>
      <c r="F29" s="18" t="n">
        <f aca="false">AVERAGEIFS(Master_Cleaned_Data!$W$5:$W$1004, Master_Cleaned_Data!$G$5:$G$1004, 0, Master_Cleaned_Data!$I$5:$I$1004, 4)</f>
        <v>11.8</v>
      </c>
      <c r="G29" s="18" t="n">
        <f aca="false">AVERAGEIFS(Master_Cleaned_Data!$W$5:$W$1004, Master_Cleaned_Data!$G$5:$G$1004, 0, Master_Cleaned_Data!$I$5:$I$1004, 5)</f>
        <v>14.6666666666667</v>
      </c>
      <c r="H29" s="18" t="n">
        <f aca="false">AVERAGEIFS(Master_Cleaned_Data!$W$5:$W$1004, Master_Cleaned_Data!$G$5:$G$1004, 0, Master_Cleaned_Data!$I$5:$I$1004, 6)</f>
        <v>25.5714285714286</v>
      </c>
      <c r="I29" s="19" t="n">
        <f aca="false">AVERAGE(B29:H29)</f>
        <v>15.6639455782313</v>
      </c>
      <c r="K29" s="20" t="s">
        <v>32</v>
      </c>
      <c r="L29" s="18" t="n">
        <f aca="false">COUNTIF(Master_Cleaned_Data!$M$5:$M$1004, 1)</f>
        <v>606</v>
      </c>
      <c r="M29" s="19" t="n">
        <f aca="false">AVERAGEIF(Master_Cleaned_Data!$M$5:$M$1004, 1, Master_Cleaned_Data!$W$5:$W$1004)</f>
        <v>61.6716171617162</v>
      </c>
      <c r="N29" s="21" t="n">
        <f aca="false">(M29-M$29)/M$29</f>
        <v>0</v>
      </c>
    </row>
    <row r="30" customFormat="false" ht="15" hidden="false" customHeight="false" outlineLevel="0" collapsed="false">
      <c r="A30" s="17" t="s">
        <v>33</v>
      </c>
      <c r="B30" s="18" t="n">
        <f aca="false">AVERAGEIFS(Master_Cleaned_Data!$W$5:$W$1004, Master_Cleaned_Data!$G$5:$G$1004, 1, Master_Cleaned_Data!$I$5:$I$1004, 0)</f>
        <v>23.1428571428571</v>
      </c>
      <c r="C30" s="18" t="n">
        <f aca="false">AVERAGEIFS(Master_Cleaned_Data!$W$5:$W$1004, Master_Cleaned_Data!$G$5:$G$1004, 1, Master_Cleaned_Data!$I$5:$I$1004, 1)</f>
        <v>5.57142857142857</v>
      </c>
      <c r="D30" s="18" t="n">
        <f aca="false">AVERAGEIFS(Master_Cleaned_Data!$W$5:$W$1004, Master_Cleaned_Data!$G$5:$G$1004, 1, Master_Cleaned_Data!$I$5:$I$1004, 2)</f>
        <v>3.4</v>
      </c>
      <c r="E30" s="18" t="n">
        <f aca="false">AVERAGEIFS(Master_Cleaned_Data!$W$5:$W$1004, Master_Cleaned_Data!$G$5:$G$1004, 1, Master_Cleaned_Data!$I$5:$I$1004, 3)</f>
        <v>5.66666666666667</v>
      </c>
      <c r="F30" s="18" t="n">
        <f aca="false">AVERAGEIFS(Master_Cleaned_Data!$W$5:$W$1004, Master_Cleaned_Data!$G$5:$G$1004, 1, Master_Cleaned_Data!$I$5:$I$1004, 4)</f>
        <v>4.6</v>
      </c>
      <c r="G30" s="18" t="n">
        <f aca="false">AVERAGEIFS(Master_Cleaned_Data!$W$5:$W$1004, Master_Cleaned_Data!$G$5:$G$1004, 1, Master_Cleaned_Data!$I$5:$I$1004, 5)</f>
        <v>5.83333333333333</v>
      </c>
      <c r="H30" s="18" t="n">
        <f aca="false">AVERAGEIFS(Master_Cleaned_Data!$W$5:$W$1004, Master_Cleaned_Data!$G$5:$G$1004, 1, Master_Cleaned_Data!$I$5:$I$1004, 6)</f>
        <v>21.4285714285714</v>
      </c>
      <c r="I30" s="19" t="n">
        <f aca="false">AVERAGE(B30:H30)</f>
        <v>9.94897959183673</v>
      </c>
      <c r="K30" s="20" t="s">
        <v>34</v>
      </c>
      <c r="L30" s="18" t="n">
        <f aca="false">COUNTIF(Master_Cleaned_Data!$M$5:$M$1004, 2)</f>
        <v>309</v>
      </c>
      <c r="M30" s="19" t="n">
        <f aca="false">AVERAGEIF(Master_Cleaned_Data!$M$5:$M$1004, 2, Master_Cleaned_Data!$W$5:$W$1004)</f>
        <v>58.5954692556634</v>
      </c>
      <c r="N30" s="21" t="n">
        <f aca="false">(M30-M$29)/M$29</f>
        <v>-0.0498794753182233</v>
      </c>
    </row>
    <row r="31" customFormat="false" ht="15" hidden="false" customHeight="false" outlineLevel="0" collapsed="false">
      <c r="A31" s="17" t="s">
        <v>35</v>
      </c>
      <c r="B31" s="18" t="n">
        <f aca="false">AVERAGEIFS(Master_Cleaned_Data!$W$5:$W$1004, Master_Cleaned_Data!$G$5:$G$1004, 2, Master_Cleaned_Data!$I$5:$I$1004, 0)</f>
        <v>15</v>
      </c>
      <c r="C31" s="18" t="n">
        <f aca="false">AVERAGEIFS(Master_Cleaned_Data!$W$5:$W$1004, Master_Cleaned_Data!$G$5:$G$1004, 2, Master_Cleaned_Data!$I$5:$I$1004, 1)</f>
        <v>3.4</v>
      </c>
      <c r="D31" s="18" t="n">
        <f aca="false">AVERAGEIFS(Master_Cleaned_Data!$W$5:$W$1004, Master_Cleaned_Data!$G$5:$G$1004, 2, Master_Cleaned_Data!$I$5:$I$1004, 2)</f>
        <v>2</v>
      </c>
      <c r="E31" s="18" t="n">
        <f aca="false">AVERAGEIFS(Master_Cleaned_Data!$W$5:$W$1004, Master_Cleaned_Data!$G$5:$G$1004, 2, Master_Cleaned_Data!$I$5:$I$1004, 3)</f>
        <v>3.83333333333333</v>
      </c>
      <c r="F31" s="18" t="n">
        <f aca="false">AVERAGEIFS(Master_Cleaned_Data!$W$5:$W$1004, Master_Cleaned_Data!$G$5:$G$1004, 2, Master_Cleaned_Data!$I$5:$I$1004, 4)</f>
        <v>2.2</v>
      </c>
      <c r="G31" s="18" t="n">
        <f aca="false">AVERAGEIFS(Master_Cleaned_Data!$W$5:$W$1004, Master_Cleaned_Data!$G$5:$G$1004, 2, Master_Cleaned_Data!$I$5:$I$1004, 5)</f>
        <v>1.66666666666667</v>
      </c>
      <c r="H31" s="18" t="n">
        <f aca="false">AVERAGEIFS(Master_Cleaned_Data!$W$5:$W$1004, Master_Cleaned_Data!$G$5:$G$1004, 2, Master_Cleaned_Data!$I$5:$I$1004, 6)</f>
        <v>16.8571428571429</v>
      </c>
      <c r="I31" s="19" t="n">
        <f aca="false">AVERAGE(B31:H31)</f>
        <v>6.42244897959184</v>
      </c>
      <c r="K31" s="20" t="s">
        <v>36</v>
      </c>
      <c r="L31" s="18" t="n">
        <f aca="false">COUNTIF(Master_Cleaned_Data!$M$5:$M$1004, 3)</f>
        <v>84</v>
      </c>
      <c r="M31" s="19" t="n">
        <f aca="false">AVERAGEIF(Master_Cleaned_Data!$M$5:$M$1004, 3, Master_Cleaned_Data!$W$5:$W$1004)</f>
        <v>33.202380952381</v>
      </c>
      <c r="N31" s="21" t="n">
        <f aca="false">(M31-M$29)/M$29</f>
        <v>-0.461626231312904</v>
      </c>
    </row>
    <row r="32" customFormat="false" ht="15" hidden="false" customHeight="false" outlineLevel="0" collapsed="false">
      <c r="A32" s="17" t="s">
        <v>37</v>
      </c>
      <c r="B32" s="18" t="n">
        <f aca="false">AVERAGEIFS(Master_Cleaned_Data!$W$5:$W$1004, Master_Cleaned_Data!$G$5:$G$1004, 3, Master_Cleaned_Data!$I$5:$I$1004, 0)</f>
        <v>9</v>
      </c>
      <c r="C32" s="18" t="n">
        <f aca="false">AVERAGEIFS(Master_Cleaned_Data!$W$5:$W$1004, Master_Cleaned_Data!$G$5:$G$1004, 3, Master_Cleaned_Data!$I$5:$I$1004, 1)</f>
        <v>1.5</v>
      </c>
      <c r="D32" s="18" t="n">
        <f aca="false">AVERAGEIFS(Master_Cleaned_Data!$W$5:$W$1004, Master_Cleaned_Data!$G$5:$G$1004, 3, Master_Cleaned_Data!$I$5:$I$1004, 2)</f>
        <v>1.5</v>
      </c>
      <c r="E32" s="18" t="n">
        <f aca="false">AVERAGEIFS(Master_Cleaned_Data!$W$5:$W$1004, Master_Cleaned_Data!$G$5:$G$1004, 3, Master_Cleaned_Data!$I$5:$I$1004, 3)</f>
        <v>1.5</v>
      </c>
      <c r="F32" s="18" t="n">
        <f aca="false">AVERAGEIFS(Master_Cleaned_Data!$W$5:$W$1004, Master_Cleaned_Data!$G$5:$G$1004, 3, Master_Cleaned_Data!$I$5:$I$1004, 4)</f>
        <v>1.66666666666667</v>
      </c>
      <c r="G32" s="18" t="n">
        <f aca="false">AVERAGEIFS(Master_Cleaned_Data!$W$5:$W$1004, Master_Cleaned_Data!$G$5:$G$1004, 3, Master_Cleaned_Data!$I$5:$I$1004, 5)</f>
        <v>1</v>
      </c>
      <c r="H32" s="18" t="n">
        <f aca="false">AVERAGEIFS(Master_Cleaned_Data!$W$5:$W$1004, Master_Cleaned_Data!$G$5:$G$1004, 3, Master_Cleaned_Data!$I$5:$I$1004, 6)</f>
        <v>9.14285714285714</v>
      </c>
      <c r="I32" s="19" t="n">
        <f aca="false">AVERAGE(B32:H32)</f>
        <v>3.6156462585034</v>
      </c>
      <c r="K32" s="20" t="s">
        <v>38</v>
      </c>
      <c r="L32" s="18" t="n">
        <f aca="false">COUNTIF(Master_Cleaned_Data!$M$5:$M$1004, 4)</f>
        <v>1</v>
      </c>
      <c r="M32" s="19" t="n">
        <f aca="false">AVERAGEIF(Master_Cleaned_Data!$M$5:$M$1004, 4, Master_Cleaned_Data!$W$5:$W$1004)</f>
        <v>36</v>
      </c>
      <c r="N32" s="21" t="n">
        <f aca="false">(M32-M$29)/M$29</f>
        <v>-0.416263077622883</v>
      </c>
    </row>
    <row r="33" customFormat="false" ht="15" hidden="false" customHeight="false" outlineLevel="0" collapsed="false">
      <c r="A33" s="17" t="s">
        <v>39</v>
      </c>
      <c r="B33" s="18" t="n">
        <f aca="false">AVERAGEIFS(Master_Cleaned_Data!$W$5:$W$1004, Master_Cleaned_Data!$G$5:$G$1004, 4, Master_Cleaned_Data!$I$5:$I$1004, 0)</f>
        <v>1.66666666666667</v>
      </c>
      <c r="C33" s="18" t="n">
        <f aca="false">AVERAGEIFS(Master_Cleaned_Data!$W$5:$W$1004, Master_Cleaned_Data!$G$5:$G$1004, 4, Master_Cleaned_Data!$I$5:$I$1004, 1)</f>
        <v>2</v>
      </c>
      <c r="D33" s="18" t="n">
        <f aca="false">AVERAGEIFS(Master_Cleaned_Data!$W$5:$W$1004, Master_Cleaned_Data!$G$5:$G$1004, 4, Master_Cleaned_Data!$I$5:$I$1004, 2)</f>
        <v>2</v>
      </c>
      <c r="E33" s="18" t="n">
        <f aca="false">AVERAGEIFS(Master_Cleaned_Data!$W$5:$W$1004, Master_Cleaned_Data!$G$5:$G$1004, 4, Master_Cleaned_Data!$I$5:$I$1004, 3)</f>
        <v>1.66666666666667</v>
      </c>
      <c r="F33" s="18" t="n">
        <f aca="false">AVERAGEIFS(Master_Cleaned_Data!$W$5:$W$1004, Master_Cleaned_Data!$G$5:$G$1004, 4, Master_Cleaned_Data!$I$5:$I$1004, 4)</f>
        <v>1.75</v>
      </c>
      <c r="G33" s="18" t="n">
        <f aca="false">AVERAGEIFS(Master_Cleaned_Data!$W$5:$W$1004, Master_Cleaned_Data!$G$5:$G$1004, 4, Master_Cleaned_Data!$I$5:$I$1004, 5)</f>
        <v>1</v>
      </c>
      <c r="H33" s="18" t="n">
        <f aca="false">AVERAGEIFS(Master_Cleaned_Data!$W$5:$W$1004, Master_Cleaned_Data!$G$5:$G$1004, 4, Master_Cleaned_Data!$I$5:$I$1004, 6)</f>
        <v>3.57142857142857</v>
      </c>
      <c r="I33" s="19" t="n">
        <f aca="false">AVERAGE(B33:H33)</f>
        <v>1.95068027210884</v>
      </c>
      <c r="K33" s="22" t="s">
        <v>40</v>
      </c>
      <c r="L33" s="23" t="n">
        <f aca="false">SUM(L29:L32)</f>
        <v>1000</v>
      </c>
      <c r="M33" s="24" t="n">
        <f aca="false">AVERAGE(Master_Cleaned_Data!W5:W1004)</f>
        <v>58.304</v>
      </c>
      <c r="N33" s="25" t="s">
        <v>41</v>
      </c>
    </row>
    <row r="34" customFormat="false" ht="15" hidden="false" customHeight="false" outlineLevel="0" collapsed="false">
      <c r="A34" s="17" t="s">
        <v>42</v>
      </c>
      <c r="B34" s="18" t="n">
        <f aca="false">AVERAGEIFS(Master_Cleaned_Data!$W$5:$W$1004, Master_Cleaned_Data!$G$5:$G$1004, 5, Master_Cleaned_Data!$I$5:$I$1004, 0)</f>
        <v>2</v>
      </c>
      <c r="C34" s="18" t="n">
        <f aca="false">AVERAGEIFS(Master_Cleaned_Data!$W$5:$W$1004, Master_Cleaned_Data!$G$5:$G$1004, 5, Master_Cleaned_Data!$I$5:$I$1004, 1)</f>
        <v>4.71428571428571</v>
      </c>
      <c r="D34" s="18" t="n">
        <f aca="false">AVERAGEIFS(Master_Cleaned_Data!$W$5:$W$1004, Master_Cleaned_Data!$G$5:$G$1004, 5, Master_Cleaned_Data!$I$5:$I$1004, 2)</f>
        <v>4.8</v>
      </c>
      <c r="E34" s="18" t="n">
        <f aca="false">AVERAGEIFS(Master_Cleaned_Data!$W$5:$W$1004, Master_Cleaned_Data!$G$5:$G$1004, 5, Master_Cleaned_Data!$I$5:$I$1004, 3)</f>
        <v>4.33333333333333</v>
      </c>
      <c r="F34" s="18" t="n">
        <f aca="false">AVERAGEIFS(Master_Cleaned_Data!$W$5:$W$1004, Master_Cleaned_Data!$G$5:$G$1004, 5, Master_Cleaned_Data!$I$5:$I$1004, 4)</f>
        <v>4.2</v>
      </c>
      <c r="G34" s="18" t="n">
        <f aca="false">AVERAGEIFS(Master_Cleaned_Data!$W$5:$W$1004, Master_Cleaned_Data!$G$5:$G$1004, 5, Master_Cleaned_Data!$I$5:$I$1004, 5)</f>
        <v>5.5</v>
      </c>
      <c r="H34" s="18" t="n">
        <f aca="false">AVERAGEIFS(Master_Cleaned_Data!$W$5:$W$1004, Master_Cleaned_Data!$G$5:$G$1004, 5, Master_Cleaned_Data!$I$5:$I$1004, 6)</f>
        <v>3.4</v>
      </c>
      <c r="I34" s="19" t="n">
        <f aca="false">AVERAGE(B34:H34)</f>
        <v>4.13537414965986</v>
      </c>
    </row>
    <row r="35" customFormat="false" ht="15" hidden="false" customHeight="false" outlineLevel="0" collapsed="false">
      <c r="A35" s="17" t="s">
        <v>43</v>
      </c>
      <c r="B35" s="18" t="n">
        <f aca="false">AVERAGEIFS(Master_Cleaned_Data!$W$5:$W$1004, Master_Cleaned_Data!$G$5:$G$1004, 6, Master_Cleaned_Data!$I$5:$I$1004, 0)</f>
        <v>1.83333333333333</v>
      </c>
      <c r="C35" s="18" t="n">
        <f aca="false">AVERAGEIFS(Master_Cleaned_Data!$W$5:$W$1004, Master_Cleaned_Data!$G$5:$G$1004, 6, Master_Cleaned_Data!$I$5:$I$1004, 1)</f>
        <v>24.8571428571429</v>
      </c>
      <c r="D35" s="18" t="n">
        <f aca="false">AVERAGEIFS(Master_Cleaned_Data!$W$5:$W$1004, Master_Cleaned_Data!$G$5:$G$1004, 6, Master_Cleaned_Data!$I$5:$I$1004, 2)</f>
        <v>32</v>
      </c>
      <c r="E35" s="18" t="n">
        <f aca="false">AVERAGEIFS(Master_Cleaned_Data!$W$5:$W$1004, Master_Cleaned_Data!$G$5:$G$1004, 6, Master_Cleaned_Data!$I$5:$I$1004, 3)</f>
        <v>25</v>
      </c>
      <c r="F35" s="18" t="n">
        <f aca="false">AVERAGEIFS(Master_Cleaned_Data!$W$5:$W$1004, Master_Cleaned_Data!$G$5:$G$1004, 6, Master_Cleaned_Data!$I$5:$I$1004, 4)</f>
        <v>32.8</v>
      </c>
      <c r="G35" s="18" t="n">
        <f aca="false">AVERAGEIFS(Master_Cleaned_Data!$W$5:$W$1004, Master_Cleaned_Data!$G$5:$G$1004, 6, Master_Cleaned_Data!$I$5:$I$1004, 5)</f>
        <v>24.3333333333333</v>
      </c>
      <c r="H35" s="18" t="n">
        <f aca="false">AVERAGEIFS(Master_Cleaned_Data!$W$5:$W$1004, Master_Cleaned_Data!$G$5:$G$1004, 6, Master_Cleaned_Data!$I$5:$I$1004, 6)</f>
        <v>2.42857142857143</v>
      </c>
      <c r="I35" s="19" t="n">
        <f aca="false">AVERAGE(B35:H35)</f>
        <v>20.4646258503401</v>
      </c>
    </row>
    <row r="36" customFormat="false" ht="15" hidden="false" customHeight="false" outlineLevel="0" collapsed="false">
      <c r="A36" s="17" t="s">
        <v>44</v>
      </c>
      <c r="B36" s="18" t="n">
        <f aca="false">AVERAGEIFS(Master_Cleaned_Data!$W$5:$W$1004, Master_Cleaned_Data!$G$5:$G$1004, 7, Master_Cleaned_Data!$I$5:$I$1004, 0)</f>
        <v>3.71428571428571</v>
      </c>
      <c r="C36" s="18" t="n">
        <f aca="false">AVERAGEIFS(Master_Cleaned_Data!$W$5:$W$1004, Master_Cleaned_Data!$G$5:$G$1004, 7, Master_Cleaned_Data!$I$5:$I$1004, 1)</f>
        <v>71.8571428571429</v>
      </c>
      <c r="D36" s="18" t="n">
        <f aca="false">AVERAGEIFS(Master_Cleaned_Data!$W$5:$W$1004, Master_Cleaned_Data!$G$5:$G$1004, 7, Master_Cleaned_Data!$I$5:$I$1004, 2)</f>
        <v>90.6</v>
      </c>
      <c r="E36" s="18" t="n">
        <f aca="false">AVERAGEIFS(Master_Cleaned_Data!$W$5:$W$1004, Master_Cleaned_Data!$G$5:$G$1004, 7, Master_Cleaned_Data!$I$5:$I$1004, 3)</f>
        <v>68.3333333333333</v>
      </c>
      <c r="F36" s="18" t="n">
        <f aca="false">AVERAGEIFS(Master_Cleaned_Data!$W$5:$W$1004, Master_Cleaned_Data!$G$5:$G$1004, 7, Master_Cleaned_Data!$I$5:$I$1004, 4)</f>
        <v>90.8</v>
      </c>
      <c r="G36" s="18" t="n">
        <f aca="false">AVERAGEIFS(Master_Cleaned_Data!$W$5:$W$1004, Master_Cleaned_Data!$G$5:$G$1004, 7, Master_Cleaned_Data!$I$5:$I$1004, 5)</f>
        <v>73.8333333333333</v>
      </c>
      <c r="H36" s="18" t="n">
        <f aca="false">AVERAGEIFS(Master_Cleaned_Data!$W$5:$W$1004, Master_Cleaned_Data!$G$5:$G$1004, 7, Master_Cleaned_Data!$I$5:$I$1004, 6)</f>
        <v>7.14285714285714</v>
      </c>
      <c r="I36" s="19" t="n">
        <f aca="false">AVERAGE(B36:H36)</f>
        <v>58.0401360544218</v>
      </c>
    </row>
    <row r="37" customFormat="false" ht="15" hidden="false" customHeight="false" outlineLevel="0" collapsed="false">
      <c r="A37" s="17" t="s">
        <v>45</v>
      </c>
      <c r="B37" s="18" t="n">
        <f aca="false">AVERAGEIFS(Master_Cleaned_Data!$W$5:$W$1004, Master_Cleaned_Data!$G$5:$G$1004, 8, Master_Cleaned_Data!$I$5:$I$1004, 0)</f>
        <v>14.5714285714286</v>
      </c>
      <c r="C37" s="18" t="n">
        <f aca="false">AVERAGEIFS(Master_Cleaned_Data!$W$5:$W$1004, Master_Cleaned_Data!$G$5:$G$1004, 8, Master_Cleaned_Data!$I$5:$I$1004, 1)</f>
        <v>161.166666666667</v>
      </c>
      <c r="D37" s="18" t="n">
        <f aca="false">AVERAGEIFS(Master_Cleaned_Data!$W$5:$W$1004, Master_Cleaned_Data!$G$5:$G$1004, 8, Master_Cleaned_Data!$I$5:$I$1004, 2)</f>
        <v>202.4</v>
      </c>
      <c r="E37" s="18" t="n">
        <f aca="false">AVERAGEIFS(Master_Cleaned_Data!$W$5:$W$1004, Master_Cleaned_Data!$G$5:$G$1004, 8, Master_Cleaned_Data!$I$5:$I$1004, 3)</f>
        <v>157.666666666667</v>
      </c>
      <c r="F37" s="18" t="n">
        <f aca="false">AVERAGEIFS(Master_Cleaned_Data!$W$5:$W$1004, Master_Cleaned_Data!$G$5:$G$1004, 8, Master_Cleaned_Data!$I$5:$I$1004, 4)</f>
        <v>207.2</v>
      </c>
      <c r="G37" s="18" t="n">
        <f aca="false">AVERAGEIFS(Master_Cleaned_Data!$W$5:$W$1004, Master_Cleaned_Data!$G$5:$G$1004, 8, Master_Cleaned_Data!$I$5:$I$1004, 5)</f>
        <v>196.333333333333</v>
      </c>
      <c r="H37" s="18" t="n">
        <f aca="false">AVERAGEIFS(Master_Cleaned_Data!$W$5:$W$1004, Master_Cleaned_Data!$G$5:$G$1004, 8, Master_Cleaned_Data!$I$5:$I$1004, 6)</f>
        <v>21</v>
      </c>
      <c r="I37" s="19" t="n">
        <f aca="false">AVERAGE(B37:H37)</f>
        <v>137.191156462585</v>
      </c>
    </row>
    <row r="38" customFormat="false" ht="15" hidden="false" customHeight="false" outlineLevel="0" collapsed="false">
      <c r="A38" s="17" t="s">
        <v>46</v>
      </c>
      <c r="B38" s="18" t="n">
        <f aca="false">AVERAGEIFS(Master_Cleaned_Data!$W$5:$W$1004, Master_Cleaned_Data!$G$5:$G$1004, 9, Master_Cleaned_Data!$I$5:$I$1004, 0)</f>
        <v>32.7142857142857</v>
      </c>
      <c r="C38" s="18" t="n">
        <f aca="false">AVERAGEIFS(Master_Cleaned_Data!$W$5:$W$1004, Master_Cleaned_Data!$G$5:$G$1004, 9, Master_Cleaned_Data!$I$5:$I$1004, 1)</f>
        <v>93.5</v>
      </c>
      <c r="D38" s="18" t="n">
        <f aca="false">AVERAGEIFS(Master_Cleaned_Data!$W$5:$W$1004, Master_Cleaned_Data!$G$5:$G$1004, 9, Master_Cleaned_Data!$I$5:$I$1004, 2)</f>
        <v>125</v>
      </c>
      <c r="E38" s="18" t="n">
        <f aca="false">AVERAGEIFS(Master_Cleaned_Data!$W$5:$W$1004, Master_Cleaned_Data!$G$5:$G$1004, 9, Master_Cleaned_Data!$I$5:$I$1004, 3)</f>
        <v>101.5</v>
      </c>
      <c r="F38" s="18" t="n">
        <f aca="false">AVERAGEIFS(Master_Cleaned_Data!$W$5:$W$1004, Master_Cleaned_Data!$G$5:$G$1004, 9, Master_Cleaned_Data!$I$5:$I$1004, 4)</f>
        <v>131.8</v>
      </c>
      <c r="G38" s="18" t="n">
        <f aca="false">AVERAGEIFS(Master_Cleaned_Data!$W$5:$W$1004, Master_Cleaned_Data!$G$5:$G$1004, 9, Master_Cleaned_Data!$I$5:$I$1004, 5)</f>
        <v>130.833333333333</v>
      </c>
      <c r="H38" s="18" t="n">
        <f aca="false">AVERAGEIFS(Master_Cleaned_Data!$W$5:$W$1004, Master_Cleaned_Data!$G$5:$G$1004, 9, Master_Cleaned_Data!$I$5:$I$1004, 6)</f>
        <v>29.1428571428571</v>
      </c>
      <c r="I38" s="19" t="n">
        <f aca="false">AVERAGE(B38:H38)</f>
        <v>92.0700680272109</v>
      </c>
    </row>
    <row r="39" customFormat="false" ht="15" hidden="false" customHeight="false" outlineLevel="0" collapsed="false">
      <c r="A39" s="17" t="s">
        <v>47</v>
      </c>
      <c r="B39" s="18" t="n">
        <f aca="false">AVERAGEIFS(Master_Cleaned_Data!$W$5:$W$1004, Master_Cleaned_Data!$G$5:$G$1004, 10, Master_Cleaned_Data!$I$5:$I$1004, 0)</f>
        <v>71</v>
      </c>
      <c r="C39" s="18" t="n">
        <f aca="false">AVERAGEIFS(Master_Cleaned_Data!$W$5:$W$1004, Master_Cleaned_Data!$G$5:$G$1004, 10, Master_Cleaned_Data!$I$5:$I$1004, 1)</f>
        <v>49.3333333333333</v>
      </c>
      <c r="D39" s="18" t="n">
        <f aca="false">AVERAGEIFS(Master_Cleaned_Data!$W$5:$W$1004, Master_Cleaned_Data!$G$5:$G$1004, 10, Master_Cleaned_Data!$I$5:$I$1004, 2)</f>
        <v>49.2</v>
      </c>
      <c r="E39" s="18" t="n">
        <f aca="false">AVERAGEIFS(Master_Cleaned_Data!$W$5:$W$1004, Master_Cleaned_Data!$G$5:$G$1004, 10, Master_Cleaned_Data!$I$5:$I$1004, 3)</f>
        <v>48.5</v>
      </c>
      <c r="F39" s="18" t="n">
        <f aca="false">AVERAGEIFS(Master_Cleaned_Data!$W$5:$W$1004, Master_Cleaned_Data!$G$5:$G$1004, 10, Master_Cleaned_Data!$I$5:$I$1004, 4)</f>
        <v>45.4</v>
      </c>
      <c r="G39" s="18" t="n">
        <f aca="false">AVERAGEIFS(Master_Cleaned_Data!$W$5:$W$1004, Master_Cleaned_Data!$G$5:$G$1004, 10, Master_Cleaned_Data!$I$5:$I$1004, 5)</f>
        <v>52.3333333333333</v>
      </c>
      <c r="H39" s="18" t="n">
        <f aca="false">AVERAGEIFS(Master_Cleaned_Data!$W$5:$W$1004, Master_Cleaned_Data!$G$5:$G$1004, 10, Master_Cleaned_Data!$I$5:$I$1004, 6)</f>
        <v>54.5714285714286</v>
      </c>
      <c r="I39" s="19" t="n">
        <f aca="false">AVERAGE(B39:H39)</f>
        <v>52.9054421768708</v>
      </c>
    </row>
    <row r="40" customFormat="false" ht="15" hidden="false" customHeight="false" outlineLevel="0" collapsed="false">
      <c r="A40" s="17" t="s">
        <v>48</v>
      </c>
      <c r="B40" s="18" t="n">
        <f aca="false">AVERAGEIFS(Master_Cleaned_Data!$W$5:$W$1004, Master_Cleaned_Data!$G$5:$G$1004, 11, Master_Cleaned_Data!$I$5:$I$1004, 0)</f>
        <v>85.5714285714286</v>
      </c>
      <c r="C40" s="18" t="n">
        <f aca="false">AVERAGEIFS(Master_Cleaned_Data!$W$5:$W$1004, Master_Cleaned_Data!$G$5:$G$1004, 11, Master_Cleaned_Data!$I$5:$I$1004, 1)</f>
        <v>47.6666666666667</v>
      </c>
      <c r="D40" s="18" t="n">
        <f aca="false">AVERAGEIFS(Master_Cleaned_Data!$W$5:$W$1004, Master_Cleaned_Data!$G$5:$G$1004, 11, Master_Cleaned_Data!$I$5:$I$1004, 2)</f>
        <v>50.8</v>
      </c>
      <c r="E40" s="18" t="n">
        <f aca="false">AVERAGEIFS(Master_Cleaned_Data!$W$5:$W$1004, Master_Cleaned_Data!$G$5:$G$1004, 11, Master_Cleaned_Data!$I$5:$I$1004, 3)</f>
        <v>44.5</v>
      </c>
      <c r="F40" s="18" t="n">
        <f aca="false">AVERAGEIFS(Master_Cleaned_Data!$W$5:$W$1004, Master_Cleaned_Data!$G$5:$G$1004, 11, Master_Cleaned_Data!$I$5:$I$1004, 4)</f>
        <v>54.6</v>
      </c>
      <c r="G40" s="18" t="n">
        <f aca="false">AVERAGEIFS(Master_Cleaned_Data!$W$5:$W$1004, Master_Cleaned_Data!$G$5:$G$1004, 11, Master_Cleaned_Data!$I$5:$I$1004, 5)</f>
        <v>56.1666666666667</v>
      </c>
      <c r="H40" s="18" t="n">
        <f aca="false">AVERAGEIFS(Master_Cleaned_Data!$W$5:$W$1004, Master_Cleaned_Data!$G$5:$G$1004, 11, Master_Cleaned_Data!$I$5:$I$1004, 6)</f>
        <v>68.2857142857143</v>
      </c>
      <c r="I40" s="19" t="n">
        <f aca="false">AVERAGE(B40:H40)</f>
        <v>58.2272108843537</v>
      </c>
    </row>
    <row r="41" customFormat="false" ht="15" hidden="false" customHeight="false" outlineLevel="0" collapsed="false">
      <c r="A41" s="17" t="s">
        <v>49</v>
      </c>
      <c r="B41" s="18" t="n">
        <f aca="false">AVERAGEIFS(Master_Cleaned_Data!$W$5:$W$1004, Master_Cleaned_Data!$G$5:$G$1004, 12, Master_Cleaned_Data!$I$5:$I$1004, 0)</f>
        <v>117</v>
      </c>
      <c r="C41" s="18" t="n">
        <f aca="false">AVERAGEIFS(Master_Cleaned_Data!$W$5:$W$1004, Master_Cleaned_Data!$G$5:$G$1004, 12, Master_Cleaned_Data!$I$5:$I$1004, 1)</f>
        <v>65</v>
      </c>
      <c r="D41" s="18" t="n">
        <f aca="false">AVERAGEIFS(Master_Cleaned_Data!$W$5:$W$1004, Master_Cleaned_Data!$G$5:$G$1004, 12, Master_Cleaned_Data!$I$5:$I$1004, 2)</f>
        <v>60.6666666666667</v>
      </c>
      <c r="E41" s="18" t="n">
        <f aca="false">AVERAGEIFS(Master_Cleaned_Data!$W$5:$W$1004, Master_Cleaned_Data!$G$5:$G$1004, 12, Master_Cleaned_Data!$I$5:$I$1004, 3)</f>
        <v>62.8333333333333</v>
      </c>
      <c r="F41" s="18" t="n">
        <f aca="false">AVERAGEIFS(Master_Cleaned_Data!$W$5:$W$1004, Master_Cleaned_Data!$G$5:$G$1004, 12, Master_Cleaned_Data!$I$5:$I$1004, 4)</f>
        <v>71.6</v>
      </c>
      <c r="G41" s="18" t="n">
        <f aca="false">AVERAGEIFS(Master_Cleaned_Data!$W$5:$W$1004, Master_Cleaned_Data!$G$5:$G$1004, 12, Master_Cleaned_Data!$I$5:$I$1004, 5)</f>
        <v>64</v>
      </c>
      <c r="H41" s="18" t="n">
        <f aca="false">AVERAGEIFS(Master_Cleaned_Data!$W$5:$W$1004, Master_Cleaned_Data!$G$5:$G$1004, 12, Master_Cleaned_Data!$I$5:$I$1004, 6)</f>
        <v>84.4285714285714</v>
      </c>
      <c r="I41" s="19" t="n">
        <f aca="false">AVERAGE(B41:H41)</f>
        <v>75.0755102040816</v>
      </c>
    </row>
    <row r="42" customFormat="false" ht="15" hidden="false" customHeight="false" outlineLevel="0" collapsed="false">
      <c r="A42" s="17" t="s">
        <v>50</v>
      </c>
      <c r="B42" s="18" t="n">
        <f aca="false">AVERAGEIFS(Master_Cleaned_Data!$W$5:$W$1004, Master_Cleaned_Data!$G$5:$G$1004, 13, Master_Cleaned_Data!$I$5:$I$1004, 0)</f>
        <v>110.714285714286</v>
      </c>
      <c r="C42" s="18" t="n">
        <f aca="false">AVERAGEIFS(Master_Cleaned_Data!$W$5:$W$1004, Master_Cleaned_Data!$G$5:$G$1004, 13, Master_Cleaned_Data!$I$5:$I$1004, 1)</f>
        <v>64.3333333333333</v>
      </c>
      <c r="D42" s="18" t="n">
        <f aca="false">AVERAGEIFS(Master_Cleaned_Data!$W$5:$W$1004, Master_Cleaned_Data!$G$5:$G$1004, 13, Master_Cleaned_Data!$I$5:$I$1004, 2)</f>
        <v>61</v>
      </c>
      <c r="E42" s="18" t="n">
        <f aca="false">AVERAGEIFS(Master_Cleaned_Data!$W$5:$W$1004, Master_Cleaned_Data!$G$5:$G$1004, 13, Master_Cleaned_Data!$I$5:$I$1004, 3)</f>
        <v>64.8333333333333</v>
      </c>
      <c r="F42" s="18" t="n">
        <f aca="false">AVERAGEIFS(Master_Cleaned_Data!$W$5:$W$1004, Master_Cleaned_Data!$G$5:$G$1004, 13, Master_Cleaned_Data!$I$5:$I$1004, 4)</f>
        <v>72.2</v>
      </c>
      <c r="G42" s="18" t="n">
        <f aca="false">AVERAGEIFS(Master_Cleaned_Data!$W$5:$W$1004, Master_Cleaned_Data!$G$5:$G$1004, 13, Master_Cleaned_Data!$I$5:$I$1004, 5)</f>
        <v>74.3333333333333</v>
      </c>
      <c r="H42" s="18" t="n">
        <f aca="false">AVERAGEIFS(Master_Cleaned_Data!$W$5:$W$1004, Master_Cleaned_Data!$G$5:$G$1004, 13, Master_Cleaned_Data!$I$5:$I$1004, 6)</f>
        <v>93.2857142857143</v>
      </c>
      <c r="I42" s="19" t="n">
        <f aca="false">AVERAGE(B42:H42)</f>
        <v>77.2428571428572</v>
      </c>
    </row>
    <row r="43" customFormat="false" ht="15" hidden="false" customHeight="false" outlineLevel="0" collapsed="false">
      <c r="A43" s="17" t="s">
        <v>51</v>
      </c>
      <c r="B43" s="18" t="n">
        <f aca="false">AVERAGEIFS(Master_Cleaned_Data!$W$5:$W$1004, Master_Cleaned_Data!$G$5:$G$1004, 14, Master_Cleaned_Data!$I$5:$I$1004, 0)</f>
        <v>110.857142857143</v>
      </c>
      <c r="C43" s="18" t="n">
        <f aca="false">AVERAGEIFS(Master_Cleaned_Data!$W$5:$W$1004, Master_Cleaned_Data!$G$5:$G$1004, 14, Master_Cleaned_Data!$I$5:$I$1004, 1)</f>
        <v>66.8333333333333</v>
      </c>
      <c r="D43" s="18" t="n">
        <f aca="false">AVERAGEIFS(Master_Cleaned_Data!$W$5:$W$1004, Master_Cleaned_Data!$G$5:$G$1004, 14, Master_Cleaned_Data!$I$5:$I$1004, 2)</f>
        <v>56.6666666666667</v>
      </c>
      <c r="E43" s="18" t="n">
        <f aca="false">AVERAGEIFS(Master_Cleaned_Data!$W$5:$W$1004, Master_Cleaned_Data!$G$5:$G$1004, 14, Master_Cleaned_Data!$I$5:$I$1004, 3)</f>
        <v>56.3333333333333</v>
      </c>
      <c r="F43" s="18" t="n">
        <f aca="false">AVERAGEIFS(Master_Cleaned_Data!$W$5:$W$1004, Master_Cleaned_Data!$G$5:$G$1004, 14, Master_Cleaned_Data!$I$5:$I$1004, 4)</f>
        <v>57.6</v>
      </c>
      <c r="G43" s="18" t="n">
        <f aca="false">AVERAGEIFS(Master_Cleaned_Data!$W$5:$W$1004, Master_Cleaned_Data!$G$5:$G$1004, 14, Master_Cleaned_Data!$I$5:$I$1004, 5)</f>
        <v>64.8333333333333</v>
      </c>
      <c r="H43" s="18" t="n">
        <f aca="false">AVERAGEIFS(Master_Cleaned_Data!$W$5:$W$1004, Master_Cleaned_Data!$G$5:$G$1004, 14, Master_Cleaned_Data!$I$5:$I$1004, 6)</f>
        <v>95.4285714285714</v>
      </c>
      <c r="I43" s="19" t="n">
        <f aca="false">AVERAGE(B43:H43)</f>
        <v>72.6503401360544</v>
      </c>
    </row>
    <row r="44" customFormat="false" ht="15" hidden="false" customHeight="false" outlineLevel="0" collapsed="false">
      <c r="A44" s="17" t="s">
        <v>52</v>
      </c>
      <c r="B44" s="18" t="n">
        <f aca="false">AVERAGEIFS(Master_Cleaned_Data!$W$5:$W$1004, Master_Cleaned_Data!$G$5:$G$1004, 15, Master_Cleaned_Data!$I$5:$I$1004, 0)</f>
        <v>114.142857142857</v>
      </c>
      <c r="C44" s="18" t="n">
        <f aca="false">AVERAGEIFS(Master_Cleaned_Data!$W$5:$W$1004, Master_Cleaned_Data!$G$5:$G$1004, 15, Master_Cleaned_Data!$I$5:$I$1004, 1)</f>
        <v>60.1666666666667</v>
      </c>
      <c r="D44" s="18" t="n">
        <f aca="false">AVERAGEIFS(Master_Cleaned_Data!$W$5:$W$1004, Master_Cleaned_Data!$G$5:$G$1004, 15, Master_Cleaned_Data!$I$5:$I$1004, 2)</f>
        <v>55.6666666666667</v>
      </c>
      <c r="E44" s="18" t="n">
        <f aca="false">AVERAGEIFS(Master_Cleaned_Data!$W$5:$W$1004, Master_Cleaned_Data!$G$5:$G$1004, 15, Master_Cleaned_Data!$I$5:$I$1004, 3)</f>
        <v>62.6666666666667</v>
      </c>
      <c r="F44" s="18" t="n">
        <f aca="false">AVERAGEIFS(Master_Cleaned_Data!$W$5:$W$1004, Master_Cleaned_Data!$G$5:$G$1004, 15, Master_Cleaned_Data!$I$5:$I$1004, 4)</f>
        <v>60.4</v>
      </c>
      <c r="G44" s="18" t="n">
        <f aca="false">AVERAGEIFS(Master_Cleaned_Data!$W$5:$W$1004, Master_Cleaned_Data!$G$5:$G$1004, 15, Master_Cleaned_Data!$I$5:$I$1004, 5)</f>
        <v>68.3333333333333</v>
      </c>
      <c r="H44" s="18" t="n">
        <f aca="false">AVERAGEIFS(Master_Cleaned_Data!$W$5:$W$1004, Master_Cleaned_Data!$G$5:$G$1004, 15, Master_Cleaned_Data!$I$5:$I$1004, 6)</f>
        <v>110</v>
      </c>
      <c r="I44" s="19" t="n">
        <f aca="false">AVERAGE(B44:H44)</f>
        <v>75.9108843537415</v>
      </c>
    </row>
    <row r="45" customFormat="false" ht="15" hidden="false" customHeight="false" outlineLevel="0" collapsed="false">
      <c r="A45" s="17" t="s">
        <v>53</v>
      </c>
      <c r="B45" s="18" t="n">
        <f aca="false">AVERAGEIFS(Master_Cleaned_Data!$W$5:$W$1004, Master_Cleaned_Data!$G$5:$G$1004, 16, Master_Cleaned_Data!$I$5:$I$1004, 0)</f>
        <v>106.571428571429</v>
      </c>
      <c r="C45" s="18" t="n">
        <f aca="false">AVERAGEIFS(Master_Cleaned_Data!$W$5:$W$1004, Master_Cleaned_Data!$G$5:$G$1004, 16, Master_Cleaned_Data!$I$5:$I$1004, 1)</f>
        <v>83.6666666666667</v>
      </c>
      <c r="D45" s="18" t="n">
        <f aca="false">AVERAGEIFS(Master_Cleaned_Data!$W$5:$W$1004, Master_Cleaned_Data!$G$5:$G$1004, 16, Master_Cleaned_Data!$I$5:$I$1004, 2)</f>
        <v>80.5</v>
      </c>
      <c r="E45" s="18" t="n">
        <f aca="false">AVERAGEIFS(Master_Cleaned_Data!$W$5:$W$1004, Master_Cleaned_Data!$G$5:$G$1004, 16, Master_Cleaned_Data!$I$5:$I$1004, 3)</f>
        <v>79.8333333333333</v>
      </c>
      <c r="F45" s="18" t="n">
        <f aca="false">AVERAGEIFS(Master_Cleaned_Data!$W$5:$W$1004, Master_Cleaned_Data!$G$5:$G$1004, 16, Master_Cleaned_Data!$I$5:$I$1004, 4)</f>
        <v>72.8333333333333</v>
      </c>
      <c r="G45" s="18" t="n">
        <f aca="false">AVERAGEIFS(Master_Cleaned_Data!$W$5:$W$1004, Master_Cleaned_Data!$G$5:$G$1004, 16, Master_Cleaned_Data!$I$5:$I$1004, 5)</f>
        <v>96.3333333333333</v>
      </c>
      <c r="H45" s="18" t="n">
        <f aca="false">AVERAGEIFS(Master_Cleaned_Data!$W$5:$W$1004, Master_Cleaned_Data!$G$5:$G$1004, 16, Master_Cleaned_Data!$I$5:$I$1004, 6)</f>
        <v>100.428571428571</v>
      </c>
      <c r="I45" s="19" t="n">
        <f aca="false">AVERAGE(B45:H45)</f>
        <v>88.5952380952381</v>
      </c>
    </row>
    <row r="46" customFormat="false" ht="15" hidden="false" customHeight="false" outlineLevel="0" collapsed="false">
      <c r="A46" s="17" t="s">
        <v>54</v>
      </c>
      <c r="B46" s="18" t="n">
        <f aca="false">AVERAGEIFS(Master_Cleaned_Data!$W$5:$W$1004, Master_Cleaned_Data!$G$5:$G$1004, 17, Master_Cleaned_Data!$I$5:$I$1004, 0)</f>
        <v>87.1428571428571</v>
      </c>
      <c r="C46" s="18" t="n">
        <f aca="false">AVERAGEIFS(Master_Cleaned_Data!$W$5:$W$1004, Master_Cleaned_Data!$G$5:$G$1004, 17, Master_Cleaned_Data!$I$5:$I$1004, 1)</f>
        <v>161.166666666667</v>
      </c>
      <c r="D46" s="18" t="n">
        <f aca="false">AVERAGEIFS(Master_Cleaned_Data!$W$5:$W$1004, Master_Cleaned_Data!$G$5:$G$1004, 17, Master_Cleaned_Data!$I$5:$I$1004, 2)</f>
        <v>174.5</v>
      </c>
      <c r="E46" s="18" t="n">
        <f aca="false">AVERAGEIFS(Master_Cleaned_Data!$W$5:$W$1004, Master_Cleaned_Data!$G$5:$G$1004, 17, Master_Cleaned_Data!$I$5:$I$1004, 3)</f>
        <v>151.333333333333</v>
      </c>
      <c r="F46" s="18" t="n">
        <f aca="false">AVERAGEIFS(Master_Cleaned_Data!$W$5:$W$1004, Master_Cleaned_Data!$G$5:$G$1004, 17, Master_Cleaned_Data!$I$5:$I$1004, 4)</f>
        <v>162.166666666667</v>
      </c>
      <c r="G46" s="18" t="n">
        <f aca="false">AVERAGEIFS(Master_Cleaned_Data!$W$5:$W$1004, Master_Cleaned_Data!$G$5:$G$1004, 17, Master_Cleaned_Data!$I$5:$I$1004, 5)</f>
        <v>178.666666666667</v>
      </c>
      <c r="H46" s="18" t="n">
        <f aca="false">AVERAGEIFS(Master_Cleaned_Data!$W$5:$W$1004, Master_Cleaned_Data!$G$5:$G$1004, 17, Master_Cleaned_Data!$I$5:$I$1004, 6)</f>
        <v>84.5714285714286</v>
      </c>
      <c r="I46" s="19" t="n">
        <f aca="false">AVERAGE(B46:H46)</f>
        <v>142.792517006803</v>
      </c>
    </row>
    <row r="47" customFormat="false" ht="15" hidden="false" customHeight="false" outlineLevel="0" collapsed="false">
      <c r="A47" s="17" t="s">
        <v>55</v>
      </c>
      <c r="B47" s="18" t="n">
        <f aca="false">AVERAGEIFS(Master_Cleaned_Data!$W$5:$W$1004, Master_Cleaned_Data!$G$5:$G$1004, 18, Master_Cleaned_Data!$I$5:$I$1004, 0)</f>
        <v>65</v>
      </c>
      <c r="C47" s="18" t="n">
        <f aca="false">AVERAGEIFS(Master_Cleaned_Data!$W$5:$W$1004, Master_Cleaned_Data!$G$5:$G$1004, 18, Master_Cleaned_Data!$I$5:$I$1004, 1)</f>
        <v>148</v>
      </c>
      <c r="D47" s="18" t="n">
        <f aca="false">AVERAGEIFS(Master_Cleaned_Data!$W$5:$W$1004, Master_Cleaned_Data!$G$5:$G$1004, 18, Master_Cleaned_Data!$I$5:$I$1004, 2)</f>
        <v>159.166666666667</v>
      </c>
      <c r="E47" s="18" t="n">
        <f aca="false">AVERAGEIFS(Master_Cleaned_Data!$W$5:$W$1004, Master_Cleaned_Data!$G$5:$G$1004, 18, Master_Cleaned_Data!$I$5:$I$1004, 3)</f>
        <v>163.8</v>
      </c>
      <c r="F47" s="18" t="n">
        <f aca="false">AVERAGEIFS(Master_Cleaned_Data!$W$5:$W$1004, Master_Cleaned_Data!$G$5:$G$1004, 18, Master_Cleaned_Data!$I$5:$I$1004, 4)</f>
        <v>150.5</v>
      </c>
      <c r="G47" s="18" t="n">
        <f aca="false">AVERAGEIFS(Master_Cleaned_Data!$W$5:$W$1004, Master_Cleaned_Data!$G$5:$G$1004, 18, Master_Cleaned_Data!$I$5:$I$1004, 5)</f>
        <v>136.666666666667</v>
      </c>
      <c r="H47" s="18" t="n">
        <f aca="false">AVERAGEIFS(Master_Cleaned_Data!$W$5:$W$1004, Master_Cleaned_Data!$G$5:$G$1004, 18, Master_Cleaned_Data!$I$5:$I$1004, 6)</f>
        <v>63.2857142857143</v>
      </c>
      <c r="I47" s="19" t="n">
        <f aca="false">AVERAGE(B47:H47)</f>
        <v>126.631292517007</v>
      </c>
    </row>
    <row r="48" customFormat="false" ht="15" hidden="false" customHeight="false" outlineLevel="0" collapsed="false">
      <c r="A48" s="17" t="s">
        <v>56</v>
      </c>
      <c r="B48" s="18" t="n">
        <f aca="false">AVERAGEIFS(Master_Cleaned_Data!$W$5:$W$1004, Master_Cleaned_Data!$G$5:$G$1004, 19, Master_Cleaned_Data!$I$5:$I$1004, 0)</f>
        <v>45.5714285714286</v>
      </c>
      <c r="C48" s="18" t="n">
        <f aca="false">AVERAGEIFS(Master_Cleaned_Data!$W$5:$W$1004, Master_Cleaned_Data!$G$5:$G$1004, 19, Master_Cleaned_Data!$I$5:$I$1004, 1)</f>
        <v>101.666666666667</v>
      </c>
      <c r="D48" s="18" t="n">
        <f aca="false">AVERAGEIFS(Master_Cleaned_Data!$W$5:$W$1004, Master_Cleaned_Data!$G$5:$G$1004, 19, Master_Cleaned_Data!$I$5:$I$1004, 2)</f>
        <v>102.833333333333</v>
      </c>
      <c r="E48" s="18" t="n">
        <f aca="false">AVERAGEIFS(Master_Cleaned_Data!$W$5:$W$1004, Master_Cleaned_Data!$G$5:$G$1004, 19, Master_Cleaned_Data!$I$5:$I$1004, 3)</f>
        <v>101.2</v>
      </c>
      <c r="F48" s="18" t="n">
        <f aca="false">AVERAGEIFS(Master_Cleaned_Data!$W$5:$W$1004, Master_Cleaned_Data!$G$5:$G$1004, 19, Master_Cleaned_Data!$I$5:$I$1004, 4)</f>
        <v>108.333333333333</v>
      </c>
      <c r="G48" s="18" t="n">
        <f aca="false">AVERAGEIFS(Master_Cleaned_Data!$W$5:$W$1004, Master_Cleaned_Data!$G$5:$G$1004, 19, Master_Cleaned_Data!$I$5:$I$1004, 5)</f>
        <v>96</v>
      </c>
      <c r="H48" s="18" t="n">
        <f aca="false">AVERAGEIFS(Master_Cleaned_Data!$W$5:$W$1004, Master_Cleaned_Data!$G$5:$G$1004, 19, Master_Cleaned_Data!$I$5:$I$1004, 6)</f>
        <v>54.7142857142857</v>
      </c>
      <c r="I48" s="19" t="n">
        <f aca="false">AVERAGE(B48:H48)</f>
        <v>87.1884353741497</v>
      </c>
    </row>
    <row r="49" customFormat="false" ht="15" hidden="false" customHeight="false" outlineLevel="0" collapsed="false">
      <c r="A49" s="17" t="s">
        <v>57</v>
      </c>
      <c r="B49" s="18" t="n">
        <f aca="false">AVERAGEIFS(Master_Cleaned_Data!$W$5:$W$1004, Master_Cleaned_Data!$G$5:$G$1004, 20, Master_Cleaned_Data!$I$5:$I$1004, 0)</f>
        <v>36.8571428571429</v>
      </c>
      <c r="C49" s="18" t="n">
        <f aca="false">AVERAGEIFS(Master_Cleaned_Data!$W$5:$W$1004, Master_Cleaned_Data!$G$5:$G$1004, 20, Master_Cleaned_Data!$I$5:$I$1004, 1)</f>
        <v>67.6666666666667</v>
      </c>
      <c r="D49" s="18" t="n">
        <f aca="false">AVERAGEIFS(Master_Cleaned_Data!$W$5:$W$1004, Master_Cleaned_Data!$G$5:$G$1004, 20, Master_Cleaned_Data!$I$5:$I$1004, 2)</f>
        <v>69.6666666666667</v>
      </c>
      <c r="E49" s="18" t="n">
        <f aca="false">AVERAGEIFS(Master_Cleaned_Data!$W$5:$W$1004, Master_Cleaned_Data!$G$5:$G$1004, 20, Master_Cleaned_Data!$I$5:$I$1004, 3)</f>
        <v>76</v>
      </c>
      <c r="F49" s="18" t="n">
        <f aca="false">AVERAGEIFS(Master_Cleaned_Data!$W$5:$W$1004, Master_Cleaned_Data!$G$5:$G$1004, 20, Master_Cleaned_Data!$I$5:$I$1004, 4)</f>
        <v>87.3333333333333</v>
      </c>
      <c r="G49" s="18" t="n">
        <f aca="false">AVERAGEIFS(Master_Cleaned_Data!$W$5:$W$1004, Master_Cleaned_Data!$G$5:$G$1004, 20, Master_Cleaned_Data!$I$5:$I$1004, 5)</f>
        <v>61.3333333333333</v>
      </c>
      <c r="H49" s="18" t="n">
        <f aca="false">AVERAGEIFS(Master_Cleaned_Data!$W$5:$W$1004, Master_Cleaned_Data!$G$5:$G$1004, 20, Master_Cleaned_Data!$I$5:$I$1004, 6)</f>
        <v>43.1428571428571</v>
      </c>
      <c r="I49" s="19" t="n">
        <f aca="false">AVERAGE(B49:H49)</f>
        <v>63.1428571428571</v>
      </c>
    </row>
    <row r="50" customFormat="false" ht="15" hidden="false" customHeight="false" outlineLevel="0" collapsed="false">
      <c r="A50" s="17" t="s">
        <v>58</v>
      </c>
      <c r="B50" s="18" t="n">
        <f aca="false">AVERAGEIFS(Master_Cleaned_Data!$W$5:$W$1004, Master_Cleaned_Data!$G$5:$G$1004, 21, Master_Cleaned_Data!$I$5:$I$1004, 0)</f>
        <v>30</v>
      </c>
      <c r="C50" s="18" t="n">
        <f aca="false">AVERAGEIFS(Master_Cleaned_Data!$W$5:$W$1004, Master_Cleaned_Data!$G$5:$G$1004, 21, Master_Cleaned_Data!$I$5:$I$1004, 1)</f>
        <v>51.6666666666667</v>
      </c>
      <c r="D50" s="18" t="n">
        <f aca="false">AVERAGEIFS(Master_Cleaned_Data!$W$5:$W$1004, Master_Cleaned_Data!$G$5:$G$1004, 21, Master_Cleaned_Data!$I$5:$I$1004, 2)</f>
        <v>45.3333333333333</v>
      </c>
      <c r="E50" s="18" t="n">
        <f aca="false">AVERAGEIFS(Master_Cleaned_Data!$W$5:$W$1004, Master_Cleaned_Data!$G$5:$G$1004, 21, Master_Cleaned_Data!$I$5:$I$1004, 3)</f>
        <v>61</v>
      </c>
      <c r="F50" s="18" t="n">
        <f aca="false">AVERAGEIFS(Master_Cleaned_Data!$W$5:$W$1004, Master_Cleaned_Data!$G$5:$G$1004, 21, Master_Cleaned_Data!$I$5:$I$1004, 4)</f>
        <v>51.5</v>
      </c>
      <c r="G50" s="18" t="n">
        <f aca="false">AVERAGEIFS(Master_Cleaned_Data!$W$5:$W$1004, Master_Cleaned_Data!$G$5:$G$1004, 21, Master_Cleaned_Data!$I$5:$I$1004, 5)</f>
        <v>46.6666666666667</v>
      </c>
      <c r="H50" s="18" t="n">
        <f aca="false">AVERAGEIFS(Master_Cleaned_Data!$W$5:$W$1004, Master_Cleaned_Data!$G$5:$G$1004, 21, Master_Cleaned_Data!$I$5:$I$1004, 6)</f>
        <v>44.2857142857143</v>
      </c>
      <c r="I50" s="19" t="n">
        <f aca="false">AVERAGE(B50:H50)</f>
        <v>47.2074829931973</v>
      </c>
    </row>
    <row r="51" customFormat="false" ht="15" hidden="false" customHeight="false" outlineLevel="0" collapsed="false">
      <c r="A51" s="17" t="s">
        <v>59</v>
      </c>
      <c r="B51" s="18" t="n">
        <f aca="false">AVERAGEIFS(Master_Cleaned_Data!$W$5:$W$1004, Master_Cleaned_Data!$G$5:$G$1004, 22, Master_Cleaned_Data!$I$5:$I$1004, 0)</f>
        <v>27.4285714285714</v>
      </c>
      <c r="C51" s="18" t="n">
        <f aca="false">AVERAGEIFS(Master_Cleaned_Data!$W$5:$W$1004, Master_Cleaned_Data!$G$5:$G$1004, 22, Master_Cleaned_Data!$I$5:$I$1004, 1)</f>
        <v>27.1666666666667</v>
      </c>
      <c r="D51" s="18" t="n">
        <f aca="false">AVERAGEIFS(Master_Cleaned_Data!$W$5:$W$1004, Master_Cleaned_Data!$G$5:$G$1004, 22, Master_Cleaned_Data!$I$5:$I$1004, 2)</f>
        <v>35.8333333333333</v>
      </c>
      <c r="E51" s="18" t="n">
        <f aca="false">AVERAGEIFS(Master_Cleaned_Data!$W$5:$W$1004, Master_Cleaned_Data!$G$5:$G$1004, 22, Master_Cleaned_Data!$I$5:$I$1004, 3)</f>
        <v>44</v>
      </c>
      <c r="F51" s="18" t="n">
        <f aca="false">AVERAGEIFS(Master_Cleaned_Data!$W$5:$W$1004, Master_Cleaned_Data!$G$5:$G$1004, 22, Master_Cleaned_Data!$I$5:$I$1004, 4)</f>
        <v>42.8333333333333</v>
      </c>
      <c r="G51" s="18" t="n">
        <f aca="false">AVERAGEIFS(Master_Cleaned_Data!$W$5:$W$1004, Master_Cleaned_Data!$G$5:$G$1004, 22, Master_Cleaned_Data!$I$5:$I$1004, 5)</f>
        <v>36.8333333333333</v>
      </c>
      <c r="H51" s="18" t="n">
        <f aca="false">AVERAGEIFS(Master_Cleaned_Data!$W$5:$W$1004, Master_Cleaned_Data!$G$5:$G$1004, 22, Master_Cleaned_Data!$I$5:$I$1004, 6)</f>
        <v>34.2857142857143</v>
      </c>
      <c r="I51" s="19" t="n">
        <f aca="false">AVERAGE(B51:H51)</f>
        <v>35.4829931972789</v>
      </c>
    </row>
    <row r="52" customFormat="false" ht="15" hidden="false" customHeight="false" outlineLevel="0" collapsed="false">
      <c r="A52" s="17" t="s">
        <v>60</v>
      </c>
      <c r="B52" s="18" t="n">
        <f aca="false">AVERAGEIFS(Master_Cleaned_Data!$W$5:$W$1004, Master_Cleaned_Data!$G$5:$G$1004, 23, Master_Cleaned_Data!$I$5:$I$1004, 0)</f>
        <v>19.1428571428571</v>
      </c>
      <c r="C52" s="18" t="n">
        <f aca="false">AVERAGEIFS(Master_Cleaned_Data!$W$5:$W$1004, Master_Cleaned_Data!$G$5:$G$1004, 23, Master_Cleaned_Data!$I$5:$I$1004, 1)</f>
        <v>16.6666666666667</v>
      </c>
      <c r="D52" s="18" t="n">
        <f aca="false">AVERAGEIFS(Master_Cleaned_Data!$W$5:$W$1004, Master_Cleaned_Data!$G$5:$G$1004, 23, Master_Cleaned_Data!$I$5:$I$1004, 2)</f>
        <v>19.6666666666667</v>
      </c>
      <c r="E52" s="18" t="n">
        <f aca="false">AVERAGEIFS(Master_Cleaned_Data!$W$5:$W$1004, Master_Cleaned_Data!$G$5:$G$1004, 23, Master_Cleaned_Data!$I$5:$I$1004, 3)</f>
        <v>27.2</v>
      </c>
      <c r="F52" s="18" t="n">
        <f aca="false">AVERAGEIFS(Master_Cleaned_Data!$W$5:$W$1004, Master_Cleaned_Data!$G$5:$G$1004, 23, Master_Cleaned_Data!$I$5:$I$1004, 4)</f>
        <v>26.1666666666667</v>
      </c>
      <c r="G52" s="18" t="n">
        <f aca="false">AVERAGEIFS(Master_Cleaned_Data!$W$5:$W$1004, Master_Cleaned_Data!$G$5:$G$1004, 23, Master_Cleaned_Data!$I$5:$I$1004, 5)</f>
        <v>29.3333333333333</v>
      </c>
      <c r="H52" s="18" t="n">
        <f aca="false">AVERAGEIFS(Master_Cleaned_Data!$W$5:$W$1004, Master_Cleaned_Data!$G$5:$G$1004, 23, Master_Cleaned_Data!$I$5:$I$1004, 6)</f>
        <v>37.4285714285714</v>
      </c>
      <c r="I52" s="19" t="n">
        <f aca="false">AVERAGE(B52:H52)</f>
        <v>25.0863945578231</v>
      </c>
    </row>
    <row r="53" customFormat="false" ht="15" hidden="false" customHeight="false" outlineLevel="0" collapsed="false">
      <c r="A53" s="25" t="s">
        <v>61</v>
      </c>
      <c r="B53" s="24" t="n">
        <f aca="false">AVERAGE(B29:B52)</f>
        <v>48.3839285714286</v>
      </c>
      <c r="C53" s="24" t="n">
        <f aca="false">AVERAGE(C29:C52)</f>
        <v>57.880753968254</v>
      </c>
      <c r="D53" s="24" t="n">
        <f aca="false">AVERAGE(D29:D52)</f>
        <v>62.25</v>
      </c>
      <c r="E53" s="24" t="n">
        <f aca="false">AVERAGE(E29:E52)</f>
        <v>59.2583333333333</v>
      </c>
      <c r="F53" s="24" t="n">
        <f aca="false">AVERAGE(F29:F52)</f>
        <v>64.6784722222222</v>
      </c>
      <c r="G53" s="24" t="n">
        <f aca="false">AVERAGE(G29:G52)</f>
        <v>63.2013888888889</v>
      </c>
      <c r="H53" s="24" t="n">
        <f aca="false">AVERAGE(H29:H52)</f>
        <v>46.1595238095238</v>
      </c>
      <c r="I53" s="24" t="n">
        <f aca="false">AVERAGE(I29:I52)</f>
        <v>57.4017715419501</v>
      </c>
    </row>
    <row r="54" customFormat="false" ht="12" hidden="false" customHeight="true" outlineLevel="0" collapsed="false"/>
    <row r="55" customFormat="false" ht="19.5" hidden="false" customHeight="true" outlineLevel="0" collapsed="false">
      <c r="A55" s="26" t="s">
        <v>62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customFormat="false" ht="18" hidden="false" customHeight="true" outlineLevel="0" collapsed="false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customFormat="false" ht="18" hidden="false" customHeight="true" outlineLevel="0" collapsed="false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customFormat="false" ht="18" hidden="false" customHeight="true" outlineLevel="0" collapsed="false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customFormat="false" ht="18" hidden="false" customHeight="true" outlineLevel="0" collapsed="false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</sheetData>
  <mergeCells count="30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27:I27"/>
    <mergeCell ref="K27:N27"/>
    <mergeCell ref="A55:N55"/>
    <mergeCell ref="A56:N56"/>
    <mergeCell ref="A57:N57"/>
    <mergeCell ref="A58:N58"/>
    <mergeCell ref="A59:N59"/>
  </mergeCells>
  <conditionalFormatting sqref="B29:H5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67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  <c r="G1" s="28" t="s">
        <v>73</v>
      </c>
      <c r="H1" s="28" t="s">
        <v>74</v>
      </c>
      <c r="I1" s="28" t="s">
        <v>75</v>
      </c>
      <c r="J1" s="28" t="s">
        <v>76</v>
      </c>
    </row>
    <row r="2" customFormat="false" ht="15" hidden="false" customHeight="false" outlineLevel="0" collapsed="false">
      <c r="A2" s="0" t="n">
        <v>1</v>
      </c>
      <c r="B2" s="0" t="s">
        <v>77</v>
      </c>
      <c r="C2" s="0" t="n">
        <v>1</v>
      </c>
      <c r="D2" s="0" t="n">
        <v>0</v>
      </c>
      <c r="E2" s="0" t="n">
        <v>1</v>
      </c>
      <c r="F2" s="0" t="n">
        <v>0</v>
      </c>
      <c r="G2" s="0" t="b">
        <f aca="false">FALSE()</f>
        <v>0</v>
      </c>
      <c r="H2" s="0" t="n">
        <v>6</v>
      </c>
      <c r="I2" s="0" t="n">
        <v>1</v>
      </c>
      <c r="J2" s="0" t="n">
        <v>0.24</v>
      </c>
    </row>
    <row r="3" customFormat="false" ht="15" hidden="false" customHeight="false" outlineLevel="0" collapsed="false">
      <c r="A3" s="0" t="n">
        <v>2</v>
      </c>
      <c r="B3" s="0" t="s">
        <v>77</v>
      </c>
      <c r="C3" s="0" t="n">
        <v>1</v>
      </c>
      <c r="D3" s="0" t="n">
        <v>0</v>
      </c>
      <c r="E3" s="0" t="n">
        <v>1</v>
      </c>
      <c r="F3" s="0" t="n">
        <v>1</v>
      </c>
      <c r="G3" s="0" t="b">
        <f aca="false">FALSE()</f>
        <v>0</v>
      </c>
      <c r="H3" s="0" t="n">
        <v>6</v>
      </c>
      <c r="I3" s="0" t="n">
        <v>1</v>
      </c>
      <c r="J3" s="0" t="n">
        <v>0.22</v>
      </c>
    </row>
    <row r="4" customFormat="false" ht="15" hidden="false" customHeight="false" outlineLevel="0" collapsed="false">
      <c r="A4" s="0" t="n">
        <v>3</v>
      </c>
      <c r="B4" s="0" t="s">
        <v>77</v>
      </c>
      <c r="C4" s="0" t="n">
        <v>1</v>
      </c>
      <c r="D4" s="0" t="n">
        <v>0</v>
      </c>
      <c r="E4" s="0" t="n">
        <v>1</v>
      </c>
      <c r="F4" s="0" t="n">
        <v>2</v>
      </c>
      <c r="G4" s="0" t="b">
        <f aca="false">FALSE()</f>
        <v>0</v>
      </c>
      <c r="H4" s="0" t="n">
        <v>6</v>
      </c>
      <c r="I4" s="0" t="n">
        <v>1</v>
      </c>
      <c r="J4" s="0" t="n">
        <v>0.22</v>
      </c>
    </row>
    <row r="5" customFormat="false" ht="15" hidden="false" customHeight="false" outlineLevel="0" collapsed="false">
      <c r="A5" s="0" t="n">
        <v>4</v>
      </c>
      <c r="B5" s="0" t="s">
        <v>77</v>
      </c>
      <c r="C5" s="0" t="n">
        <v>1</v>
      </c>
      <c r="D5" s="0" t="n">
        <v>0</v>
      </c>
      <c r="E5" s="0" t="n">
        <v>1</v>
      </c>
      <c r="F5" s="0" t="n">
        <v>3</v>
      </c>
      <c r="G5" s="0" t="b">
        <f aca="false">FALSE()</f>
        <v>0</v>
      </c>
      <c r="H5" s="0" t="n">
        <v>6</v>
      </c>
      <c r="I5" s="0" t="n">
        <v>1</v>
      </c>
      <c r="J5" s="0" t="n">
        <v>0.24</v>
      </c>
    </row>
    <row r="6" customFormat="false" ht="15" hidden="false" customHeight="false" outlineLevel="0" collapsed="false">
      <c r="A6" s="0" t="n">
        <v>5</v>
      </c>
      <c r="B6" s="0" t="s">
        <v>77</v>
      </c>
      <c r="C6" s="0" t="n">
        <v>1</v>
      </c>
      <c r="D6" s="0" t="n">
        <v>0</v>
      </c>
      <c r="E6" s="0" t="n">
        <v>1</v>
      </c>
      <c r="F6" s="0" t="n">
        <v>4</v>
      </c>
      <c r="G6" s="0" t="b">
        <f aca="false">FALSE()</f>
        <v>0</v>
      </c>
      <c r="H6" s="0" t="n">
        <v>6</v>
      </c>
      <c r="I6" s="0" t="n">
        <v>1</v>
      </c>
      <c r="J6" s="0" t="n">
        <v>0.24</v>
      </c>
    </row>
    <row r="7" customFormat="false" ht="15" hidden="false" customHeight="false" outlineLevel="0" collapsed="false">
      <c r="A7" s="0" t="n">
        <v>6</v>
      </c>
      <c r="B7" s="0" t="s">
        <v>77</v>
      </c>
      <c r="C7" s="0" t="n">
        <v>1</v>
      </c>
      <c r="D7" s="0" t="n">
        <v>0</v>
      </c>
      <c r="E7" s="0" t="n">
        <v>1</v>
      </c>
      <c r="F7" s="0" t="n">
        <v>5</v>
      </c>
      <c r="G7" s="0" t="b">
        <f aca="false">FALSE()</f>
        <v>0</v>
      </c>
      <c r="H7" s="0" t="n">
        <v>6</v>
      </c>
      <c r="I7" s="0" t="n">
        <v>2</v>
      </c>
      <c r="J7" s="0" t="n">
        <v>0.24</v>
      </c>
    </row>
    <row r="8" customFormat="false" ht="15" hidden="false" customHeight="false" outlineLevel="0" collapsed="false">
      <c r="A8" s="0" t="n">
        <v>7</v>
      </c>
      <c r="B8" s="0" t="s">
        <v>77</v>
      </c>
      <c r="C8" s="0" t="n">
        <v>1</v>
      </c>
      <c r="D8" s="0" t="n">
        <v>0</v>
      </c>
      <c r="E8" s="0" t="n">
        <v>1</v>
      </c>
      <c r="F8" s="0" t="n">
        <v>6</v>
      </c>
      <c r="G8" s="0" t="b">
        <f aca="false">FALSE()</f>
        <v>0</v>
      </c>
      <c r="H8" s="0" t="n">
        <v>6</v>
      </c>
      <c r="I8" s="0" t="n">
        <v>1</v>
      </c>
      <c r="J8" s="0" t="n">
        <v>0.22</v>
      </c>
    </row>
    <row r="9" customFormat="false" ht="15" hidden="false" customHeight="false" outlineLevel="0" collapsed="false">
      <c r="A9" s="0" t="n">
        <v>8</v>
      </c>
      <c r="B9" s="0" t="s">
        <v>77</v>
      </c>
      <c r="C9" s="0" t="n">
        <v>1</v>
      </c>
      <c r="D9" s="0" t="n">
        <v>0</v>
      </c>
      <c r="E9" s="0" t="n">
        <v>1</v>
      </c>
      <c r="F9" s="0" t="n">
        <v>7</v>
      </c>
      <c r="G9" s="0" t="b">
        <f aca="false">FALSE()</f>
        <v>0</v>
      </c>
      <c r="H9" s="0" t="n">
        <v>6</v>
      </c>
      <c r="I9" s="0" t="n">
        <v>1</v>
      </c>
      <c r="J9" s="0" t="n">
        <v>0.2</v>
      </c>
    </row>
    <row r="10" customFormat="false" ht="15" hidden="false" customHeight="false" outlineLevel="0" collapsed="false">
      <c r="A10" s="0" t="n">
        <v>9</v>
      </c>
      <c r="B10" s="0" t="s">
        <v>77</v>
      </c>
      <c r="C10" s="0" t="n">
        <v>1</v>
      </c>
      <c r="D10" s="0" t="n">
        <v>0</v>
      </c>
      <c r="E10" s="0" t="n">
        <v>1</v>
      </c>
      <c r="F10" s="0" t="n">
        <v>8</v>
      </c>
      <c r="G10" s="0" t="b">
        <f aca="false">FALSE()</f>
        <v>0</v>
      </c>
      <c r="H10" s="0" t="n">
        <v>6</v>
      </c>
      <c r="I10" s="0" t="n">
        <v>1</v>
      </c>
      <c r="J10" s="0" t="n">
        <v>0.24</v>
      </c>
    </row>
    <row r="11" customFormat="false" ht="15" hidden="false" customHeight="false" outlineLevel="0" collapsed="false">
      <c r="A11" s="0" t="n">
        <v>10</v>
      </c>
      <c r="B11" s="0" t="s">
        <v>77</v>
      </c>
      <c r="C11" s="0" t="n">
        <v>1</v>
      </c>
      <c r="D11" s="0" t="n">
        <v>0</v>
      </c>
      <c r="E11" s="0" t="n">
        <v>1</v>
      </c>
      <c r="F11" s="0" t="n">
        <v>9</v>
      </c>
      <c r="G11" s="0" t="b">
        <f aca="false">FALSE()</f>
        <v>0</v>
      </c>
      <c r="H11" s="0" t="n">
        <v>6</v>
      </c>
      <c r="I11" s="0" t="n">
        <v>1</v>
      </c>
      <c r="J11" s="0" t="n">
        <v>0.32</v>
      </c>
    </row>
    <row r="12" customFormat="false" ht="15" hidden="false" customHeight="false" outlineLevel="0" collapsed="false">
      <c r="A12" s="0" t="n">
        <v>11</v>
      </c>
      <c r="B12" s="0" t="s">
        <v>77</v>
      </c>
      <c r="C12" s="0" t="n">
        <v>1</v>
      </c>
      <c r="D12" s="0" t="n">
        <v>0</v>
      </c>
      <c r="E12" s="0" t="n">
        <v>1</v>
      </c>
      <c r="F12" s="0" t="n">
        <v>10</v>
      </c>
      <c r="G12" s="0" t="b">
        <f aca="false">FALSE()</f>
        <v>0</v>
      </c>
      <c r="H12" s="0" t="n">
        <v>6</v>
      </c>
      <c r="I12" s="0" t="n">
        <v>1</v>
      </c>
      <c r="J12" s="0" t="n">
        <v>0.38</v>
      </c>
    </row>
    <row r="13" customFormat="false" ht="15" hidden="false" customHeight="false" outlineLevel="0" collapsed="false">
      <c r="A13" s="0" t="n">
        <v>12</v>
      </c>
      <c r="B13" s="0" t="s">
        <v>77</v>
      </c>
      <c r="C13" s="0" t="n">
        <v>1</v>
      </c>
      <c r="D13" s="0" t="n">
        <v>0</v>
      </c>
      <c r="E13" s="0" t="n">
        <v>1</v>
      </c>
      <c r="F13" s="0" t="n">
        <v>11</v>
      </c>
      <c r="G13" s="0" t="b">
        <f aca="false">FALSE()</f>
        <v>0</v>
      </c>
      <c r="H13" s="0" t="n">
        <v>6</v>
      </c>
      <c r="I13" s="0" t="n">
        <v>1</v>
      </c>
      <c r="J13" s="0" t="n">
        <v>0.36</v>
      </c>
    </row>
    <row r="14" customFormat="false" ht="15" hidden="false" customHeight="false" outlineLevel="0" collapsed="false">
      <c r="A14" s="0" t="n">
        <v>13</v>
      </c>
      <c r="B14" s="0" t="s">
        <v>77</v>
      </c>
      <c r="C14" s="0" t="n">
        <v>1</v>
      </c>
      <c r="D14" s="0" t="n">
        <v>0</v>
      </c>
      <c r="E14" s="0" t="n">
        <v>1</v>
      </c>
      <c r="F14" s="0" t="n">
        <v>12</v>
      </c>
      <c r="G14" s="0" t="b">
        <f aca="false">FALSE()</f>
        <v>0</v>
      </c>
      <c r="H14" s="0" t="n">
        <v>6</v>
      </c>
      <c r="I14" s="0" t="n">
        <v>1</v>
      </c>
      <c r="J14" s="0" t="n">
        <v>0.42</v>
      </c>
    </row>
    <row r="15" customFormat="false" ht="15" hidden="false" customHeight="false" outlineLevel="0" collapsed="false">
      <c r="A15" s="0" t="n">
        <v>14</v>
      </c>
      <c r="B15" s="0" t="s">
        <v>77</v>
      </c>
      <c r="C15" s="0" t="n">
        <v>1</v>
      </c>
      <c r="D15" s="0" t="n">
        <v>0</v>
      </c>
      <c r="E15" s="0" t="n">
        <v>1</v>
      </c>
      <c r="F15" s="0" t="n">
        <v>13</v>
      </c>
      <c r="G15" s="0" t="b">
        <f aca="false">FALSE()</f>
        <v>0</v>
      </c>
      <c r="H15" s="0" t="n">
        <v>6</v>
      </c>
      <c r="I15" s="0" t="n">
        <v>2</v>
      </c>
      <c r="J15" s="0" t="n">
        <v>0.46</v>
      </c>
    </row>
    <row r="16" customFormat="false" ht="15" hidden="false" customHeight="false" outlineLevel="0" collapsed="false">
      <c r="A16" s="0" t="n">
        <v>15</v>
      </c>
      <c r="B16" s="0" t="s">
        <v>77</v>
      </c>
      <c r="C16" s="0" t="n">
        <v>1</v>
      </c>
      <c r="D16" s="0" t="n">
        <v>0</v>
      </c>
      <c r="E16" s="0" t="n">
        <v>1</v>
      </c>
      <c r="F16" s="0" t="n">
        <v>14</v>
      </c>
      <c r="G16" s="0" t="b">
        <f aca="false">FALSE()</f>
        <v>0</v>
      </c>
      <c r="H16" s="0" t="n">
        <v>6</v>
      </c>
      <c r="I16" s="0" t="n">
        <v>2</v>
      </c>
      <c r="J16" s="0" t="n">
        <v>0.46</v>
      </c>
    </row>
    <row r="17" customFormat="false" ht="15" hidden="false" customHeight="false" outlineLevel="0" collapsed="false">
      <c r="A17" s="0" t="n">
        <v>16</v>
      </c>
      <c r="B17" s="0" t="s">
        <v>77</v>
      </c>
      <c r="C17" s="0" t="n">
        <v>1</v>
      </c>
      <c r="D17" s="0" t="n">
        <v>0</v>
      </c>
      <c r="E17" s="0" t="n">
        <v>1</v>
      </c>
      <c r="F17" s="0" t="n">
        <v>15</v>
      </c>
      <c r="G17" s="0" t="b">
        <f aca="false">FALSE()</f>
        <v>0</v>
      </c>
      <c r="H17" s="0" t="n">
        <v>6</v>
      </c>
      <c r="I17" s="0" t="n">
        <v>2</v>
      </c>
      <c r="J17" s="0" t="n">
        <v>0.44</v>
      </c>
    </row>
    <row r="18" customFormat="false" ht="15" hidden="false" customHeight="false" outlineLevel="0" collapsed="false">
      <c r="A18" s="0" t="n">
        <v>17</v>
      </c>
      <c r="B18" s="0" t="s">
        <v>77</v>
      </c>
      <c r="C18" s="0" t="n">
        <v>1</v>
      </c>
      <c r="D18" s="0" t="n">
        <v>0</v>
      </c>
      <c r="E18" s="0" t="n">
        <v>1</v>
      </c>
      <c r="F18" s="0" t="n">
        <v>16</v>
      </c>
      <c r="G18" s="0" t="b">
        <f aca="false">FALSE()</f>
        <v>0</v>
      </c>
      <c r="H18" s="0" t="n">
        <v>6</v>
      </c>
      <c r="I18" s="0" t="n">
        <v>2</v>
      </c>
      <c r="J18" s="0" t="n">
        <v>0.42</v>
      </c>
    </row>
    <row r="19" customFormat="false" ht="15" hidden="false" customHeight="false" outlineLevel="0" collapsed="false">
      <c r="A19" s="0" t="n">
        <v>18</v>
      </c>
      <c r="B19" s="0" t="s">
        <v>77</v>
      </c>
      <c r="C19" s="0" t="n">
        <v>1</v>
      </c>
      <c r="D19" s="0" t="n">
        <v>0</v>
      </c>
      <c r="E19" s="0" t="n">
        <v>1</v>
      </c>
      <c r="F19" s="0" t="n">
        <v>17</v>
      </c>
      <c r="G19" s="0" t="b">
        <f aca="false">FALSE()</f>
        <v>0</v>
      </c>
      <c r="H19" s="0" t="n">
        <v>6</v>
      </c>
      <c r="I19" s="0" t="n">
        <v>2</v>
      </c>
      <c r="J19" s="0" t="n">
        <v>0.44</v>
      </c>
    </row>
    <row r="20" customFormat="false" ht="15" hidden="false" customHeight="false" outlineLevel="0" collapsed="false">
      <c r="A20" s="0" t="n">
        <v>19</v>
      </c>
      <c r="B20" s="0" t="s">
        <v>77</v>
      </c>
      <c r="C20" s="0" t="n">
        <v>1</v>
      </c>
      <c r="D20" s="0" t="n">
        <v>0</v>
      </c>
      <c r="E20" s="0" t="n">
        <v>1</v>
      </c>
      <c r="F20" s="0" t="n">
        <v>18</v>
      </c>
      <c r="G20" s="0" t="b">
        <f aca="false">FALSE()</f>
        <v>0</v>
      </c>
      <c r="H20" s="0" t="n">
        <v>6</v>
      </c>
      <c r="I20" s="0" t="n">
        <v>3</v>
      </c>
      <c r="J20" s="0" t="n">
        <v>0.42</v>
      </c>
    </row>
    <row r="21" customFormat="false" ht="15" hidden="false" customHeight="false" outlineLevel="0" collapsed="false">
      <c r="A21" s="0" t="n">
        <v>20</v>
      </c>
      <c r="B21" s="0" t="s">
        <v>77</v>
      </c>
      <c r="C21" s="0" t="n">
        <v>1</v>
      </c>
      <c r="D21" s="0" t="n">
        <v>0</v>
      </c>
      <c r="E21" s="0" t="n">
        <v>1</v>
      </c>
      <c r="F21" s="0" t="n">
        <v>19</v>
      </c>
      <c r="G21" s="0" t="b">
        <f aca="false">FALSE()</f>
        <v>0</v>
      </c>
      <c r="H21" s="0" t="n">
        <v>6</v>
      </c>
      <c r="I21" s="0" t="n">
        <v>3</v>
      </c>
      <c r="J21" s="0" t="n">
        <v>0.42</v>
      </c>
    </row>
    <row r="22" customFormat="false" ht="15" hidden="false" customHeight="false" outlineLevel="0" collapsed="false">
      <c r="A22" s="0" t="n">
        <v>21</v>
      </c>
      <c r="B22" s="0" t="s">
        <v>77</v>
      </c>
      <c r="C22" s="0" t="n">
        <v>1</v>
      </c>
      <c r="D22" s="0" t="n">
        <v>0</v>
      </c>
      <c r="E22" s="0" t="n">
        <v>1</v>
      </c>
      <c r="F22" s="0" t="n">
        <v>20</v>
      </c>
      <c r="G22" s="0" t="b">
        <f aca="false">FALSE()</f>
        <v>0</v>
      </c>
      <c r="H22" s="0" t="n">
        <v>6</v>
      </c>
      <c r="I22" s="0" t="n">
        <v>2</v>
      </c>
      <c r="J22" s="0" t="n">
        <v>0.4</v>
      </c>
    </row>
    <row r="23" customFormat="false" ht="15" hidden="false" customHeight="false" outlineLevel="0" collapsed="false">
      <c r="A23" s="0" t="n">
        <v>22</v>
      </c>
      <c r="B23" s="0" t="s">
        <v>77</v>
      </c>
      <c r="C23" s="0" t="n">
        <v>1</v>
      </c>
      <c r="D23" s="0" t="n">
        <v>0</v>
      </c>
      <c r="E23" s="0" t="n">
        <v>1</v>
      </c>
      <c r="F23" s="0" t="n">
        <v>21</v>
      </c>
      <c r="G23" s="0" t="b">
        <f aca="false">FALSE()</f>
        <v>0</v>
      </c>
      <c r="H23" s="0" t="n">
        <v>6</v>
      </c>
      <c r="I23" s="0" t="n">
        <v>2</v>
      </c>
      <c r="J23" s="0" t="n">
        <v>0.4</v>
      </c>
    </row>
    <row r="24" customFormat="false" ht="15" hidden="false" customHeight="false" outlineLevel="0" collapsed="false">
      <c r="A24" s="0" t="n">
        <v>23</v>
      </c>
      <c r="B24" s="0" t="s">
        <v>77</v>
      </c>
      <c r="C24" s="0" t="n">
        <v>1</v>
      </c>
      <c r="D24" s="0" t="n">
        <v>0</v>
      </c>
      <c r="E24" s="0" t="n">
        <v>1</v>
      </c>
      <c r="F24" s="0" t="n">
        <v>22</v>
      </c>
      <c r="G24" s="0" t="b">
        <f aca="false">FALSE()</f>
        <v>0</v>
      </c>
      <c r="H24" s="0" t="n">
        <v>6</v>
      </c>
      <c r="I24" s="0" t="n">
        <v>2</v>
      </c>
      <c r="J24" s="0" t="n">
        <v>0.4</v>
      </c>
    </row>
    <row r="25" customFormat="false" ht="15" hidden="false" customHeight="false" outlineLevel="0" collapsed="false">
      <c r="A25" s="0" t="n">
        <v>24</v>
      </c>
      <c r="B25" s="0" t="s">
        <v>77</v>
      </c>
      <c r="C25" s="0" t="n">
        <v>1</v>
      </c>
      <c r="D25" s="0" t="n">
        <v>0</v>
      </c>
      <c r="E25" s="0" t="n">
        <v>1</v>
      </c>
      <c r="F25" s="0" t="n">
        <v>23</v>
      </c>
      <c r="G25" s="0" t="b">
        <f aca="false">FALSE()</f>
        <v>0</v>
      </c>
      <c r="H25" s="0" t="n">
        <v>6</v>
      </c>
      <c r="I25" s="0" t="n">
        <v>2</v>
      </c>
      <c r="J25" s="0" t="n">
        <v>0.46</v>
      </c>
    </row>
    <row r="26" customFormat="false" ht="15" hidden="false" customHeight="false" outlineLevel="0" collapsed="false">
      <c r="A26" s="0" t="n">
        <v>25</v>
      </c>
      <c r="B26" s="0" t="s">
        <v>78</v>
      </c>
      <c r="C26" s="0" t="n">
        <v>1</v>
      </c>
      <c r="D26" s="0" t="n">
        <v>0</v>
      </c>
      <c r="E26" s="0" t="n">
        <v>1</v>
      </c>
      <c r="F26" s="0" t="n">
        <v>0</v>
      </c>
      <c r="G26" s="0" t="b">
        <f aca="false">FALSE()</f>
        <v>0</v>
      </c>
      <c r="H26" s="0" t="n">
        <v>0</v>
      </c>
      <c r="I26" s="0" t="n">
        <v>2</v>
      </c>
      <c r="J26" s="0" t="n">
        <v>0.46</v>
      </c>
    </row>
    <row r="27" customFormat="false" ht="15" hidden="false" customHeight="false" outlineLevel="0" collapsed="false">
      <c r="A27" s="0" t="n">
        <v>26</v>
      </c>
      <c r="B27" s="0" t="s">
        <v>78</v>
      </c>
      <c r="C27" s="0" t="n">
        <v>1</v>
      </c>
      <c r="D27" s="0" t="n">
        <v>0</v>
      </c>
      <c r="E27" s="0" t="n">
        <v>1</v>
      </c>
      <c r="F27" s="0" t="n">
        <v>1</v>
      </c>
      <c r="G27" s="0" t="b">
        <f aca="false">FALSE()</f>
        <v>0</v>
      </c>
      <c r="H27" s="0" t="n">
        <v>0</v>
      </c>
      <c r="I27" s="0" t="n">
        <v>2</v>
      </c>
      <c r="J27" s="0" t="n">
        <v>0.44</v>
      </c>
    </row>
    <row r="28" customFormat="false" ht="15" hidden="false" customHeight="false" outlineLevel="0" collapsed="false">
      <c r="A28" s="0" t="n">
        <v>27</v>
      </c>
      <c r="B28" s="0" t="s">
        <v>78</v>
      </c>
      <c r="C28" s="0" t="n">
        <v>1</v>
      </c>
      <c r="D28" s="0" t="n">
        <v>0</v>
      </c>
      <c r="E28" s="0" t="n">
        <v>1</v>
      </c>
      <c r="F28" s="0" t="n">
        <v>2</v>
      </c>
      <c r="G28" s="0" t="b">
        <f aca="false">FALSE()</f>
        <v>0</v>
      </c>
      <c r="H28" s="0" t="n">
        <v>0</v>
      </c>
      <c r="I28" s="0" t="n">
        <v>2</v>
      </c>
      <c r="J28" s="0" t="n">
        <v>0.42</v>
      </c>
    </row>
    <row r="29" customFormat="false" ht="15" hidden="false" customHeight="false" outlineLevel="0" collapsed="false">
      <c r="A29" s="0" t="n">
        <v>28</v>
      </c>
      <c r="B29" s="0" t="s">
        <v>78</v>
      </c>
      <c r="C29" s="0" t="n">
        <v>1</v>
      </c>
      <c r="D29" s="0" t="n">
        <v>0</v>
      </c>
      <c r="E29" s="0" t="n">
        <v>1</v>
      </c>
      <c r="F29" s="0" t="n">
        <v>3</v>
      </c>
      <c r="G29" s="0" t="b">
        <f aca="false">FALSE()</f>
        <v>0</v>
      </c>
      <c r="H29" s="0" t="n">
        <v>0</v>
      </c>
      <c r="I29" s="0" t="n">
        <v>2</v>
      </c>
      <c r="J29" s="0" t="n">
        <v>0.46</v>
      </c>
    </row>
    <row r="30" customFormat="false" ht="15" hidden="false" customHeight="false" outlineLevel="0" collapsed="false">
      <c r="A30" s="0" t="n">
        <v>29</v>
      </c>
      <c r="B30" s="0" t="s">
        <v>78</v>
      </c>
      <c r="C30" s="0" t="n">
        <v>1</v>
      </c>
      <c r="D30" s="0" t="n">
        <v>0</v>
      </c>
      <c r="E30" s="0" t="n">
        <v>1</v>
      </c>
      <c r="F30" s="0" t="n">
        <v>4</v>
      </c>
      <c r="G30" s="0" t="b">
        <f aca="false">FALSE()</f>
        <v>0</v>
      </c>
      <c r="H30" s="0" t="n">
        <v>0</v>
      </c>
      <c r="I30" s="0" t="n">
        <v>2</v>
      </c>
      <c r="J30" s="0" t="n">
        <v>0.46</v>
      </c>
    </row>
    <row r="31" customFormat="false" ht="15" hidden="false" customHeight="false" outlineLevel="0" collapsed="false">
      <c r="A31" s="0" t="n">
        <v>30</v>
      </c>
      <c r="B31" s="0" t="s">
        <v>78</v>
      </c>
      <c r="C31" s="0" t="n">
        <v>1</v>
      </c>
      <c r="D31" s="0" t="n">
        <v>0</v>
      </c>
      <c r="E31" s="0" t="n">
        <v>1</v>
      </c>
      <c r="F31" s="0" t="n">
        <v>6</v>
      </c>
      <c r="G31" s="0" t="b">
        <f aca="false">FALSE()</f>
        <v>0</v>
      </c>
      <c r="H31" s="0" t="n">
        <v>0</v>
      </c>
      <c r="I31" s="0" t="n">
        <v>3</v>
      </c>
      <c r="J31" s="0" t="n">
        <v>0.42</v>
      </c>
    </row>
    <row r="32" customFormat="false" ht="15" hidden="false" customHeight="false" outlineLevel="0" collapsed="false">
      <c r="A32" s="0" t="n">
        <v>31</v>
      </c>
      <c r="B32" s="0" t="s">
        <v>78</v>
      </c>
      <c r="C32" s="0" t="n">
        <v>1</v>
      </c>
      <c r="D32" s="0" t="n">
        <v>0</v>
      </c>
      <c r="E32" s="0" t="n">
        <v>1</v>
      </c>
      <c r="F32" s="0" t="n">
        <v>7</v>
      </c>
      <c r="G32" s="0" t="b">
        <f aca="false">FALSE()</f>
        <v>0</v>
      </c>
      <c r="H32" s="0" t="n">
        <v>0</v>
      </c>
      <c r="I32" s="0" t="n">
        <v>2</v>
      </c>
      <c r="J32" s="0" t="n">
        <v>0.4</v>
      </c>
    </row>
    <row r="33" customFormat="false" ht="15" hidden="false" customHeight="false" outlineLevel="0" collapsed="false">
      <c r="A33" s="0" t="n">
        <v>32</v>
      </c>
      <c r="B33" s="0" t="s">
        <v>78</v>
      </c>
      <c r="C33" s="0" t="n">
        <v>1</v>
      </c>
      <c r="D33" s="0" t="n">
        <v>0</v>
      </c>
      <c r="E33" s="0" t="n">
        <v>1</v>
      </c>
      <c r="F33" s="0" t="n">
        <v>8</v>
      </c>
      <c r="G33" s="0" t="b">
        <f aca="false">FALSE()</f>
        <v>0</v>
      </c>
      <c r="H33" s="0" t="n">
        <v>0</v>
      </c>
      <c r="I33" s="0" t="n">
        <v>3</v>
      </c>
      <c r="J33" s="0" t="n">
        <v>0.4</v>
      </c>
    </row>
    <row r="34" customFormat="false" ht="15" hidden="false" customHeight="false" outlineLevel="0" collapsed="false">
      <c r="A34" s="0" t="n">
        <v>33</v>
      </c>
      <c r="B34" s="0" t="s">
        <v>78</v>
      </c>
      <c r="C34" s="0" t="n">
        <v>1</v>
      </c>
      <c r="D34" s="0" t="n">
        <v>0</v>
      </c>
      <c r="E34" s="0" t="n">
        <v>1</v>
      </c>
      <c r="F34" s="0" t="n">
        <v>9</v>
      </c>
      <c r="G34" s="0" t="b">
        <f aca="false">FALSE()</f>
        <v>0</v>
      </c>
      <c r="H34" s="0" t="n">
        <v>0</v>
      </c>
      <c r="I34" s="0" t="n">
        <v>2</v>
      </c>
      <c r="J34" s="0" t="n">
        <v>0.38</v>
      </c>
    </row>
    <row r="35" customFormat="false" ht="15" hidden="false" customHeight="false" outlineLevel="0" collapsed="false">
      <c r="A35" s="0" t="n">
        <v>34</v>
      </c>
      <c r="B35" s="0" t="s">
        <v>78</v>
      </c>
      <c r="C35" s="0" t="n">
        <v>1</v>
      </c>
      <c r="D35" s="0" t="n">
        <v>0</v>
      </c>
      <c r="E35" s="0" t="n">
        <v>1</v>
      </c>
      <c r="F35" s="0" t="n">
        <v>10</v>
      </c>
      <c r="G35" s="0" t="b">
        <f aca="false">FALSE()</f>
        <v>0</v>
      </c>
      <c r="H35" s="0" t="n">
        <v>0</v>
      </c>
      <c r="I35" s="0" t="n">
        <v>2</v>
      </c>
      <c r="J35" s="0" t="n">
        <v>0.36</v>
      </c>
    </row>
    <row r="36" customFormat="false" ht="15" hidden="false" customHeight="false" outlineLevel="0" collapsed="false">
      <c r="A36" s="0" t="n">
        <v>35</v>
      </c>
      <c r="B36" s="0" t="s">
        <v>78</v>
      </c>
      <c r="C36" s="0" t="n">
        <v>1</v>
      </c>
      <c r="D36" s="0" t="n">
        <v>0</v>
      </c>
      <c r="E36" s="0" t="n">
        <v>1</v>
      </c>
      <c r="F36" s="0" t="n">
        <v>11</v>
      </c>
      <c r="G36" s="0" t="b">
        <f aca="false">FALSE()</f>
        <v>0</v>
      </c>
      <c r="H36" s="0" t="n">
        <v>0</v>
      </c>
      <c r="I36" s="0" t="n">
        <v>2</v>
      </c>
      <c r="J36" s="0" t="n">
        <v>0.36</v>
      </c>
    </row>
    <row r="37" customFormat="false" ht="15" hidden="false" customHeight="false" outlineLevel="0" collapsed="false">
      <c r="A37" s="0" t="n">
        <v>36</v>
      </c>
      <c r="B37" s="0" t="s">
        <v>78</v>
      </c>
      <c r="C37" s="0" t="n">
        <v>1</v>
      </c>
      <c r="D37" s="0" t="n">
        <v>0</v>
      </c>
      <c r="E37" s="0" t="n">
        <v>1</v>
      </c>
      <c r="F37" s="0" t="n">
        <v>12</v>
      </c>
      <c r="G37" s="0" t="b">
        <f aca="false">FALSE()</f>
        <v>0</v>
      </c>
      <c r="H37" s="0" t="n">
        <v>0</v>
      </c>
      <c r="I37" s="0" t="n">
        <v>2</v>
      </c>
      <c r="J37" s="0" t="n">
        <v>0.36</v>
      </c>
    </row>
    <row r="38" customFormat="false" ht="15" hidden="false" customHeight="false" outlineLevel="0" collapsed="false">
      <c r="A38" s="0" t="n">
        <v>37</v>
      </c>
      <c r="B38" s="0" t="s">
        <v>78</v>
      </c>
      <c r="C38" s="0" t="n">
        <v>1</v>
      </c>
      <c r="D38" s="0" t="n">
        <v>0</v>
      </c>
      <c r="E38" s="0" t="n">
        <v>1</v>
      </c>
      <c r="F38" s="0" t="n">
        <v>13</v>
      </c>
      <c r="G38" s="0" t="b">
        <f aca="false">FALSE()</f>
        <v>0</v>
      </c>
      <c r="H38" s="0" t="n">
        <v>0</v>
      </c>
      <c r="I38" s="0" t="n">
        <v>2</v>
      </c>
      <c r="J38" s="0" t="n">
        <v>0.36</v>
      </c>
    </row>
    <row r="39" customFormat="false" ht="15" hidden="false" customHeight="false" outlineLevel="0" collapsed="false">
      <c r="A39" s="0" t="n">
        <v>38</v>
      </c>
      <c r="B39" s="0" t="s">
        <v>78</v>
      </c>
      <c r="C39" s="0" t="n">
        <v>1</v>
      </c>
      <c r="D39" s="0" t="n">
        <v>0</v>
      </c>
      <c r="E39" s="0" t="n">
        <v>1</v>
      </c>
      <c r="F39" s="0" t="n">
        <v>14</v>
      </c>
      <c r="G39" s="0" t="b">
        <f aca="false">FALSE()</f>
        <v>0</v>
      </c>
      <c r="H39" s="0" t="n">
        <v>0</v>
      </c>
      <c r="I39" s="0" t="n">
        <v>3</v>
      </c>
      <c r="J39" s="0" t="n">
        <v>0.36</v>
      </c>
    </row>
    <row r="40" customFormat="false" ht="15" hidden="false" customHeight="false" outlineLevel="0" collapsed="false">
      <c r="A40" s="0" t="n">
        <v>39</v>
      </c>
      <c r="B40" s="0" t="s">
        <v>78</v>
      </c>
      <c r="C40" s="0" t="n">
        <v>1</v>
      </c>
      <c r="D40" s="0" t="n">
        <v>0</v>
      </c>
      <c r="E40" s="0" t="n">
        <v>1</v>
      </c>
      <c r="F40" s="0" t="n">
        <v>15</v>
      </c>
      <c r="G40" s="0" t="b">
        <f aca="false">FALSE()</f>
        <v>0</v>
      </c>
      <c r="H40" s="0" t="n">
        <v>0</v>
      </c>
      <c r="I40" s="0" t="n">
        <v>3</v>
      </c>
      <c r="J40" s="0" t="n">
        <v>0.34</v>
      </c>
    </row>
    <row r="41" customFormat="false" ht="15" hidden="false" customHeight="false" outlineLevel="0" collapsed="false">
      <c r="A41" s="0" t="n">
        <v>40</v>
      </c>
      <c r="B41" s="0" t="s">
        <v>78</v>
      </c>
      <c r="C41" s="0" t="n">
        <v>1</v>
      </c>
      <c r="D41" s="0" t="n">
        <v>0</v>
      </c>
      <c r="E41" s="0" t="n">
        <v>1</v>
      </c>
      <c r="F41" s="0" t="n">
        <v>16</v>
      </c>
      <c r="G41" s="0" t="b">
        <f aca="false">FALSE()</f>
        <v>0</v>
      </c>
      <c r="H41" s="0" t="n">
        <v>0</v>
      </c>
      <c r="I41" s="0" t="n">
        <v>3</v>
      </c>
      <c r="J41" s="0" t="n">
        <v>0.34</v>
      </c>
    </row>
    <row r="42" customFormat="false" ht="15" hidden="false" customHeight="false" outlineLevel="0" collapsed="false">
      <c r="A42" s="0" t="n">
        <v>41</v>
      </c>
      <c r="B42" s="0" t="s">
        <v>78</v>
      </c>
      <c r="C42" s="0" t="n">
        <v>1</v>
      </c>
      <c r="D42" s="0" t="n">
        <v>0</v>
      </c>
      <c r="E42" s="0" t="n">
        <v>1</v>
      </c>
      <c r="F42" s="0" t="n">
        <v>17</v>
      </c>
      <c r="G42" s="0" t="b">
        <f aca="false">FALSE()</f>
        <v>0</v>
      </c>
      <c r="H42" s="0" t="n">
        <v>0</v>
      </c>
      <c r="I42" s="0" t="n">
        <v>1</v>
      </c>
      <c r="J42" s="0" t="n">
        <v>0.34</v>
      </c>
    </row>
    <row r="43" customFormat="false" ht="15" hidden="false" customHeight="false" outlineLevel="0" collapsed="false">
      <c r="A43" s="0" t="n">
        <v>42</v>
      </c>
      <c r="B43" s="0" t="s">
        <v>78</v>
      </c>
      <c r="C43" s="0" t="n">
        <v>1</v>
      </c>
      <c r="D43" s="0" t="n">
        <v>0</v>
      </c>
      <c r="E43" s="0" t="n">
        <v>1</v>
      </c>
      <c r="F43" s="0" t="n">
        <v>18</v>
      </c>
      <c r="G43" s="0" t="b">
        <f aca="false">FALSE()</f>
        <v>0</v>
      </c>
      <c r="H43" s="0" t="n">
        <v>0</v>
      </c>
      <c r="I43" s="0" t="n">
        <v>2</v>
      </c>
      <c r="J43" s="0" t="n">
        <v>0.36</v>
      </c>
    </row>
    <row r="44" customFormat="false" ht="15" hidden="false" customHeight="false" outlineLevel="0" collapsed="false">
      <c r="A44" s="0" t="n">
        <v>43</v>
      </c>
      <c r="B44" s="0" t="s">
        <v>78</v>
      </c>
      <c r="C44" s="0" t="n">
        <v>1</v>
      </c>
      <c r="D44" s="0" t="n">
        <v>0</v>
      </c>
      <c r="E44" s="0" t="n">
        <v>1</v>
      </c>
      <c r="F44" s="0" t="n">
        <v>19</v>
      </c>
      <c r="G44" s="0" t="b">
        <f aca="false">FALSE()</f>
        <v>0</v>
      </c>
      <c r="H44" s="0" t="n">
        <v>0</v>
      </c>
      <c r="I44" s="0" t="n">
        <v>1</v>
      </c>
      <c r="J44" s="0" t="n">
        <v>0.32</v>
      </c>
    </row>
    <row r="45" customFormat="false" ht="15" hidden="false" customHeight="false" outlineLevel="0" collapsed="false">
      <c r="A45" s="0" t="n">
        <v>44</v>
      </c>
      <c r="B45" s="0" t="s">
        <v>78</v>
      </c>
      <c r="C45" s="0" t="n">
        <v>1</v>
      </c>
      <c r="D45" s="0" t="n">
        <v>0</v>
      </c>
      <c r="E45" s="0" t="n">
        <v>1</v>
      </c>
      <c r="F45" s="0" t="n">
        <v>20</v>
      </c>
      <c r="G45" s="0" t="b">
        <f aca="false">FALSE()</f>
        <v>0</v>
      </c>
      <c r="H45" s="0" t="n">
        <v>0</v>
      </c>
      <c r="I45" s="0" t="n">
        <v>1</v>
      </c>
      <c r="J45" s="0" t="n">
        <v>0.3</v>
      </c>
    </row>
    <row r="46" customFormat="false" ht="15" hidden="false" customHeight="false" outlineLevel="0" collapsed="false">
      <c r="A46" s="0" t="n">
        <v>45</v>
      </c>
      <c r="B46" s="0" t="s">
        <v>78</v>
      </c>
      <c r="C46" s="0" t="n">
        <v>1</v>
      </c>
      <c r="D46" s="0" t="n">
        <v>0</v>
      </c>
      <c r="E46" s="0" t="n">
        <v>1</v>
      </c>
      <c r="F46" s="0" t="n">
        <v>21</v>
      </c>
      <c r="G46" s="0" t="b">
        <f aca="false">FALSE()</f>
        <v>0</v>
      </c>
      <c r="H46" s="0" t="n">
        <v>0</v>
      </c>
      <c r="I46" s="0" t="n">
        <v>1</v>
      </c>
      <c r="J46" s="0" t="n">
        <v>0.26</v>
      </c>
    </row>
    <row r="47" customFormat="false" ht="15" hidden="false" customHeight="false" outlineLevel="0" collapsed="false">
      <c r="A47" s="0" t="n">
        <v>46</v>
      </c>
      <c r="B47" s="0" t="s">
        <v>78</v>
      </c>
      <c r="C47" s="0" t="n">
        <v>1</v>
      </c>
      <c r="D47" s="0" t="n">
        <v>0</v>
      </c>
      <c r="E47" s="0" t="n">
        <v>1</v>
      </c>
      <c r="F47" s="0" t="n">
        <v>22</v>
      </c>
      <c r="G47" s="0" t="b">
        <f aca="false">FALSE()</f>
        <v>0</v>
      </c>
      <c r="H47" s="0" t="n">
        <v>0</v>
      </c>
      <c r="I47" s="0" t="n">
        <v>1</v>
      </c>
      <c r="J47" s="0" t="n">
        <v>0.24</v>
      </c>
    </row>
    <row r="48" customFormat="false" ht="15" hidden="false" customHeight="false" outlineLevel="0" collapsed="false">
      <c r="A48" s="0" t="n">
        <v>47</v>
      </c>
      <c r="B48" s="0" t="s">
        <v>78</v>
      </c>
      <c r="C48" s="0" t="n">
        <v>1</v>
      </c>
      <c r="D48" s="0" t="n">
        <v>0</v>
      </c>
      <c r="E48" s="0" t="n">
        <v>1</v>
      </c>
      <c r="F48" s="0" t="n">
        <v>23</v>
      </c>
      <c r="G48" s="0" t="b">
        <f aca="false">FALSE()</f>
        <v>0</v>
      </c>
      <c r="H48" s="0" t="n">
        <v>0</v>
      </c>
      <c r="I48" s="0" t="n">
        <v>1</v>
      </c>
      <c r="J48" s="0" t="n">
        <v>0.22</v>
      </c>
    </row>
    <row r="49" customFormat="false" ht="15" hidden="false" customHeight="false" outlineLevel="0" collapsed="false">
      <c r="A49" s="0" t="n">
        <v>48</v>
      </c>
      <c r="B49" s="0" t="s">
        <v>79</v>
      </c>
      <c r="C49" s="0" t="n">
        <v>1</v>
      </c>
      <c r="D49" s="0" t="n">
        <v>0</v>
      </c>
      <c r="E49" s="0" t="n">
        <v>1</v>
      </c>
      <c r="F49" s="0" t="n">
        <v>0</v>
      </c>
      <c r="G49" s="0" t="b">
        <f aca="false">FALSE()</f>
        <v>0</v>
      </c>
      <c r="H49" s="0" t="n">
        <v>1</v>
      </c>
      <c r="I49" s="0" t="n">
        <v>1</v>
      </c>
      <c r="J49" s="0" t="n">
        <v>0.22</v>
      </c>
    </row>
    <row r="50" customFormat="false" ht="15" hidden="false" customHeight="false" outlineLevel="0" collapsed="false">
      <c r="A50" s="0" t="n">
        <v>49</v>
      </c>
      <c r="B50" s="0" t="s">
        <v>79</v>
      </c>
      <c r="C50" s="0" t="n">
        <v>1</v>
      </c>
      <c r="D50" s="0" t="n">
        <v>0</v>
      </c>
      <c r="E50" s="0" t="n">
        <v>1</v>
      </c>
      <c r="F50" s="0" t="n">
        <v>1</v>
      </c>
      <c r="G50" s="0" t="b">
        <f aca="false">FALSE()</f>
        <v>0</v>
      </c>
      <c r="H50" s="0" t="n">
        <v>1</v>
      </c>
      <c r="I50" s="0" t="n">
        <v>1</v>
      </c>
      <c r="J50" s="0" t="n">
        <v>0.2</v>
      </c>
    </row>
    <row r="51" customFormat="false" ht="15" hidden="false" customHeight="false" outlineLevel="0" collapsed="false">
      <c r="A51" s="0" t="n">
        <v>50</v>
      </c>
      <c r="B51" s="0" t="s">
        <v>79</v>
      </c>
      <c r="C51" s="0" t="n">
        <v>1</v>
      </c>
      <c r="D51" s="0" t="n">
        <v>0</v>
      </c>
      <c r="E51" s="0" t="n">
        <v>1</v>
      </c>
      <c r="F51" s="0" t="n">
        <v>4</v>
      </c>
      <c r="G51" s="0" t="b">
        <f aca="false">FALSE()</f>
        <v>0</v>
      </c>
      <c r="H51" s="0" t="n">
        <v>1</v>
      </c>
      <c r="I51" s="0" t="n">
        <v>1</v>
      </c>
      <c r="J51" s="0" t="n">
        <v>0.16</v>
      </c>
    </row>
    <row r="52" customFormat="false" ht="15" hidden="false" customHeight="false" outlineLevel="0" collapsed="false">
      <c r="A52" s="0" t="n">
        <v>51</v>
      </c>
      <c r="B52" s="0" t="s">
        <v>79</v>
      </c>
      <c r="C52" s="0" t="n">
        <v>1</v>
      </c>
      <c r="D52" s="0" t="n">
        <v>0</v>
      </c>
      <c r="E52" s="0" t="n">
        <v>1</v>
      </c>
      <c r="F52" s="0" t="n">
        <v>5</v>
      </c>
      <c r="G52" s="0" t="b">
        <f aca="false">FALSE()</f>
        <v>0</v>
      </c>
      <c r="H52" s="0" t="n">
        <v>1</v>
      </c>
      <c r="I52" s="0" t="n">
        <v>1</v>
      </c>
      <c r="J52" s="0" t="n">
        <v>0.16</v>
      </c>
    </row>
    <row r="53" customFormat="false" ht="15" hidden="false" customHeight="false" outlineLevel="0" collapsed="false">
      <c r="A53" s="0" t="n">
        <v>52</v>
      </c>
      <c r="B53" s="0" t="s">
        <v>79</v>
      </c>
      <c r="C53" s="0" t="n">
        <v>1</v>
      </c>
      <c r="D53" s="0" t="n">
        <v>0</v>
      </c>
      <c r="E53" s="0" t="n">
        <v>1</v>
      </c>
      <c r="F53" s="0" t="n">
        <v>6</v>
      </c>
      <c r="G53" s="0" t="b">
        <f aca="false">FALSE()</f>
        <v>0</v>
      </c>
      <c r="H53" s="0" t="n">
        <v>1</v>
      </c>
      <c r="I53" s="0" t="n">
        <v>1</v>
      </c>
      <c r="J53" s="0" t="n">
        <v>0.14</v>
      </c>
    </row>
    <row r="54" customFormat="false" ht="15" hidden="false" customHeight="false" outlineLevel="0" collapsed="false">
      <c r="A54" s="0" t="n">
        <v>53</v>
      </c>
      <c r="B54" s="0" t="s">
        <v>79</v>
      </c>
      <c r="C54" s="0" t="n">
        <v>1</v>
      </c>
      <c r="D54" s="0" t="n">
        <v>0</v>
      </c>
      <c r="E54" s="0" t="n">
        <v>1</v>
      </c>
      <c r="F54" s="0" t="n">
        <v>7</v>
      </c>
      <c r="G54" s="0" t="b">
        <f aca="false">FALSE()</f>
        <v>0</v>
      </c>
      <c r="H54" s="0" t="n">
        <v>1</v>
      </c>
      <c r="I54" s="0" t="n">
        <v>1</v>
      </c>
      <c r="J54" s="0" t="n">
        <v>0.14</v>
      </c>
    </row>
    <row r="55" customFormat="false" ht="15" hidden="false" customHeight="false" outlineLevel="0" collapsed="false">
      <c r="A55" s="0" t="n">
        <v>54</v>
      </c>
      <c r="B55" s="0" t="s">
        <v>79</v>
      </c>
      <c r="C55" s="0" t="n">
        <v>1</v>
      </c>
      <c r="D55" s="0" t="n">
        <v>0</v>
      </c>
      <c r="E55" s="0" t="n">
        <v>1</v>
      </c>
      <c r="F55" s="0" t="n">
        <v>8</v>
      </c>
      <c r="G55" s="0" t="b">
        <f aca="false">FALSE()</f>
        <v>0</v>
      </c>
      <c r="H55" s="0" t="n">
        <v>1</v>
      </c>
      <c r="I55" s="0" t="n">
        <v>1</v>
      </c>
      <c r="J55" s="0" t="n">
        <v>0.14</v>
      </c>
    </row>
    <row r="56" customFormat="false" ht="15" hidden="false" customHeight="false" outlineLevel="0" collapsed="false">
      <c r="A56" s="0" t="n">
        <v>55</v>
      </c>
      <c r="B56" s="0" t="s">
        <v>79</v>
      </c>
      <c r="C56" s="0" t="n">
        <v>1</v>
      </c>
      <c r="D56" s="0" t="n">
        <v>0</v>
      </c>
      <c r="E56" s="0" t="n">
        <v>1</v>
      </c>
      <c r="F56" s="0" t="n">
        <v>9</v>
      </c>
      <c r="G56" s="0" t="b">
        <f aca="false">FALSE()</f>
        <v>0</v>
      </c>
      <c r="H56" s="0" t="n">
        <v>1</v>
      </c>
      <c r="I56" s="0" t="n">
        <v>1</v>
      </c>
      <c r="J56" s="0" t="n">
        <v>0.16</v>
      </c>
    </row>
    <row r="57" customFormat="false" ht="15" hidden="false" customHeight="false" outlineLevel="0" collapsed="false">
      <c r="A57" s="0" t="n">
        <v>56</v>
      </c>
      <c r="B57" s="0" t="s">
        <v>79</v>
      </c>
      <c r="C57" s="0" t="n">
        <v>1</v>
      </c>
      <c r="D57" s="0" t="n">
        <v>0</v>
      </c>
      <c r="E57" s="0" t="n">
        <v>1</v>
      </c>
      <c r="F57" s="0" t="n">
        <v>10</v>
      </c>
      <c r="G57" s="0" t="b">
        <f aca="false">FALSE()</f>
        <v>0</v>
      </c>
      <c r="H57" s="0" t="n">
        <v>1</v>
      </c>
      <c r="I57" s="0" t="n">
        <v>1</v>
      </c>
      <c r="J57" s="0" t="n">
        <v>0.18</v>
      </c>
    </row>
    <row r="58" customFormat="false" ht="15" hidden="false" customHeight="false" outlineLevel="0" collapsed="false">
      <c r="A58" s="0" t="n">
        <v>57</v>
      </c>
      <c r="B58" s="0" t="s">
        <v>79</v>
      </c>
      <c r="C58" s="0" t="n">
        <v>1</v>
      </c>
      <c r="D58" s="0" t="n">
        <v>0</v>
      </c>
      <c r="E58" s="0" t="n">
        <v>1</v>
      </c>
      <c r="F58" s="0" t="n">
        <v>11</v>
      </c>
      <c r="G58" s="0" t="b">
        <f aca="false">FALSE()</f>
        <v>0</v>
      </c>
      <c r="H58" s="0" t="n">
        <v>1</v>
      </c>
      <c r="I58" s="0" t="n">
        <v>1</v>
      </c>
      <c r="J58" s="0" t="n">
        <v>0.2</v>
      </c>
    </row>
    <row r="59" customFormat="false" ht="15" hidden="false" customHeight="false" outlineLevel="0" collapsed="false">
      <c r="A59" s="0" t="n">
        <v>58</v>
      </c>
      <c r="B59" s="0" t="s">
        <v>79</v>
      </c>
      <c r="C59" s="0" t="n">
        <v>1</v>
      </c>
      <c r="D59" s="0" t="n">
        <v>0</v>
      </c>
      <c r="E59" s="0" t="n">
        <v>1</v>
      </c>
      <c r="F59" s="0" t="n">
        <v>12</v>
      </c>
      <c r="G59" s="0" t="b">
        <f aca="false">FALSE()</f>
        <v>0</v>
      </c>
      <c r="H59" s="0" t="n">
        <v>1</v>
      </c>
      <c r="I59" s="0" t="n">
        <v>1</v>
      </c>
      <c r="J59" s="0" t="n">
        <v>0.22</v>
      </c>
    </row>
    <row r="60" customFormat="false" ht="15" hidden="false" customHeight="false" outlineLevel="0" collapsed="false">
      <c r="A60" s="0" t="n">
        <v>59</v>
      </c>
      <c r="B60" s="0" t="s">
        <v>79</v>
      </c>
      <c r="C60" s="0" t="n">
        <v>1</v>
      </c>
      <c r="D60" s="0" t="n">
        <v>0</v>
      </c>
      <c r="E60" s="0" t="n">
        <v>1</v>
      </c>
      <c r="F60" s="0" t="n">
        <v>13</v>
      </c>
      <c r="G60" s="0" t="b">
        <f aca="false">FALSE()</f>
        <v>0</v>
      </c>
      <c r="H60" s="0" t="n">
        <v>1</v>
      </c>
      <c r="I60" s="0" t="n">
        <v>1</v>
      </c>
      <c r="J60" s="0" t="n">
        <v>0.24</v>
      </c>
    </row>
    <row r="61" customFormat="false" ht="15" hidden="false" customHeight="false" outlineLevel="0" collapsed="false">
      <c r="A61" s="0" t="n">
        <v>60</v>
      </c>
      <c r="B61" s="0" t="s">
        <v>79</v>
      </c>
      <c r="C61" s="0" t="n">
        <v>1</v>
      </c>
      <c r="D61" s="0" t="n">
        <v>0</v>
      </c>
      <c r="E61" s="0" t="n">
        <v>1</v>
      </c>
      <c r="F61" s="0" t="n">
        <v>14</v>
      </c>
      <c r="G61" s="0" t="b">
        <f aca="false">FALSE()</f>
        <v>0</v>
      </c>
      <c r="H61" s="0" t="n">
        <v>1</v>
      </c>
      <c r="I61" s="0" t="n">
        <v>1</v>
      </c>
      <c r="J61" s="0" t="n">
        <v>0.26</v>
      </c>
    </row>
    <row r="62" customFormat="false" ht="15" hidden="false" customHeight="false" outlineLevel="0" collapsed="false">
      <c r="A62" s="0" t="n">
        <v>61</v>
      </c>
      <c r="B62" s="0" t="s">
        <v>79</v>
      </c>
      <c r="C62" s="0" t="n">
        <v>1</v>
      </c>
      <c r="D62" s="0" t="n">
        <v>0</v>
      </c>
      <c r="E62" s="0" t="n">
        <v>1</v>
      </c>
      <c r="F62" s="0" t="n">
        <v>15</v>
      </c>
      <c r="G62" s="0" t="b">
        <f aca="false">FALSE()</f>
        <v>0</v>
      </c>
      <c r="H62" s="0" t="n">
        <v>1</v>
      </c>
      <c r="I62" s="0" t="n">
        <v>1</v>
      </c>
      <c r="J62" s="0" t="n">
        <v>0.26</v>
      </c>
    </row>
    <row r="63" customFormat="false" ht="15" hidden="false" customHeight="false" outlineLevel="0" collapsed="false">
      <c r="A63" s="0" t="n">
        <v>62</v>
      </c>
      <c r="B63" s="0" t="s">
        <v>79</v>
      </c>
      <c r="C63" s="0" t="n">
        <v>1</v>
      </c>
      <c r="D63" s="0" t="n">
        <v>0</v>
      </c>
      <c r="E63" s="0" t="n">
        <v>1</v>
      </c>
      <c r="F63" s="0" t="n">
        <v>16</v>
      </c>
      <c r="G63" s="0" t="b">
        <f aca="false">FALSE()</f>
        <v>0</v>
      </c>
      <c r="H63" s="0" t="n">
        <v>1</v>
      </c>
      <c r="I63" s="0" t="n">
        <v>1</v>
      </c>
      <c r="J63" s="0" t="n">
        <v>0.26</v>
      </c>
    </row>
    <row r="64" customFormat="false" ht="15" hidden="false" customHeight="false" outlineLevel="0" collapsed="false">
      <c r="A64" s="0" t="n">
        <v>63</v>
      </c>
      <c r="B64" s="0" t="s">
        <v>79</v>
      </c>
      <c r="C64" s="0" t="n">
        <v>1</v>
      </c>
      <c r="D64" s="0" t="n">
        <v>0</v>
      </c>
      <c r="E64" s="0" t="n">
        <v>1</v>
      </c>
      <c r="F64" s="0" t="n">
        <v>17</v>
      </c>
      <c r="G64" s="0" t="b">
        <f aca="false">FALSE()</f>
        <v>0</v>
      </c>
      <c r="H64" s="0" t="n">
        <v>1</v>
      </c>
      <c r="I64" s="0" t="n">
        <v>1</v>
      </c>
      <c r="J64" s="0" t="n">
        <v>0.24</v>
      </c>
    </row>
    <row r="65" customFormat="false" ht="15" hidden="false" customHeight="false" outlineLevel="0" collapsed="false">
      <c r="A65" s="0" t="n">
        <v>64</v>
      </c>
      <c r="B65" s="0" t="s">
        <v>79</v>
      </c>
      <c r="C65" s="0" t="n">
        <v>1</v>
      </c>
      <c r="D65" s="0" t="n">
        <v>0</v>
      </c>
      <c r="E65" s="0" t="n">
        <v>1</v>
      </c>
      <c r="F65" s="0" t="n">
        <v>18</v>
      </c>
      <c r="G65" s="0" t="b">
        <f aca="false">FALSE()</f>
        <v>0</v>
      </c>
      <c r="H65" s="0" t="n">
        <v>1</v>
      </c>
      <c r="I65" s="0" t="n">
        <v>1</v>
      </c>
      <c r="J65" s="0" t="n">
        <v>0.24</v>
      </c>
    </row>
    <row r="66" customFormat="false" ht="15" hidden="false" customHeight="false" outlineLevel="0" collapsed="false">
      <c r="A66" s="0" t="n">
        <v>65</v>
      </c>
      <c r="B66" s="0" t="s">
        <v>79</v>
      </c>
      <c r="C66" s="0" t="n">
        <v>1</v>
      </c>
      <c r="D66" s="0" t="n">
        <v>0</v>
      </c>
      <c r="E66" s="0" t="n">
        <v>1</v>
      </c>
      <c r="F66" s="0" t="n">
        <v>19</v>
      </c>
      <c r="G66" s="0" t="b">
        <f aca="false">FALSE()</f>
        <v>0</v>
      </c>
      <c r="H66" s="0" t="n">
        <v>1</v>
      </c>
      <c r="I66" s="0" t="n">
        <v>1</v>
      </c>
      <c r="J66" s="0" t="n">
        <v>0.2</v>
      </c>
    </row>
    <row r="67" customFormat="false" ht="15" hidden="false" customHeight="false" outlineLevel="0" collapsed="false">
      <c r="A67" s="0" t="n">
        <v>66</v>
      </c>
      <c r="B67" s="0" t="s">
        <v>79</v>
      </c>
      <c r="C67" s="0" t="n">
        <v>1</v>
      </c>
      <c r="D67" s="0" t="n">
        <v>0</v>
      </c>
      <c r="E67" s="0" t="n">
        <v>1</v>
      </c>
      <c r="F67" s="0" t="n">
        <v>20</v>
      </c>
      <c r="G67" s="0" t="b">
        <f aca="false">FALSE()</f>
        <v>0</v>
      </c>
      <c r="H67" s="0" t="n">
        <v>1</v>
      </c>
      <c r="I67" s="0" t="n">
        <v>1</v>
      </c>
      <c r="J67" s="0" t="n">
        <v>0.2</v>
      </c>
    </row>
    <row r="68" customFormat="false" ht="15" hidden="false" customHeight="false" outlineLevel="0" collapsed="false">
      <c r="A68" s="0" t="n">
        <v>67</v>
      </c>
      <c r="B68" s="0" t="s">
        <v>79</v>
      </c>
      <c r="C68" s="0" t="n">
        <v>1</v>
      </c>
      <c r="D68" s="0" t="n">
        <v>0</v>
      </c>
      <c r="E68" s="0" t="n">
        <v>1</v>
      </c>
      <c r="F68" s="0" t="n">
        <v>21</v>
      </c>
      <c r="G68" s="0" t="b">
        <f aca="false">FALSE()</f>
        <v>0</v>
      </c>
      <c r="H68" s="0" t="n">
        <v>1</v>
      </c>
      <c r="I68" s="0" t="n">
        <v>1</v>
      </c>
      <c r="J68" s="0" t="n">
        <v>0.18</v>
      </c>
    </row>
    <row r="69" customFormat="false" ht="15" hidden="false" customHeight="false" outlineLevel="0" collapsed="false">
      <c r="A69" s="0" t="n">
        <v>68</v>
      </c>
      <c r="B69" s="0" t="s">
        <v>79</v>
      </c>
      <c r="C69" s="0" t="n">
        <v>1</v>
      </c>
      <c r="D69" s="0" t="n">
        <v>0</v>
      </c>
      <c r="E69" s="0" t="n">
        <v>1</v>
      </c>
      <c r="F69" s="0" t="n">
        <v>22</v>
      </c>
      <c r="G69" s="0" t="b">
        <f aca="false">FALSE()</f>
        <v>0</v>
      </c>
      <c r="H69" s="0" t="n">
        <v>1</v>
      </c>
      <c r="I69" s="0" t="n">
        <v>1</v>
      </c>
      <c r="J69" s="0" t="n">
        <v>0.14</v>
      </c>
    </row>
    <row r="70" customFormat="false" ht="15" hidden="false" customHeight="false" outlineLevel="0" collapsed="false">
      <c r="A70" s="0" t="n">
        <v>69</v>
      </c>
      <c r="B70" s="0" t="s">
        <v>79</v>
      </c>
      <c r="C70" s="0" t="n">
        <v>1</v>
      </c>
      <c r="D70" s="0" t="n">
        <v>0</v>
      </c>
      <c r="E70" s="0" t="n">
        <v>1</v>
      </c>
      <c r="F70" s="0" t="n">
        <v>23</v>
      </c>
      <c r="G70" s="0" t="b">
        <f aca="false">FALSE()</f>
        <v>0</v>
      </c>
      <c r="H70" s="0" t="n">
        <v>1</v>
      </c>
      <c r="I70" s="0" t="n">
        <v>1</v>
      </c>
      <c r="J70" s="0" t="n">
        <v>0.18</v>
      </c>
    </row>
    <row r="71" customFormat="false" ht="15" hidden="false" customHeight="false" outlineLevel="0" collapsed="false">
      <c r="A71" s="0" t="n">
        <v>70</v>
      </c>
      <c r="B71" s="0" t="s">
        <v>80</v>
      </c>
      <c r="C71" s="0" t="n">
        <v>1</v>
      </c>
      <c r="D71" s="0" t="n">
        <v>0</v>
      </c>
      <c r="E71" s="0" t="n">
        <v>1</v>
      </c>
      <c r="F71" s="0" t="n">
        <v>0</v>
      </c>
      <c r="G71" s="0" t="b">
        <f aca="false">FALSE()</f>
        <v>0</v>
      </c>
      <c r="H71" s="0" t="n">
        <v>2</v>
      </c>
      <c r="I71" s="0" t="n">
        <v>1</v>
      </c>
      <c r="J71" s="0" t="n">
        <v>0.16</v>
      </c>
    </row>
    <row r="72" customFormat="false" ht="15" hidden="false" customHeight="false" outlineLevel="0" collapsed="false">
      <c r="A72" s="0" t="n">
        <v>71</v>
      </c>
      <c r="B72" s="0" t="s">
        <v>80</v>
      </c>
      <c r="C72" s="0" t="n">
        <v>1</v>
      </c>
      <c r="D72" s="0" t="n">
        <v>0</v>
      </c>
      <c r="E72" s="0" t="n">
        <v>1</v>
      </c>
      <c r="F72" s="0" t="n">
        <v>1</v>
      </c>
      <c r="G72" s="0" t="b">
        <f aca="false">FALSE()</f>
        <v>0</v>
      </c>
      <c r="H72" s="0" t="n">
        <v>2</v>
      </c>
      <c r="I72" s="0" t="n">
        <v>1</v>
      </c>
      <c r="J72" s="0" t="n">
        <v>0.16</v>
      </c>
    </row>
    <row r="73" customFormat="false" ht="15" hidden="false" customHeight="false" outlineLevel="0" collapsed="false">
      <c r="A73" s="0" t="n">
        <v>72</v>
      </c>
      <c r="B73" s="0" t="s">
        <v>80</v>
      </c>
      <c r="C73" s="0" t="n">
        <v>1</v>
      </c>
      <c r="D73" s="0" t="n">
        <v>0</v>
      </c>
      <c r="E73" s="0" t="n">
        <v>1</v>
      </c>
      <c r="F73" s="0" t="n">
        <v>2</v>
      </c>
      <c r="G73" s="0" t="b">
        <f aca="false">FALSE()</f>
        <v>0</v>
      </c>
      <c r="H73" s="0" t="n">
        <v>2</v>
      </c>
      <c r="I73" s="0" t="n">
        <v>1</v>
      </c>
      <c r="J73" s="0" t="n">
        <v>0.14</v>
      </c>
    </row>
    <row r="74" customFormat="false" ht="15" hidden="false" customHeight="false" outlineLevel="0" collapsed="false">
      <c r="A74" s="0" t="n">
        <v>73</v>
      </c>
      <c r="B74" s="0" t="s">
        <v>80</v>
      </c>
      <c r="C74" s="0" t="n">
        <v>1</v>
      </c>
      <c r="D74" s="0" t="n">
        <v>0</v>
      </c>
      <c r="E74" s="0" t="n">
        <v>1</v>
      </c>
      <c r="F74" s="0" t="n">
        <v>4</v>
      </c>
      <c r="G74" s="0" t="b">
        <f aca="false">FALSE()</f>
        <v>0</v>
      </c>
      <c r="H74" s="0" t="n">
        <v>2</v>
      </c>
      <c r="I74" s="0" t="n">
        <v>1</v>
      </c>
      <c r="J74" s="0" t="n">
        <v>0.14</v>
      </c>
    </row>
    <row r="75" customFormat="false" ht="15" hidden="false" customHeight="false" outlineLevel="0" collapsed="false">
      <c r="A75" s="0" t="n">
        <v>74</v>
      </c>
      <c r="B75" s="0" t="s">
        <v>80</v>
      </c>
      <c r="C75" s="0" t="n">
        <v>1</v>
      </c>
      <c r="D75" s="0" t="n">
        <v>0</v>
      </c>
      <c r="E75" s="0" t="n">
        <v>1</v>
      </c>
      <c r="F75" s="0" t="n">
        <v>5</v>
      </c>
      <c r="G75" s="0" t="b">
        <f aca="false">FALSE()</f>
        <v>0</v>
      </c>
      <c r="H75" s="0" t="n">
        <v>2</v>
      </c>
      <c r="I75" s="0" t="n">
        <v>1</v>
      </c>
      <c r="J75" s="0" t="n">
        <v>0.12</v>
      </c>
    </row>
    <row r="76" customFormat="false" ht="15" hidden="false" customHeight="false" outlineLevel="0" collapsed="false">
      <c r="A76" s="0" t="n">
        <v>75</v>
      </c>
      <c r="B76" s="0" t="s">
        <v>80</v>
      </c>
      <c r="C76" s="0" t="n">
        <v>1</v>
      </c>
      <c r="D76" s="0" t="n">
        <v>0</v>
      </c>
      <c r="E76" s="0" t="n">
        <v>1</v>
      </c>
      <c r="F76" s="0" t="n">
        <v>6</v>
      </c>
      <c r="G76" s="0" t="b">
        <f aca="false">FALSE()</f>
        <v>0</v>
      </c>
      <c r="H76" s="0" t="n">
        <v>2</v>
      </c>
      <c r="I76" s="0" t="n">
        <v>1</v>
      </c>
      <c r="J76" s="0" t="n">
        <v>0.12</v>
      </c>
    </row>
    <row r="77" customFormat="false" ht="15" hidden="false" customHeight="false" outlineLevel="0" collapsed="false">
      <c r="A77" s="0" t="n">
        <v>76</v>
      </c>
      <c r="B77" s="0" t="s">
        <v>80</v>
      </c>
      <c r="C77" s="0" t="n">
        <v>1</v>
      </c>
      <c r="D77" s="0" t="n">
        <v>0</v>
      </c>
      <c r="E77" s="0" t="n">
        <v>1</v>
      </c>
      <c r="F77" s="0" t="n">
        <v>7</v>
      </c>
      <c r="G77" s="0" t="b">
        <f aca="false">FALSE()</f>
        <v>0</v>
      </c>
      <c r="H77" s="0" t="n">
        <v>2</v>
      </c>
      <c r="I77" s="0" t="n">
        <v>1</v>
      </c>
      <c r="J77" s="0" t="n">
        <v>0.12</v>
      </c>
    </row>
    <row r="78" customFormat="false" ht="15" hidden="false" customHeight="false" outlineLevel="0" collapsed="false">
      <c r="A78" s="0" t="n">
        <v>77</v>
      </c>
      <c r="B78" s="0" t="s">
        <v>80</v>
      </c>
      <c r="C78" s="0" t="n">
        <v>1</v>
      </c>
      <c r="D78" s="0" t="n">
        <v>0</v>
      </c>
      <c r="E78" s="0" t="n">
        <v>1</v>
      </c>
      <c r="F78" s="0" t="n">
        <v>8</v>
      </c>
      <c r="G78" s="0" t="b">
        <f aca="false">FALSE()</f>
        <v>0</v>
      </c>
      <c r="H78" s="0" t="n">
        <v>2</v>
      </c>
      <c r="I78" s="0" t="n">
        <v>1</v>
      </c>
      <c r="J78" s="0" t="n">
        <v>0.14</v>
      </c>
    </row>
    <row r="79" customFormat="false" ht="15" hidden="false" customHeight="false" outlineLevel="0" collapsed="false">
      <c r="A79" s="0" t="n">
        <v>78</v>
      </c>
      <c r="B79" s="0" t="s">
        <v>80</v>
      </c>
      <c r="C79" s="0" t="n">
        <v>1</v>
      </c>
      <c r="D79" s="0" t="n">
        <v>0</v>
      </c>
      <c r="E79" s="0" t="n">
        <v>1</v>
      </c>
      <c r="F79" s="0" t="n">
        <v>9</v>
      </c>
      <c r="G79" s="0" t="b">
        <f aca="false">FALSE()</f>
        <v>0</v>
      </c>
      <c r="H79" s="0" t="n">
        <v>2</v>
      </c>
      <c r="I79" s="0" t="n">
        <v>1</v>
      </c>
      <c r="J79" s="0" t="n">
        <v>0.16</v>
      </c>
    </row>
    <row r="80" customFormat="false" ht="15" hidden="false" customHeight="false" outlineLevel="0" collapsed="false">
      <c r="A80" s="0" t="n">
        <v>79</v>
      </c>
      <c r="B80" s="0" t="s">
        <v>80</v>
      </c>
      <c r="C80" s="0" t="n">
        <v>1</v>
      </c>
      <c r="D80" s="0" t="n">
        <v>0</v>
      </c>
      <c r="E80" s="0" t="n">
        <v>1</v>
      </c>
      <c r="F80" s="0" t="n">
        <v>10</v>
      </c>
      <c r="G80" s="0" t="b">
        <f aca="false">FALSE()</f>
        <v>0</v>
      </c>
      <c r="H80" s="0" t="n">
        <v>2</v>
      </c>
      <c r="I80" s="0" t="n">
        <v>2</v>
      </c>
      <c r="J80" s="0" t="n">
        <v>0.16</v>
      </c>
    </row>
    <row r="81" customFormat="false" ht="15" hidden="false" customHeight="false" outlineLevel="0" collapsed="false">
      <c r="A81" s="0" t="n">
        <v>80</v>
      </c>
      <c r="B81" s="0" t="s">
        <v>80</v>
      </c>
      <c r="C81" s="0" t="n">
        <v>1</v>
      </c>
      <c r="D81" s="0" t="n">
        <v>0</v>
      </c>
      <c r="E81" s="0" t="n">
        <v>1</v>
      </c>
      <c r="F81" s="0" t="n">
        <v>11</v>
      </c>
      <c r="G81" s="0" t="b">
        <f aca="false">FALSE()</f>
        <v>0</v>
      </c>
      <c r="H81" s="0" t="n">
        <v>2</v>
      </c>
      <c r="I81" s="0" t="n">
        <v>1</v>
      </c>
      <c r="J81" s="0" t="n">
        <v>0.22</v>
      </c>
    </row>
    <row r="82" customFormat="false" ht="15" hidden="false" customHeight="false" outlineLevel="0" collapsed="false">
      <c r="A82" s="0" t="n">
        <v>81</v>
      </c>
      <c r="B82" s="0" t="s">
        <v>80</v>
      </c>
      <c r="C82" s="0" t="n">
        <v>1</v>
      </c>
      <c r="D82" s="0" t="n">
        <v>0</v>
      </c>
      <c r="E82" s="0" t="n">
        <v>1</v>
      </c>
      <c r="F82" s="0" t="n">
        <v>12</v>
      </c>
      <c r="G82" s="0" t="b">
        <f aca="false">FALSE()</f>
        <v>0</v>
      </c>
      <c r="H82" s="0" t="n">
        <v>2</v>
      </c>
      <c r="I82" s="0" t="n">
        <v>1</v>
      </c>
      <c r="J82" s="0" t="n">
        <v>0.22</v>
      </c>
    </row>
    <row r="83" customFormat="false" ht="15" hidden="false" customHeight="false" outlineLevel="0" collapsed="false">
      <c r="A83" s="0" t="n">
        <v>82</v>
      </c>
      <c r="B83" s="0" t="s">
        <v>80</v>
      </c>
      <c r="C83" s="0" t="n">
        <v>1</v>
      </c>
      <c r="D83" s="0" t="n">
        <v>0</v>
      </c>
      <c r="E83" s="0" t="n">
        <v>1</v>
      </c>
      <c r="F83" s="0" t="n">
        <v>13</v>
      </c>
      <c r="G83" s="0" t="b">
        <f aca="false">FALSE()</f>
        <v>0</v>
      </c>
      <c r="H83" s="0" t="n">
        <v>2</v>
      </c>
      <c r="I83" s="0" t="n">
        <v>1</v>
      </c>
      <c r="J83" s="0" t="n">
        <v>0.24</v>
      </c>
    </row>
    <row r="84" customFormat="false" ht="15" hidden="false" customHeight="false" outlineLevel="0" collapsed="false">
      <c r="A84" s="0" t="n">
        <v>83</v>
      </c>
      <c r="B84" s="0" t="s">
        <v>80</v>
      </c>
      <c r="C84" s="0" t="n">
        <v>1</v>
      </c>
      <c r="D84" s="0" t="n">
        <v>0</v>
      </c>
      <c r="E84" s="0" t="n">
        <v>1</v>
      </c>
      <c r="F84" s="0" t="n">
        <v>14</v>
      </c>
      <c r="G84" s="0" t="b">
        <f aca="false">FALSE()</f>
        <v>0</v>
      </c>
      <c r="H84" s="0" t="n">
        <v>2</v>
      </c>
      <c r="I84" s="0" t="n">
        <v>1</v>
      </c>
      <c r="J84" s="0" t="n">
        <v>0.26</v>
      </c>
    </row>
    <row r="85" customFormat="false" ht="15" hidden="false" customHeight="false" outlineLevel="0" collapsed="false">
      <c r="A85" s="0" t="n">
        <v>84</v>
      </c>
      <c r="B85" s="0" t="s">
        <v>80</v>
      </c>
      <c r="C85" s="0" t="n">
        <v>1</v>
      </c>
      <c r="D85" s="0" t="n">
        <v>0</v>
      </c>
      <c r="E85" s="0" t="n">
        <v>1</v>
      </c>
      <c r="F85" s="0" t="n">
        <v>15</v>
      </c>
      <c r="G85" s="0" t="b">
        <f aca="false">FALSE()</f>
        <v>0</v>
      </c>
      <c r="H85" s="0" t="n">
        <v>2</v>
      </c>
      <c r="I85" s="0" t="n">
        <v>1</v>
      </c>
      <c r="J85" s="0" t="n">
        <v>0.28</v>
      </c>
    </row>
    <row r="86" customFormat="false" ht="15" hidden="false" customHeight="false" outlineLevel="0" collapsed="false">
      <c r="A86" s="0" t="n">
        <v>85</v>
      </c>
      <c r="B86" s="0" t="s">
        <v>80</v>
      </c>
      <c r="C86" s="0" t="n">
        <v>1</v>
      </c>
      <c r="D86" s="0" t="n">
        <v>0</v>
      </c>
      <c r="E86" s="0" t="n">
        <v>1</v>
      </c>
      <c r="F86" s="0" t="n">
        <v>16</v>
      </c>
      <c r="G86" s="0" t="b">
        <f aca="false">FALSE()</f>
        <v>0</v>
      </c>
      <c r="H86" s="0" t="n">
        <v>2</v>
      </c>
      <c r="I86" s="0" t="n">
        <v>1</v>
      </c>
      <c r="J86" s="0" t="n">
        <v>0.3</v>
      </c>
    </row>
    <row r="87" customFormat="false" ht="15" hidden="false" customHeight="false" outlineLevel="0" collapsed="false">
      <c r="A87" s="0" t="n">
        <v>86</v>
      </c>
      <c r="B87" s="0" t="s">
        <v>80</v>
      </c>
      <c r="C87" s="0" t="n">
        <v>1</v>
      </c>
      <c r="D87" s="0" t="n">
        <v>0</v>
      </c>
      <c r="E87" s="0" t="n">
        <v>1</v>
      </c>
      <c r="F87" s="0" t="n">
        <v>17</v>
      </c>
      <c r="G87" s="0" t="b">
        <f aca="false">FALSE()</f>
        <v>0</v>
      </c>
      <c r="H87" s="0" t="n">
        <v>2</v>
      </c>
      <c r="I87" s="0" t="n">
        <v>1</v>
      </c>
      <c r="J87" s="0" t="n">
        <v>0.28</v>
      </c>
    </row>
    <row r="88" customFormat="false" ht="15" hidden="false" customHeight="false" outlineLevel="0" collapsed="false">
      <c r="A88" s="0" t="n">
        <v>87</v>
      </c>
      <c r="B88" s="0" t="s">
        <v>80</v>
      </c>
      <c r="C88" s="0" t="n">
        <v>1</v>
      </c>
      <c r="D88" s="0" t="n">
        <v>0</v>
      </c>
      <c r="E88" s="0" t="n">
        <v>1</v>
      </c>
      <c r="F88" s="0" t="n">
        <v>18</v>
      </c>
      <c r="G88" s="0" t="b">
        <f aca="false">FALSE()</f>
        <v>0</v>
      </c>
      <c r="H88" s="0" t="n">
        <v>2</v>
      </c>
      <c r="I88" s="0" t="n">
        <v>1</v>
      </c>
      <c r="J88" s="0" t="n">
        <v>0.26</v>
      </c>
    </row>
    <row r="89" customFormat="false" ht="15" hidden="false" customHeight="false" outlineLevel="0" collapsed="false">
      <c r="A89" s="0" t="n">
        <v>88</v>
      </c>
      <c r="B89" s="0" t="s">
        <v>80</v>
      </c>
      <c r="C89" s="0" t="n">
        <v>1</v>
      </c>
      <c r="D89" s="0" t="n">
        <v>0</v>
      </c>
      <c r="E89" s="0" t="n">
        <v>1</v>
      </c>
      <c r="F89" s="0" t="n">
        <v>19</v>
      </c>
      <c r="G89" s="0" t="b">
        <f aca="false">FALSE()</f>
        <v>0</v>
      </c>
      <c r="H89" s="0" t="n">
        <v>2</v>
      </c>
      <c r="I89" s="0" t="n">
        <v>1</v>
      </c>
      <c r="J89" s="0" t="n">
        <v>0.24</v>
      </c>
    </row>
    <row r="90" customFormat="false" ht="15" hidden="false" customHeight="false" outlineLevel="0" collapsed="false">
      <c r="A90" s="0" t="n">
        <v>89</v>
      </c>
      <c r="B90" s="0" t="s">
        <v>80</v>
      </c>
      <c r="C90" s="0" t="n">
        <v>1</v>
      </c>
      <c r="D90" s="0" t="n">
        <v>0</v>
      </c>
      <c r="E90" s="0" t="n">
        <v>1</v>
      </c>
      <c r="F90" s="0" t="n">
        <v>20</v>
      </c>
      <c r="G90" s="0" t="b">
        <f aca="false">FALSE()</f>
        <v>0</v>
      </c>
      <c r="H90" s="0" t="n">
        <v>2</v>
      </c>
      <c r="I90" s="0" t="n">
        <v>1</v>
      </c>
      <c r="J90" s="0" t="n">
        <v>0.24</v>
      </c>
    </row>
    <row r="91" customFormat="false" ht="15" hidden="false" customHeight="false" outlineLevel="0" collapsed="false">
      <c r="A91" s="0" t="n">
        <v>90</v>
      </c>
      <c r="B91" s="0" t="s">
        <v>80</v>
      </c>
      <c r="C91" s="0" t="n">
        <v>1</v>
      </c>
      <c r="D91" s="0" t="n">
        <v>0</v>
      </c>
      <c r="E91" s="0" t="n">
        <v>1</v>
      </c>
      <c r="F91" s="0" t="n">
        <v>21</v>
      </c>
      <c r="G91" s="0" t="b">
        <f aca="false">FALSE()</f>
        <v>0</v>
      </c>
      <c r="H91" s="0" t="n">
        <v>2</v>
      </c>
      <c r="I91" s="0" t="n">
        <v>1</v>
      </c>
      <c r="J91" s="0" t="n">
        <v>0.22</v>
      </c>
    </row>
    <row r="92" customFormat="false" ht="15" hidden="false" customHeight="false" outlineLevel="0" collapsed="false">
      <c r="A92" s="0" t="n">
        <v>91</v>
      </c>
      <c r="B92" s="0" t="s">
        <v>80</v>
      </c>
      <c r="C92" s="0" t="n">
        <v>1</v>
      </c>
      <c r="D92" s="0" t="n">
        <v>0</v>
      </c>
      <c r="E92" s="0" t="n">
        <v>1</v>
      </c>
      <c r="F92" s="0" t="n">
        <v>22</v>
      </c>
      <c r="G92" s="0" t="b">
        <f aca="false">FALSE()</f>
        <v>0</v>
      </c>
      <c r="H92" s="0" t="n">
        <v>2</v>
      </c>
      <c r="I92" s="0" t="n">
        <v>1</v>
      </c>
      <c r="J92" s="0" t="n">
        <v>0.22</v>
      </c>
    </row>
    <row r="93" customFormat="false" ht="15" hidden="false" customHeight="false" outlineLevel="0" collapsed="false">
      <c r="A93" s="0" t="n">
        <v>92</v>
      </c>
      <c r="B93" s="0" t="s">
        <v>80</v>
      </c>
      <c r="C93" s="0" t="n">
        <v>1</v>
      </c>
      <c r="D93" s="0" t="n">
        <v>0</v>
      </c>
      <c r="E93" s="0" t="n">
        <v>1</v>
      </c>
      <c r="F93" s="0" t="n">
        <v>23</v>
      </c>
      <c r="G93" s="0" t="b">
        <f aca="false">FALSE()</f>
        <v>0</v>
      </c>
      <c r="H93" s="0" t="n">
        <v>2</v>
      </c>
      <c r="I93" s="0" t="n">
        <v>1</v>
      </c>
      <c r="J93" s="0" t="n">
        <v>0.2</v>
      </c>
    </row>
    <row r="94" customFormat="false" ht="15" hidden="false" customHeight="false" outlineLevel="0" collapsed="false">
      <c r="A94" s="0" t="n">
        <v>93</v>
      </c>
      <c r="B94" s="0" t="s">
        <v>81</v>
      </c>
      <c r="C94" s="0" t="n">
        <v>1</v>
      </c>
      <c r="D94" s="0" t="n">
        <v>0</v>
      </c>
      <c r="E94" s="0" t="n">
        <v>1</v>
      </c>
      <c r="F94" s="0" t="n">
        <v>0</v>
      </c>
      <c r="G94" s="0" t="b">
        <f aca="false">FALSE()</f>
        <v>0</v>
      </c>
      <c r="H94" s="0" t="n">
        <v>3</v>
      </c>
      <c r="I94" s="0" t="n">
        <v>1</v>
      </c>
      <c r="J94" s="0" t="n">
        <v>0.2</v>
      </c>
    </row>
    <row r="95" customFormat="false" ht="15" hidden="false" customHeight="false" outlineLevel="0" collapsed="false">
      <c r="A95" s="0" t="n">
        <v>94</v>
      </c>
      <c r="B95" s="0" t="s">
        <v>81</v>
      </c>
      <c r="C95" s="0" t="n">
        <v>1</v>
      </c>
      <c r="D95" s="0" t="n">
        <v>0</v>
      </c>
      <c r="E95" s="0" t="n">
        <v>1</v>
      </c>
      <c r="F95" s="0" t="n">
        <v>1</v>
      </c>
      <c r="G95" s="0" t="b">
        <f aca="false">FALSE()</f>
        <v>0</v>
      </c>
      <c r="H95" s="0" t="n">
        <v>3</v>
      </c>
      <c r="I95" s="0" t="n">
        <v>1</v>
      </c>
      <c r="J95" s="0" t="n">
        <v>0.16</v>
      </c>
    </row>
    <row r="96" customFormat="false" ht="15" hidden="false" customHeight="false" outlineLevel="0" collapsed="false">
      <c r="A96" s="0" t="n">
        <v>95</v>
      </c>
      <c r="B96" s="0" t="s">
        <v>81</v>
      </c>
      <c r="C96" s="0" t="n">
        <v>1</v>
      </c>
      <c r="D96" s="0" t="n">
        <v>0</v>
      </c>
      <c r="E96" s="0" t="n">
        <v>1</v>
      </c>
      <c r="F96" s="0" t="n">
        <v>2</v>
      </c>
      <c r="G96" s="0" t="b">
        <f aca="false">FALSE()</f>
        <v>0</v>
      </c>
      <c r="H96" s="0" t="n">
        <v>3</v>
      </c>
      <c r="I96" s="0" t="n">
        <v>1</v>
      </c>
      <c r="J96" s="0" t="n">
        <v>0.16</v>
      </c>
    </row>
    <row r="97" customFormat="false" ht="15" hidden="false" customHeight="false" outlineLevel="0" collapsed="false">
      <c r="A97" s="0" t="n">
        <v>96</v>
      </c>
      <c r="B97" s="0" t="s">
        <v>81</v>
      </c>
      <c r="C97" s="0" t="n">
        <v>1</v>
      </c>
      <c r="D97" s="0" t="n">
        <v>0</v>
      </c>
      <c r="E97" s="0" t="n">
        <v>1</v>
      </c>
      <c r="F97" s="0" t="n">
        <v>4</v>
      </c>
      <c r="G97" s="0" t="b">
        <f aca="false">FALSE()</f>
        <v>0</v>
      </c>
      <c r="H97" s="0" t="n">
        <v>3</v>
      </c>
      <c r="I97" s="0" t="n">
        <v>1</v>
      </c>
      <c r="J97" s="0" t="n">
        <v>0.24</v>
      </c>
    </row>
    <row r="98" customFormat="false" ht="15" hidden="false" customHeight="false" outlineLevel="0" collapsed="false">
      <c r="A98" s="0" t="n">
        <v>97</v>
      </c>
      <c r="B98" s="0" t="s">
        <v>81</v>
      </c>
      <c r="C98" s="0" t="n">
        <v>1</v>
      </c>
      <c r="D98" s="0" t="n">
        <v>0</v>
      </c>
      <c r="E98" s="0" t="n">
        <v>1</v>
      </c>
      <c r="F98" s="0" t="n">
        <v>5</v>
      </c>
      <c r="G98" s="0" t="b">
        <f aca="false">FALSE()</f>
        <v>0</v>
      </c>
      <c r="H98" s="0" t="n">
        <v>3</v>
      </c>
      <c r="I98" s="0" t="n">
        <v>1</v>
      </c>
      <c r="J98" s="0" t="n">
        <v>0.22</v>
      </c>
    </row>
    <row r="99" customFormat="false" ht="15" hidden="false" customHeight="false" outlineLevel="0" collapsed="false">
      <c r="A99" s="0" t="n">
        <v>98</v>
      </c>
      <c r="B99" s="0" t="s">
        <v>81</v>
      </c>
      <c r="C99" s="0" t="n">
        <v>1</v>
      </c>
      <c r="D99" s="0" t="n">
        <v>0</v>
      </c>
      <c r="E99" s="0" t="n">
        <v>1</v>
      </c>
      <c r="F99" s="0" t="n">
        <v>6</v>
      </c>
      <c r="G99" s="0" t="b">
        <f aca="false">FALSE()</f>
        <v>0</v>
      </c>
      <c r="H99" s="0" t="n">
        <v>3</v>
      </c>
      <c r="I99" s="0" t="n">
        <v>1</v>
      </c>
      <c r="J99" s="0" t="n">
        <v>0.2</v>
      </c>
    </row>
    <row r="100" customFormat="false" ht="15" hidden="false" customHeight="false" outlineLevel="0" collapsed="false">
      <c r="A100" s="0" t="n">
        <v>99</v>
      </c>
      <c r="B100" s="0" t="s">
        <v>81</v>
      </c>
      <c r="C100" s="0" t="n">
        <v>1</v>
      </c>
      <c r="D100" s="0" t="n">
        <v>0</v>
      </c>
      <c r="E100" s="0" t="n">
        <v>1</v>
      </c>
      <c r="F100" s="0" t="n">
        <v>7</v>
      </c>
      <c r="G100" s="0" t="b">
        <f aca="false">FALSE()</f>
        <v>0</v>
      </c>
      <c r="H100" s="0" t="n">
        <v>3</v>
      </c>
      <c r="I100" s="0" t="n">
        <v>1</v>
      </c>
      <c r="J100" s="0" t="n">
        <v>0.18</v>
      </c>
    </row>
    <row r="101" customFormat="false" ht="15" hidden="false" customHeight="false" outlineLevel="0" collapsed="false">
      <c r="A101" s="0" t="n">
        <v>100</v>
      </c>
      <c r="B101" s="0" t="s">
        <v>81</v>
      </c>
      <c r="C101" s="0" t="n">
        <v>1</v>
      </c>
      <c r="D101" s="0" t="n">
        <v>0</v>
      </c>
      <c r="E101" s="0" t="n">
        <v>1</v>
      </c>
      <c r="F101" s="0" t="n">
        <v>8</v>
      </c>
      <c r="G101" s="0" t="b">
        <f aca="false">FALSE()</f>
        <v>0</v>
      </c>
      <c r="H101" s="0" t="n">
        <v>3</v>
      </c>
      <c r="I101" s="0" t="n">
        <v>1</v>
      </c>
      <c r="J101" s="0" t="n">
        <v>0.2</v>
      </c>
    </row>
    <row r="102" customFormat="false" ht="15" hidden="false" customHeight="false" outlineLevel="0" collapsed="false">
      <c r="A102" s="0" t="n">
        <v>101</v>
      </c>
      <c r="B102" s="0" t="s">
        <v>81</v>
      </c>
      <c r="C102" s="0" t="n">
        <v>1</v>
      </c>
      <c r="D102" s="0" t="n">
        <v>0</v>
      </c>
      <c r="E102" s="0" t="n">
        <v>1</v>
      </c>
      <c r="F102" s="0" t="n">
        <v>9</v>
      </c>
      <c r="G102" s="0" t="b">
        <f aca="false">FALSE()</f>
        <v>0</v>
      </c>
      <c r="H102" s="0" t="n">
        <v>3</v>
      </c>
      <c r="I102" s="0" t="n">
        <v>1</v>
      </c>
      <c r="J102" s="0" t="n">
        <v>0.22</v>
      </c>
    </row>
    <row r="103" customFormat="false" ht="15" hidden="false" customHeight="false" outlineLevel="0" collapsed="false">
      <c r="A103" s="0" t="n">
        <v>102</v>
      </c>
      <c r="B103" s="0" t="s">
        <v>81</v>
      </c>
      <c r="C103" s="0" t="n">
        <v>1</v>
      </c>
      <c r="D103" s="0" t="n">
        <v>0</v>
      </c>
      <c r="E103" s="0" t="n">
        <v>1</v>
      </c>
      <c r="F103" s="0" t="n">
        <v>10</v>
      </c>
      <c r="G103" s="0" t="b">
        <f aca="false">FALSE()</f>
        <v>0</v>
      </c>
      <c r="H103" s="0" t="n">
        <v>3</v>
      </c>
      <c r="I103" s="0" t="n">
        <v>1</v>
      </c>
      <c r="J103" s="0" t="n">
        <v>0.22</v>
      </c>
    </row>
    <row r="104" customFormat="false" ht="15" hidden="false" customHeight="false" outlineLevel="0" collapsed="false">
      <c r="A104" s="0" t="n">
        <v>103</v>
      </c>
      <c r="B104" s="0" t="s">
        <v>81</v>
      </c>
      <c r="C104" s="0" t="n">
        <v>1</v>
      </c>
      <c r="D104" s="0" t="n">
        <v>0</v>
      </c>
      <c r="E104" s="0" t="n">
        <v>1</v>
      </c>
      <c r="F104" s="0" t="n">
        <v>11</v>
      </c>
      <c r="G104" s="0" t="b">
        <f aca="false">FALSE()</f>
        <v>0</v>
      </c>
      <c r="H104" s="0" t="n">
        <v>3</v>
      </c>
      <c r="I104" s="0" t="n">
        <v>1</v>
      </c>
      <c r="J104" s="0" t="n">
        <v>0.26</v>
      </c>
    </row>
    <row r="105" customFormat="false" ht="15" hidden="false" customHeight="false" outlineLevel="0" collapsed="false">
      <c r="A105" s="0" t="n">
        <v>104</v>
      </c>
      <c r="B105" s="0" t="s">
        <v>81</v>
      </c>
      <c r="C105" s="0" t="n">
        <v>1</v>
      </c>
      <c r="D105" s="0" t="n">
        <v>0</v>
      </c>
      <c r="E105" s="0" t="n">
        <v>1</v>
      </c>
      <c r="F105" s="0" t="n">
        <v>12</v>
      </c>
      <c r="G105" s="0" t="b">
        <f aca="false">FALSE()</f>
        <v>0</v>
      </c>
      <c r="H105" s="0" t="n">
        <v>3</v>
      </c>
      <c r="I105" s="0" t="n">
        <v>1</v>
      </c>
      <c r="J105" s="0" t="n">
        <v>0.26</v>
      </c>
    </row>
    <row r="106" customFormat="false" ht="15" hidden="false" customHeight="false" outlineLevel="0" collapsed="false">
      <c r="A106" s="0" t="n">
        <v>105</v>
      </c>
      <c r="B106" s="0" t="s">
        <v>81</v>
      </c>
      <c r="C106" s="0" t="n">
        <v>1</v>
      </c>
      <c r="D106" s="0" t="n">
        <v>0</v>
      </c>
      <c r="E106" s="0" t="n">
        <v>1</v>
      </c>
      <c r="F106" s="0" t="n">
        <v>13</v>
      </c>
      <c r="G106" s="0" t="b">
        <f aca="false">FALSE()</f>
        <v>0</v>
      </c>
      <c r="H106" s="0" t="n">
        <v>3</v>
      </c>
      <c r="I106" s="0" t="n">
        <v>1</v>
      </c>
      <c r="J106" s="0" t="n">
        <v>0.28</v>
      </c>
    </row>
    <row r="107" customFormat="false" ht="15" hidden="false" customHeight="false" outlineLevel="0" collapsed="false">
      <c r="A107" s="0" t="n">
        <v>106</v>
      </c>
      <c r="B107" s="0" t="s">
        <v>81</v>
      </c>
      <c r="C107" s="0" t="n">
        <v>1</v>
      </c>
      <c r="D107" s="0" t="n">
        <v>0</v>
      </c>
      <c r="E107" s="0" t="n">
        <v>1</v>
      </c>
      <c r="F107" s="0" t="n">
        <v>14</v>
      </c>
      <c r="G107" s="0" t="b">
        <f aca="false">FALSE()</f>
        <v>0</v>
      </c>
      <c r="H107" s="0" t="n">
        <v>3</v>
      </c>
      <c r="I107" s="0" t="n">
        <v>1</v>
      </c>
      <c r="J107" s="0" t="n">
        <v>0.3</v>
      </c>
    </row>
    <row r="108" customFormat="false" ht="15" hidden="false" customHeight="false" outlineLevel="0" collapsed="false">
      <c r="A108" s="0" t="n">
        <v>107</v>
      </c>
      <c r="B108" s="0" t="s">
        <v>81</v>
      </c>
      <c r="C108" s="0" t="n">
        <v>1</v>
      </c>
      <c r="D108" s="0" t="n">
        <v>0</v>
      </c>
      <c r="E108" s="0" t="n">
        <v>1</v>
      </c>
      <c r="F108" s="0" t="n">
        <v>15</v>
      </c>
      <c r="G108" s="0" t="b">
        <f aca="false">FALSE()</f>
        <v>0</v>
      </c>
      <c r="H108" s="0" t="n">
        <v>3</v>
      </c>
      <c r="I108" s="0" t="n">
        <v>1</v>
      </c>
      <c r="J108" s="0" t="n">
        <v>0.3</v>
      </c>
    </row>
    <row r="109" customFormat="false" ht="15" hidden="false" customHeight="false" outlineLevel="0" collapsed="false">
      <c r="A109" s="0" t="n">
        <v>108</v>
      </c>
      <c r="B109" s="0" t="s">
        <v>81</v>
      </c>
      <c r="C109" s="0" t="n">
        <v>1</v>
      </c>
      <c r="D109" s="0" t="n">
        <v>0</v>
      </c>
      <c r="E109" s="0" t="n">
        <v>1</v>
      </c>
      <c r="F109" s="0" t="n">
        <v>16</v>
      </c>
      <c r="G109" s="0" t="b">
        <f aca="false">FALSE()</f>
        <v>0</v>
      </c>
      <c r="H109" s="0" t="n">
        <v>3</v>
      </c>
      <c r="I109" s="0" t="n">
        <v>1</v>
      </c>
      <c r="J109" s="0" t="n">
        <v>0.3</v>
      </c>
    </row>
    <row r="110" customFormat="false" ht="15" hidden="false" customHeight="false" outlineLevel="0" collapsed="false">
      <c r="A110" s="0" t="n">
        <v>109</v>
      </c>
      <c r="B110" s="0" t="s">
        <v>81</v>
      </c>
      <c r="C110" s="0" t="n">
        <v>1</v>
      </c>
      <c r="D110" s="0" t="n">
        <v>0</v>
      </c>
      <c r="E110" s="0" t="n">
        <v>1</v>
      </c>
      <c r="F110" s="0" t="n">
        <v>17</v>
      </c>
      <c r="G110" s="0" t="b">
        <f aca="false">FALSE()</f>
        <v>0</v>
      </c>
      <c r="H110" s="0" t="n">
        <v>3</v>
      </c>
      <c r="I110" s="0" t="n">
        <v>1</v>
      </c>
      <c r="J110" s="0" t="n">
        <v>0.24</v>
      </c>
    </row>
    <row r="111" customFormat="false" ht="15" hidden="false" customHeight="false" outlineLevel="0" collapsed="false">
      <c r="A111" s="0" t="n">
        <v>110</v>
      </c>
      <c r="B111" s="0" t="s">
        <v>81</v>
      </c>
      <c r="C111" s="0" t="n">
        <v>1</v>
      </c>
      <c r="D111" s="0" t="n">
        <v>0</v>
      </c>
      <c r="E111" s="0" t="n">
        <v>1</v>
      </c>
      <c r="F111" s="0" t="n">
        <v>18</v>
      </c>
      <c r="G111" s="0" t="b">
        <f aca="false">FALSE()</f>
        <v>0</v>
      </c>
      <c r="H111" s="0" t="n">
        <v>3</v>
      </c>
      <c r="I111" s="0" t="n">
        <v>1</v>
      </c>
      <c r="J111" s="0" t="n">
        <v>0.24</v>
      </c>
    </row>
    <row r="112" customFormat="false" ht="15" hidden="false" customHeight="false" outlineLevel="0" collapsed="false">
      <c r="A112" s="0" t="n">
        <v>111</v>
      </c>
      <c r="B112" s="0" t="s">
        <v>81</v>
      </c>
      <c r="C112" s="0" t="n">
        <v>1</v>
      </c>
      <c r="D112" s="0" t="n">
        <v>0</v>
      </c>
      <c r="E112" s="0" t="n">
        <v>1</v>
      </c>
      <c r="F112" s="0" t="n">
        <v>19</v>
      </c>
      <c r="G112" s="0" t="b">
        <f aca="false">FALSE()</f>
        <v>0</v>
      </c>
      <c r="H112" s="0" t="n">
        <v>3</v>
      </c>
      <c r="I112" s="0" t="n">
        <v>1</v>
      </c>
      <c r="J112" s="0" t="n">
        <v>0.24</v>
      </c>
    </row>
    <row r="113" customFormat="false" ht="15" hidden="false" customHeight="false" outlineLevel="0" collapsed="false">
      <c r="A113" s="0" t="n">
        <v>112</v>
      </c>
      <c r="B113" s="0" t="s">
        <v>81</v>
      </c>
      <c r="C113" s="0" t="n">
        <v>1</v>
      </c>
      <c r="D113" s="0" t="n">
        <v>0</v>
      </c>
      <c r="E113" s="0" t="n">
        <v>1</v>
      </c>
      <c r="F113" s="0" t="n">
        <v>20</v>
      </c>
      <c r="G113" s="0" t="b">
        <f aca="false">FALSE()</f>
        <v>0</v>
      </c>
      <c r="H113" s="0" t="n">
        <v>3</v>
      </c>
      <c r="I113" s="0" t="n">
        <v>1</v>
      </c>
      <c r="J113" s="0" t="n">
        <v>0.22</v>
      </c>
    </row>
    <row r="114" customFormat="false" ht="15" hidden="false" customHeight="false" outlineLevel="0" collapsed="false">
      <c r="A114" s="0" t="n">
        <v>113</v>
      </c>
      <c r="B114" s="0" t="s">
        <v>81</v>
      </c>
      <c r="C114" s="0" t="n">
        <v>1</v>
      </c>
      <c r="D114" s="0" t="n">
        <v>0</v>
      </c>
      <c r="E114" s="0" t="n">
        <v>1</v>
      </c>
      <c r="F114" s="0" t="n">
        <v>21</v>
      </c>
      <c r="G114" s="0" t="b">
        <f aca="false">FALSE()</f>
        <v>0</v>
      </c>
      <c r="H114" s="0" t="n">
        <v>3</v>
      </c>
      <c r="I114" s="0" t="n">
        <v>1</v>
      </c>
      <c r="J114" s="0" t="n">
        <v>0.2</v>
      </c>
    </row>
    <row r="115" customFormat="false" ht="15" hidden="false" customHeight="false" outlineLevel="0" collapsed="false">
      <c r="A115" s="0" t="n">
        <v>114</v>
      </c>
      <c r="B115" s="0" t="s">
        <v>81</v>
      </c>
      <c r="C115" s="0" t="n">
        <v>1</v>
      </c>
      <c r="D115" s="0" t="n">
        <v>0</v>
      </c>
      <c r="E115" s="0" t="n">
        <v>1</v>
      </c>
      <c r="F115" s="0" t="n">
        <v>22</v>
      </c>
      <c r="G115" s="0" t="b">
        <f aca="false">FALSE()</f>
        <v>0</v>
      </c>
      <c r="H115" s="0" t="n">
        <v>3</v>
      </c>
      <c r="I115" s="0" t="n">
        <v>1</v>
      </c>
      <c r="J115" s="0" t="n">
        <v>0.18</v>
      </c>
    </row>
    <row r="116" customFormat="false" ht="15" hidden="false" customHeight="false" outlineLevel="0" collapsed="false">
      <c r="A116" s="0" t="n">
        <v>115</v>
      </c>
      <c r="B116" s="0" t="s">
        <v>81</v>
      </c>
      <c r="C116" s="0" t="n">
        <v>1</v>
      </c>
      <c r="D116" s="0" t="n">
        <v>0</v>
      </c>
      <c r="E116" s="0" t="n">
        <v>1</v>
      </c>
      <c r="F116" s="0" t="n">
        <v>23</v>
      </c>
      <c r="G116" s="0" t="b">
        <f aca="false">FALSE()</f>
        <v>0</v>
      </c>
      <c r="H116" s="0" t="n">
        <v>3</v>
      </c>
      <c r="I116" s="0" t="n">
        <v>1</v>
      </c>
      <c r="J116" s="0" t="n">
        <v>0.2</v>
      </c>
    </row>
    <row r="117" customFormat="false" ht="15" hidden="false" customHeight="false" outlineLevel="0" collapsed="false">
      <c r="A117" s="0" t="n">
        <v>116</v>
      </c>
      <c r="B117" s="0" t="s">
        <v>82</v>
      </c>
      <c r="C117" s="0" t="n">
        <v>1</v>
      </c>
      <c r="D117" s="0" t="n">
        <v>0</v>
      </c>
      <c r="E117" s="0" t="n">
        <v>1</v>
      </c>
      <c r="F117" s="0" t="n">
        <v>0</v>
      </c>
      <c r="G117" s="0" t="b">
        <f aca="false">FALSE()</f>
        <v>0</v>
      </c>
      <c r="H117" s="0" t="n">
        <v>4</v>
      </c>
      <c r="I117" s="0" t="n">
        <v>1</v>
      </c>
      <c r="J117" s="0" t="n">
        <v>0.18</v>
      </c>
    </row>
    <row r="118" customFormat="false" ht="15" hidden="false" customHeight="false" outlineLevel="0" collapsed="false">
      <c r="A118" s="0" t="n">
        <v>117</v>
      </c>
      <c r="B118" s="0" t="s">
        <v>82</v>
      </c>
      <c r="C118" s="0" t="n">
        <v>1</v>
      </c>
      <c r="D118" s="0" t="n">
        <v>0</v>
      </c>
      <c r="E118" s="0" t="n">
        <v>1</v>
      </c>
      <c r="F118" s="0" t="n">
        <v>1</v>
      </c>
      <c r="G118" s="0" t="b">
        <f aca="false">FALSE()</f>
        <v>0</v>
      </c>
      <c r="H118" s="0" t="n">
        <v>4</v>
      </c>
      <c r="I118" s="0" t="n">
        <v>1</v>
      </c>
      <c r="J118" s="0" t="n">
        <v>0.16</v>
      </c>
    </row>
    <row r="119" customFormat="false" ht="15" hidden="false" customHeight="false" outlineLevel="0" collapsed="false">
      <c r="A119" s="0" t="n">
        <v>118</v>
      </c>
      <c r="B119" s="0" t="s">
        <v>82</v>
      </c>
      <c r="C119" s="0" t="n">
        <v>1</v>
      </c>
      <c r="D119" s="0" t="n">
        <v>0</v>
      </c>
      <c r="E119" s="0" t="n">
        <v>1</v>
      </c>
      <c r="F119" s="0" t="n">
        <v>2</v>
      </c>
      <c r="G119" s="0" t="b">
        <f aca="false">FALSE()</f>
        <v>0</v>
      </c>
      <c r="H119" s="0" t="n">
        <v>4</v>
      </c>
      <c r="I119" s="0" t="n">
        <v>1</v>
      </c>
      <c r="J119" s="0" t="n">
        <v>0.16</v>
      </c>
    </row>
    <row r="120" customFormat="false" ht="15" hidden="false" customHeight="false" outlineLevel="0" collapsed="false">
      <c r="A120" s="0" t="n">
        <v>119</v>
      </c>
      <c r="B120" s="0" t="s">
        <v>82</v>
      </c>
      <c r="C120" s="0" t="n">
        <v>1</v>
      </c>
      <c r="D120" s="0" t="n">
        <v>0</v>
      </c>
      <c r="E120" s="0" t="n">
        <v>1</v>
      </c>
      <c r="F120" s="0" t="n">
        <v>4</v>
      </c>
      <c r="G120" s="0" t="b">
        <f aca="false">FALSE()</f>
        <v>0</v>
      </c>
      <c r="H120" s="0" t="n">
        <v>4</v>
      </c>
      <c r="I120" s="0" t="n">
        <v>2</v>
      </c>
      <c r="J120" s="0" t="n">
        <v>0.16</v>
      </c>
    </row>
    <row r="121" customFormat="false" ht="15" hidden="false" customHeight="false" outlineLevel="0" collapsed="false">
      <c r="A121" s="0" t="n">
        <v>120</v>
      </c>
      <c r="B121" s="0" t="s">
        <v>82</v>
      </c>
      <c r="C121" s="0" t="n">
        <v>1</v>
      </c>
      <c r="D121" s="0" t="n">
        <v>0</v>
      </c>
      <c r="E121" s="0" t="n">
        <v>1</v>
      </c>
      <c r="F121" s="0" t="n">
        <v>5</v>
      </c>
      <c r="G121" s="0" t="b">
        <f aca="false">FALSE()</f>
        <v>0</v>
      </c>
      <c r="H121" s="0" t="n">
        <v>4</v>
      </c>
      <c r="I121" s="0" t="n">
        <v>2</v>
      </c>
      <c r="J121" s="0" t="n">
        <v>0.14</v>
      </c>
    </row>
    <row r="122" customFormat="false" ht="15" hidden="false" customHeight="false" outlineLevel="0" collapsed="false">
      <c r="A122" s="0" t="n">
        <v>121</v>
      </c>
      <c r="B122" s="0" t="s">
        <v>82</v>
      </c>
      <c r="C122" s="0" t="n">
        <v>1</v>
      </c>
      <c r="D122" s="0" t="n">
        <v>0</v>
      </c>
      <c r="E122" s="0" t="n">
        <v>1</v>
      </c>
      <c r="F122" s="0" t="n">
        <v>6</v>
      </c>
      <c r="G122" s="0" t="b">
        <f aca="false">FALSE()</f>
        <v>0</v>
      </c>
      <c r="H122" s="0" t="n">
        <v>4</v>
      </c>
      <c r="I122" s="0" t="n">
        <v>2</v>
      </c>
      <c r="J122" s="0" t="n">
        <v>0.14</v>
      </c>
    </row>
    <row r="123" customFormat="false" ht="15" hidden="false" customHeight="false" outlineLevel="0" collapsed="false">
      <c r="A123" s="0" t="n">
        <v>122</v>
      </c>
      <c r="B123" s="0" t="s">
        <v>82</v>
      </c>
      <c r="C123" s="0" t="n">
        <v>1</v>
      </c>
      <c r="D123" s="0" t="n">
        <v>0</v>
      </c>
      <c r="E123" s="0" t="n">
        <v>1</v>
      </c>
      <c r="F123" s="0" t="n">
        <v>7</v>
      </c>
      <c r="G123" s="0" t="b">
        <f aca="false">FALSE()</f>
        <v>0</v>
      </c>
      <c r="H123" s="0" t="n">
        <v>4</v>
      </c>
      <c r="I123" s="0" t="n">
        <v>2</v>
      </c>
      <c r="J123" s="0" t="n">
        <v>0.16</v>
      </c>
    </row>
    <row r="124" customFormat="false" ht="15" hidden="false" customHeight="false" outlineLevel="0" collapsed="false">
      <c r="A124" s="0" t="n">
        <v>123</v>
      </c>
      <c r="B124" s="0" t="s">
        <v>82</v>
      </c>
      <c r="C124" s="0" t="n">
        <v>1</v>
      </c>
      <c r="D124" s="0" t="n">
        <v>0</v>
      </c>
      <c r="E124" s="0" t="n">
        <v>1</v>
      </c>
      <c r="F124" s="0" t="n">
        <v>8</v>
      </c>
      <c r="G124" s="0" t="b">
        <f aca="false">FALSE()</f>
        <v>0</v>
      </c>
      <c r="H124" s="0" t="n">
        <v>4</v>
      </c>
      <c r="I124" s="0" t="n">
        <v>1</v>
      </c>
      <c r="J124" s="0" t="n">
        <v>0.16</v>
      </c>
    </row>
    <row r="125" customFormat="false" ht="15" hidden="false" customHeight="false" outlineLevel="0" collapsed="false">
      <c r="A125" s="0" t="n">
        <v>124</v>
      </c>
      <c r="B125" s="0" t="s">
        <v>82</v>
      </c>
      <c r="C125" s="0" t="n">
        <v>1</v>
      </c>
      <c r="D125" s="0" t="n">
        <v>0</v>
      </c>
      <c r="E125" s="0" t="n">
        <v>1</v>
      </c>
      <c r="F125" s="0" t="n">
        <v>9</v>
      </c>
      <c r="G125" s="0" t="b">
        <f aca="false">FALSE()</f>
        <v>0</v>
      </c>
      <c r="H125" s="0" t="n">
        <v>4</v>
      </c>
      <c r="I125" s="0" t="n">
        <v>2</v>
      </c>
      <c r="J125" s="0" t="n">
        <v>0.18</v>
      </c>
    </row>
    <row r="126" customFormat="false" ht="15" hidden="false" customHeight="false" outlineLevel="0" collapsed="false">
      <c r="A126" s="0" t="n">
        <v>125</v>
      </c>
      <c r="B126" s="0" t="s">
        <v>82</v>
      </c>
      <c r="C126" s="0" t="n">
        <v>1</v>
      </c>
      <c r="D126" s="0" t="n">
        <v>0</v>
      </c>
      <c r="E126" s="0" t="n">
        <v>1</v>
      </c>
      <c r="F126" s="0" t="n">
        <v>10</v>
      </c>
      <c r="G126" s="0" t="b">
        <f aca="false">FALSE()</f>
        <v>0</v>
      </c>
      <c r="H126" s="0" t="n">
        <v>4</v>
      </c>
      <c r="I126" s="0" t="n">
        <v>1</v>
      </c>
      <c r="J126" s="0" t="n">
        <v>0.2</v>
      </c>
    </row>
    <row r="127" customFormat="false" ht="15" hidden="false" customHeight="false" outlineLevel="0" collapsed="false">
      <c r="A127" s="0" t="n">
        <v>126</v>
      </c>
      <c r="B127" s="0" t="s">
        <v>82</v>
      </c>
      <c r="C127" s="0" t="n">
        <v>1</v>
      </c>
      <c r="D127" s="0" t="n">
        <v>0</v>
      </c>
      <c r="E127" s="0" t="n">
        <v>1</v>
      </c>
      <c r="F127" s="0" t="n">
        <v>11</v>
      </c>
      <c r="G127" s="0" t="b">
        <f aca="false">FALSE()</f>
        <v>0</v>
      </c>
      <c r="H127" s="0" t="n">
        <v>4</v>
      </c>
      <c r="I127" s="0" t="n">
        <v>1</v>
      </c>
      <c r="J127" s="0" t="n">
        <v>0.22</v>
      </c>
    </row>
    <row r="128" customFormat="false" ht="15" hidden="false" customHeight="false" outlineLevel="0" collapsed="false">
      <c r="A128" s="0" t="n">
        <v>127</v>
      </c>
      <c r="B128" s="0" t="s">
        <v>82</v>
      </c>
      <c r="C128" s="0" t="n">
        <v>1</v>
      </c>
      <c r="D128" s="0" t="n">
        <v>0</v>
      </c>
      <c r="E128" s="0" t="n">
        <v>1</v>
      </c>
      <c r="F128" s="0" t="n">
        <v>12</v>
      </c>
      <c r="G128" s="0" t="b">
        <f aca="false">FALSE()</f>
        <v>0</v>
      </c>
      <c r="H128" s="0" t="n">
        <v>4</v>
      </c>
      <c r="I128" s="0" t="n">
        <v>1</v>
      </c>
      <c r="J128" s="0" t="n">
        <v>0.26</v>
      </c>
    </row>
    <row r="129" customFormat="false" ht="15" hidden="false" customHeight="false" outlineLevel="0" collapsed="false">
      <c r="A129" s="0" t="n">
        <v>128</v>
      </c>
      <c r="B129" s="0" t="s">
        <v>82</v>
      </c>
      <c r="C129" s="0" t="n">
        <v>1</v>
      </c>
      <c r="D129" s="0" t="n">
        <v>0</v>
      </c>
      <c r="E129" s="0" t="n">
        <v>1</v>
      </c>
      <c r="F129" s="0" t="n">
        <v>13</v>
      </c>
      <c r="G129" s="0" t="b">
        <f aca="false">FALSE()</f>
        <v>0</v>
      </c>
      <c r="H129" s="0" t="n">
        <v>4</v>
      </c>
      <c r="I129" s="0" t="n">
        <v>1</v>
      </c>
      <c r="J129" s="0" t="n">
        <v>0.26</v>
      </c>
    </row>
    <row r="130" customFormat="false" ht="15" hidden="false" customHeight="false" outlineLevel="0" collapsed="false">
      <c r="A130" s="0" t="n">
        <v>129</v>
      </c>
      <c r="B130" s="0" t="s">
        <v>82</v>
      </c>
      <c r="C130" s="0" t="n">
        <v>1</v>
      </c>
      <c r="D130" s="0" t="n">
        <v>0</v>
      </c>
      <c r="E130" s="0" t="n">
        <v>1</v>
      </c>
      <c r="F130" s="0" t="n">
        <v>14</v>
      </c>
      <c r="G130" s="0" t="b">
        <f aca="false">FALSE()</f>
        <v>0</v>
      </c>
      <c r="H130" s="0" t="n">
        <v>4</v>
      </c>
      <c r="I130" s="0" t="n">
        <v>1</v>
      </c>
      <c r="J130" s="0" t="n">
        <v>0.28</v>
      </c>
    </row>
    <row r="131" customFormat="false" ht="15" hidden="false" customHeight="false" outlineLevel="0" collapsed="false">
      <c r="A131" s="0" t="n">
        <v>130</v>
      </c>
      <c r="B131" s="0" t="s">
        <v>82</v>
      </c>
      <c r="C131" s="0" t="n">
        <v>1</v>
      </c>
      <c r="D131" s="0" t="n">
        <v>0</v>
      </c>
      <c r="E131" s="0" t="n">
        <v>1</v>
      </c>
      <c r="F131" s="0" t="n">
        <v>15</v>
      </c>
      <c r="G131" s="0" t="b">
        <f aca="false">FALSE()</f>
        <v>0</v>
      </c>
      <c r="H131" s="0" t="n">
        <v>4</v>
      </c>
      <c r="I131" s="0" t="n">
        <v>1</v>
      </c>
      <c r="J131" s="0" t="n">
        <v>0.28</v>
      </c>
    </row>
    <row r="132" customFormat="false" ht="15" hidden="false" customHeight="false" outlineLevel="0" collapsed="false">
      <c r="A132" s="0" t="n">
        <v>131</v>
      </c>
      <c r="B132" s="0" t="s">
        <v>82</v>
      </c>
      <c r="C132" s="0" t="n">
        <v>1</v>
      </c>
      <c r="D132" s="0" t="n">
        <v>0</v>
      </c>
      <c r="E132" s="0" t="n">
        <v>1</v>
      </c>
      <c r="F132" s="0" t="n">
        <v>16</v>
      </c>
      <c r="G132" s="0" t="b">
        <f aca="false">FALSE()</f>
        <v>0</v>
      </c>
      <c r="H132" s="0" t="n">
        <v>4</v>
      </c>
      <c r="I132" s="0" t="n">
        <v>1</v>
      </c>
      <c r="J132" s="0" t="n">
        <v>0.26</v>
      </c>
    </row>
    <row r="133" customFormat="false" ht="15" hidden="false" customHeight="false" outlineLevel="0" collapsed="false">
      <c r="A133" s="0" t="n">
        <v>132</v>
      </c>
      <c r="B133" s="0" t="s">
        <v>82</v>
      </c>
      <c r="C133" s="0" t="n">
        <v>1</v>
      </c>
      <c r="D133" s="0" t="n">
        <v>0</v>
      </c>
      <c r="E133" s="0" t="n">
        <v>1</v>
      </c>
      <c r="F133" s="0" t="n">
        <v>17</v>
      </c>
      <c r="G133" s="0" t="b">
        <f aca="false">FALSE()</f>
        <v>0</v>
      </c>
      <c r="H133" s="0" t="n">
        <v>4</v>
      </c>
      <c r="I133" s="0" t="n">
        <v>1</v>
      </c>
      <c r="J133" s="0" t="n">
        <v>0.22</v>
      </c>
    </row>
    <row r="134" customFormat="false" ht="15" hidden="false" customHeight="false" outlineLevel="0" collapsed="false">
      <c r="A134" s="0" t="n">
        <v>133</v>
      </c>
      <c r="B134" s="0" t="s">
        <v>82</v>
      </c>
      <c r="C134" s="0" t="n">
        <v>1</v>
      </c>
      <c r="D134" s="0" t="n">
        <v>0</v>
      </c>
      <c r="E134" s="0" t="n">
        <v>1</v>
      </c>
      <c r="F134" s="0" t="n">
        <v>18</v>
      </c>
      <c r="G134" s="0" t="b">
        <f aca="false">FALSE()</f>
        <v>0</v>
      </c>
      <c r="H134" s="0" t="n">
        <v>4</v>
      </c>
      <c r="I134" s="0" t="n">
        <v>1</v>
      </c>
      <c r="J134" s="0" t="n">
        <v>0.22</v>
      </c>
    </row>
    <row r="135" customFormat="false" ht="15" hidden="false" customHeight="false" outlineLevel="0" collapsed="false">
      <c r="A135" s="0" t="n">
        <v>134</v>
      </c>
      <c r="B135" s="0" t="s">
        <v>82</v>
      </c>
      <c r="C135" s="0" t="n">
        <v>1</v>
      </c>
      <c r="D135" s="0" t="n">
        <v>0</v>
      </c>
      <c r="E135" s="0" t="n">
        <v>1</v>
      </c>
      <c r="F135" s="0" t="n">
        <v>19</v>
      </c>
      <c r="G135" s="0" t="b">
        <f aca="false">FALSE()</f>
        <v>0</v>
      </c>
      <c r="H135" s="0" t="n">
        <v>4</v>
      </c>
      <c r="I135" s="0" t="n">
        <v>1</v>
      </c>
      <c r="J135" s="0" t="n">
        <v>0.22</v>
      </c>
    </row>
    <row r="136" customFormat="false" ht="15" hidden="false" customHeight="false" outlineLevel="0" collapsed="false">
      <c r="A136" s="0" t="n">
        <v>135</v>
      </c>
      <c r="B136" s="0" t="s">
        <v>82</v>
      </c>
      <c r="C136" s="0" t="n">
        <v>1</v>
      </c>
      <c r="D136" s="0" t="n">
        <v>0</v>
      </c>
      <c r="E136" s="0" t="n">
        <v>1</v>
      </c>
      <c r="F136" s="0" t="n">
        <v>20</v>
      </c>
      <c r="G136" s="0" t="b">
        <f aca="false">FALSE()</f>
        <v>0</v>
      </c>
      <c r="H136" s="0" t="n">
        <v>4</v>
      </c>
      <c r="I136" s="0" t="n">
        <v>1</v>
      </c>
      <c r="J136" s="0" t="n">
        <v>0.2</v>
      </c>
    </row>
    <row r="137" customFormat="false" ht="15" hidden="false" customHeight="false" outlineLevel="0" collapsed="false">
      <c r="A137" s="0" t="n">
        <v>136</v>
      </c>
      <c r="B137" s="0" t="s">
        <v>82</v>
      </c>
      <c r="C137" s="0" t="n">
        <v>1</v>
      </c>
      <c r="D137" s="0" t="n">
        <v>0</v>
      </c>
      <c r="E137" s="0" t="n">
        <v>1</v>
      </c>
      <c r="F137" s="0" t="n">
        <v>21</v>
      </c>
      <c r="G137" s="0" t="b">
        <f aca="false">FALSE()</f>
        <v>0</v>
      </c>
      <c r="H137" s="0" t="n">
        <v>4</v>
      </c>
      <c r="I137" s="0" t="n">
        <v>2</v>
      </c>
      <c r="J137" s="0" t="n">
        <v>0.22</v>
      </c>
    </row>
    <row r="138" customFormat="false" ht="15" hidden="false" customHeight="false" outlineLevel="0" collapsed="false">
      <c r="A138" s="0" t="n">
        <v>137</v>
      </c>
      <c r="B138" s="0" t="s">
        <v>82</v>
      </c>
      <c r="C138" s="0" t="n">
        <v>1</v>
      </c>
      <c r="D138" s="0" t="n">
        <v>0</v>
      </c>
      <c r="E138" s="0" t="n">
        <v>1</v>
      </c>
      <c r="F138" s="0" t="n">
        <v>22</v>
      </c>
      <c r="G138" s="0" t="b">
        <f aca="false">FALSE()</f>
        <v>0</v>
      </c>
      <c r="H138" s="0" t="n">
        <v>4</v>
      </c>
      <c r="I138" s="0" t="n">
        <v>2</v>
      </c>
      <c r="J138" s="0" t="n">
        <v>0.22</v>
      </c>
    </row>
    <row r="139" customFormat="false" ht="15" hidden="false" customHeight="false" outlineLevel="0" collapsed="false">
      <c r="A139" s="0" t="n">
        <v>138</v>
      </c>
      <c r="B139" s="0" t="s">
        <v>82</v>
      </c>
      <c r="C139" s="0" t="n">
        <v>1</v>
      </c>
      <c r="D139" s="0" t="n">
        <v>0</v>
      </c>
      <c r="E139" s="0" t="n">
        <v>1</v>
      </c>
      <c r="F139" s="0" t="n">
        <v>23</v>
      </c>
      <c r="G139" s="0" t="b">
        <f aca="false">FALSE()</f>
        <v>0</v>
      </c>
      <c r="H139" s="0" t="n">
        <v>4</v>
      </c>
      <c r="I139" s="0" t="n">
        <v>2</v>
      </c>
      <c r="J139" s="0" t="n">
        <v>0.2</v>
      </c>
    </row>
    <row r="140" customFormat="false" ht="15" hidden="false" customHeight="false" outlineLevel="0" collapsed="false">
      <c r="A140" s="0" t="n">
        <v>139</v>
      </c>
      <c r="B140" s="0" t="s">
        <v>83</v>
      </c>
      <c r="C140" s="0" t="n">
        <v>1</v>
      </c>
      <c r="D140" s="0" t="n">
        <v>0</v>
      </c>
      <c r="E140" s="0" t="n">
        <v>1</v>
      </c>
      <c r="F140" s="0" t="n">
        <v>0</v>
      </c>
      <c r="G140" s="0" t="b">
        <f aca="false">FALSE()</f>
        <v>0</v>
      </c>
      <c r="H140" s="0" t="n">
        <v>5</v>
      </c>
      <c r="I140" s="0" t="n">
        <v>2</v>
      </c>
      <c r="J140" s="0" t="n">
        <v>0.2</v>
      </c>
    </row>
    <row r="141" customFormat="false" ht="15" hidden="false" customHeight="false" outlineLevel="0" collapsed="false">
      <c r="A141" s="0" t="n">
        <v>140</v>
      </c>
      <c r="B141" s="0" t="s">
        <v>83</v>
      </c>
      <c r="C141" s="0" t="n">
        <v>1</v>
      </c>
      <c r="D141" s="0" t="n">
        <v>0</v>
      </c>
      <c r="E141" s="0" t="n">
        <v>1</v>
      </c>
      <c r="F141" s="0" t="n">
        <v>1</v>
      </c>
      <c r="G141" s="0" t="b">
        <f aca="false">FALSE()</f>
        <v>0</v>
      </c>
      <c r="H141" s="0" t="n">
        <v>5</v>
      </c>
      <c r="I141" s="0" t="n">
        <v>2</v>
      </c>
      <c r="J141" s="0" t="n">
        <v>0.2</v>
      </c>
    </row>
    <row r="142" customFormat="false" ht="15" hidden="false" customHeight="false" outlineLevel="0" collapsed="false">
      <c r="A142" s="0" t="n">
        <v>141</v>
      </c>
      <c r="B142" s="0" t="s">
        <v>83</v>
      </c>
      <c r="C142" s="0" t="n">
        <v>1</v>
      </c>
      <c r="D142" s="0" t="n">
        <v>0</v>
      </c>
      <c r="E142" s="0" t="n">
        <v>1</v>
      </c>
      <c r="F142" s="0" t="n">
        <v>2</v>
      </c>
      <c r="G142" s="0" t="b">
        <f aca="false">FALSE()</f>
        <v>0</v>
      </c>
      <c r="H142" s="0" t="n">
        <v>5</v>
      </c>
      <c r="I142" s="0" t="n">
        <v>2</v>
      </c>
      <c r="J142" s="0" t="n">
        <v>0.2</v>
      </c>
    </row>
    <row r="143" customFormat="false" ht="15" hidden="false" customHeight="false" outlineLevel="0" collapsed="false">
      <c r="A143" s="0" t="n">
        <v>142</v>
      </c>
      <c r="B143" s="0" t="s">
        <v>83</v>
      </c>
      <c r="C143" s="0" t="n">
        <v>1</v>
      </c>
      <c r="D143" s="0" t="n">
        <v>0</v>
      </c>
      <c r="E143" s="0" t="n">
        <v>1</v>
      </c>
      <c r="F143" s="0" t="n">
        <v>4</v>
      </c>
      <c r="G143" s="0" t="b">
        <f aca="false">FALSE()</f>
        <v>0</v>
      </c>
      <c r="H143" s="0" t="n">
        <v>5</v>
      </c>
      <c r="I143" s="0" t="n">
        <v>2</v>
      </c>
      <c r="J143" s="0" t="n">
        <v>0.2</v>
      </c>
    </row>
    <row r="144" customFormat="false" ht="15" hidden="false" customHeight="false" outlineLevel="0" collapsed="false">
      <c r="A144" s="0" t="n">
        <v>143</v>
      </c>
      <c r="B144" s="0" t="s">
        <v>83</v>
      </c>
      <c r="C144" s="0" t="n">
        <v>1</v>
      </c>
      <c r="D144" s="0" t="n">
        <v>0</v>
      </c>
      <c r="E144" s="0" t="n">
        <v>1</v>
      </c>
      <c r="F144" s="0" t="n">
        <v>5</v>
      </c>
      <c r="G144" s="0" t="b">
        <f aca="false">FALSE()</f>
        <v>0</v>
      </c>
      <c r="H144" s="0" t="n">
        <v>5</v>
      </c>
      <c r="I144" s="0" t="n">
        <v>3</v>
      </c>
      <c r="J144" s="0" t="n">
        <v>0.22</v>
      </c>
    </row>
    <row r="145" customFormat="false" ht="15" hidden="false" customHeight="false" outlineLevel="0" collapsed="false">
      <c r="A145" s="0" t="n">
        <v>144</v>
      </c>
      <c r="B145" s="0" t="s">
        <v>83</v>
      </c>
      <c r="C145" s="0" t="n">
        <v>1</v>
      </c>
      <c r="D145" s="0" t="n">
        <v>0</v>
      </c>
      <c r="E145" s="0" t="n">
        <v>1</v>
      </c>
      <c r="F145" s="0" t="n">
        <v>6</v>
      </c>
      <c r="G145" s="0" t="b">
        <f aca="false">FALSE()</f>
        <v>0</v>
      </c>
      <c r="H145" s="0" t="n">
        <v>5</v>
      </c>
      <c r="I145" s="0" t="n">
        <v>2</v>
      </c>
      <c r="J145" s="0" t="n">
        <v>0.2</v>
      </c>
    </row>
    <row r="146" customFormat="false" ht="15" hidden="false" customHeight="false" outlineLevel="0" collapsed="false">
      <c r="A146" s="0" t="n">
        <v>145</v>
      </c>
      <c r="B146" s="0" t="s">
        <v>83</v>
      </c>
      <c r="C146" s="0" t="n">
        <v>1</v>
      </c>
      <c r="D146" s="0" t="n">
        <v>0</v>
      </c>
      <c r="E146" s="0" t="n">
        <v>1</v>
      </c>
      <c r="F146" s="0" t="n">
        <v>7</v>
      </c>
      <c r="G146" s="0" t="b">
        <f aca="false">FALSE()</f>
        <v>0</v>
      </c>
      <c r="H146" s="0" t="n">
        <v>5</v>
      </c>
      <c r="I146" s="0" t="n">
        <v>1</v>
      </c>
      <c r="J146" s="0" t="n">
        <v>0.2</v>
      </c>
    </row>
    <row r="147" customFormat="false" ht="15" hidden="false" customHeight="false" outlineLevel="0" collapsed="false">
      <c r="A147" s="0" t="n">
        <v>146</v>
      </c>
      <c r="B147" s="0" t="s">
        <v>83</v>
      </c>
      <c r="C147" s="0" t="n">
        <v>1</v>
      </c>
      <c r="D147" s="0" t="n">
        <v>0</v>
      </c>
      <c r="E147" s="0" t="n">
        <v>1</v>
      </c>
      <c r="F147" s="0" t="n">
        <v>8</v>
      </c>
      <c r="G147" s="0" t="b">
        <f aca="false">FALSE()</f>
        <v>0</v>
      </c>
      <c r="H147" s="0" t="n">
        <v>5</v>
      </c>
      <c r="I147" s="0" t="n">
        <v>1</v>
      </c>
      <c r="J147" s="0" t="n">
        <v>0.2</v>
      </c>
    </row>
    <row r="148" customFormat="false" ht="15" hidden="false" customHeight="false" outlineLevel="0" collapsed="false">
      <c r="A148" s="0" t="n">
        <v>147</v>
      </c>
      <c r="B148" s="0" t="s">
        <v>83</v>
      </c>
      <c r="C148" s="0" t="n">
        <v>1</v>
      </c>
      <c r="D148" s="0" t="n">
        <v>0</v>
      </c>
      <c r="E148" s="0" t="n">
        <v>1</v>
      </c>
      <c r="F148" s="0" t="n">
        <v>9</v>
      </c>
      <c r="G148" s="0" t="b">
        <f aca="false">FALSE()</f>
        <v>0</v>
      </c>
      <c r="H148" s="0" t="n">
        <v>5</v>
      </c>
      <c r="I148" s="0" t="n">
        <v>1</v>
      </c>
      <c r="J148" s="0" t="n">
        <v>0.2</v>
      </c>
    </row>
    <row r="149" customFormat="false" ht="15" hidden="false" customHeight="false" outlineLevel="0" collapsed="false">
      <c r="A149" s="0" t="n">
        <v>148</v>
      </c>
      <c r="B149" s="0" t="s">
        <v>83</v>
      </c>
      <c r="C149" s="0" t="n">
        <v>1</v>
      </c>
      <c r="D149" s="0" t="n">
        <v>0</v>
      </c>
      <c r="E149" s="0" t="n">
        <v>1</v>
      </c>
      <c r="F149" s="0" t="n">
        <v>10</v>
      </c>
      <c r="G149" s="0" t="b">
        <f aca="false">FALSE()</f>
        <v>0</v>
      </c>
      <c r="H149" s="0" t="n">
        <v>5</v>
      </c>
      <c r="I149" s="0" t="n">
        <v>1</v>
      </c>
      <c r="J149" s="0" t="n">
        <v>0.22</v>
      </c>
    </row>
    <row r="150" customFormat="false" ht="15" hidden="false" customHeight="false" outlineLevel="0" collapsed="false">
      <c r="A150" s="0" t="n">
        <v>149</v>
      </c>
      <c r="B150" s="0" t="s">
        <v>83</v>
      </c>
      <c r="C150" s="0" t="n">
        <v>1</v>
      </c>
      <c r="D150" s="0" t="n">
        <v>0</v>
      </c>
      <c r="E150" s="0" t="n">
        <v>1</v>
      </c>
      <c r="F150" s="0" t="n">
        <v>11</v>
      </c>
      <c r="G150" s="0" t="b">
        <f aca="false">FALSE()</f>
        <v>0</v>
      </c>
      <c r="H150" s="0" t="n">
        <v>5</v>
      </c>
      <c r="I150" s="0" t="n">
        <v>2</v>
      </c>
      <c r="J150" s="0" t="n">
        <v>0.2</v>
      </c>
    </row>
    <row r="151" customFormat="false" ht="15" hidden="false" customHeight="false" outlineLevel="0" collapsed="false">
      <c r="A151" s="0" t="n">
        <v>150</v>
      </c>
      <c r="B151" s="0" t="s">
        <v>83</v>
      </c>
      <c r="C151" s="0" t="n">
        <v>1</v>
      </c>
      <c r="D151" s="0" t="n">
        <v>0</v>
      </c>
      <c r="E151" s="0" t="n">
        <v>1</v>
      </c>
      <c r="F151" s="0" t="n">
        <v>12</v>
      </c>
      <c r="G151" s="0" t="b">
        <f aca="false">FALSE()</f>
        <v>0</v>
      </c>
      <c r="H151" s="0" t="n">
        <v>5</v>
      </c>
      <c r="I151" s="0" t="n">
        <v>2</v>
      </c>
      <c r="J151" s="0" t="n">
        <v>0.2</v>
      </c>
    </row>
    <row r="152" customFormat="false" ht="15" hidden="false" customHeight="false" outlineLevel="0" collapsed="false">
      <c r="A152" s="0" t="n">
        <v>151</v>
      </c>
      <c r="B152" s="0" t="s">
        <v>83</v>
      </c>
      <c r="C152" s="0" t="n">
        <v>1</v>
      </c>
      <c r="D152" s="0" t="n">
        <v>0</v>
      </c>
      <c r="E152" s="0" t="n">
        <v>1</v>
      </c>
      <c r="F152" s="0" t="n">
        <v>13</v>
      </c>
      <c r="G152" s="0" t="b">
        <f aca="false">FALSE()</f>
        <v>0</v>
      </c>
      <c r="H152" s="0" t="n">
        <v>5</v>
      </c>
      <c r="I152" s="0" t="n">
        <v>2</v>
      </c>
      <c r="J152" s="0" t="n">
        <v>0.2</v>
      </c>
    </row>
    <row r="153" customFormat="false" ht="15" hidden="false" customHeight="false" outlineLevel="0" collapsed="false">
      <c r="A153" s="0" t="n">
        <v>152</v>
      </c>
      <c r="B153" s="0" t="s">
        <v>83</v>
      </c>
      <c r="C153" s="0" t="n">
        <v>1</v>
      </c>
      <c r="D153" s="0" t="n">
        <v>0</v>
      </c>
      <c r="E153" s="0" t="n">
        <v>1</v>
      </c>
      <c r="F153" s="0" t="n">
        <v>14</v>
      </c>
      <c r="G153" s="0" t="b">
        <f aca="false">FALSE()</f>
        <v>0</v>
      </c>
      <c r="H153" s="0" t="n">
        <v>5</v>
      </c>
      <c r="I153" s="0" t="n">
        <v>2</v>
      </c>
      <c r="J153" s="0" t="n">
        <v>0.2</v>
      </c>
    </row>
    <row r="154" customFormat="false" ht="15" hidden="false" customHeight="false" outlineLevel="0" collapsed="false">
      <c r="A154" s="0" t="n">
        <v>153</v>
      </c>
      <c r="B154" s="0" t="s">
        <v>83</v>
      </c>
      <c r="C154" s="0" t="n">
        <v>1</v>
      </c>
      <c r="D154" s="0" t="n">
        <v>0</v>
      </c>
      <c r="E154" s="0" t="n">
        <v>1</v>
      </c>
      <c r="F154" s="0" t="n">
        <v>15</v>
      </c>
      <c r="G154" s="0" t="b">
        <f aca="false">FALSE()</f>
        <v>0</v>
      </c>
      <c r="H154" s="0" t="n">
        <v>5</v>
      </c>
      <c r="I154" s="0" t="n">
        <v>2</v>
      </c>
      <c r="J154" s="0" t="n">
        <v>0.2</v>
      </c>
    </row>
    <row r="155" customFormat="false" ht="15" hidden="false" customHeight="false" outlineLevel="0" collapsed="false">
      <c r="A155" s="0" t="n">
        <v>154</v>
      </c>
      <c r="B155" s="0" t="s">
        <v>83</v>
      </c>
      <c r="C155" s="0" t="n">
        <v>1</v>
      </c>
      <c r="D155" s="0" t="n">
        <v>0</v>
      </c>
      <c r="E155" s="0" t="n">
        <v>1</v>
      </c>
      <c r="F155" s="0" t="n">
        <v>16</v>
      </c>
      <c r="G155" s="0" t="b">
        <f aca="false">FALSE()</f>
        <v>0</v>
      </c>
      <c r="H155" s="0" t="n">
        <v>5</v>
      </c>
      <c r="I155" s="0" t="n">
        <v>2</v>
      </c>
      <c r="J155" s="0" t="n">
        <v>0.2</v>
      </c>
    </row>
    <row r="156" customFormat="false" ht="15" hidden="false" customHeight="false" outlineLevel="0" collapsed="false">
      <c r="A156" s="0" t="n">
        <v>155</v>
      </c>
      <c r="B156" s="0" t="s">
        <v>83</v>
      </c>
      <c r="C156" s="0" t="n">
        <v>1</v>
      </c>
      <c r="D156" s="0" t="n">
        <v>0</v>
      </c>
      <c r="E156" s="0" t="n">
        <v>1</v>
      </c>
      <c r="F156" s="0" t="n">
        <v>17</v>
      </c>
      <c r="G156" s="0" t="b">
        <f aca="false">FALSE()</f>
        <v>0</v>
      </c>
      <c r="H156" s="0" t="n">
        <v>5</v>
      </c>
      <c r="I156" s="0" t="n">
        <v>2</v>
      </c>
      <c r="J156" s="0" t="n">
        <v>0.2</v>
      </c>
    </row>
    <row r="157" customFormat="false" ht="15" hidden="false" customHeight="false" outlineLevel="0" collapsed="false">
      <c r="A157" s="0" t="n">
        <v>156</v>
      </c>
      <c r="B157" s="0" t="s">
        <v>83</v>
      </c>
      <c r="C157" s="0" t="n">
        <v>1</v>
      </c>
      <c r="D157" s="0" t="n">
        <v>0</v>
      </c>
      <c r="E157" s="0" t="n">
        <v>1</v>
      </c>
      <c r="F157" s="0" t="n">
        <v>18</v>
      </c>
      <c r="G157" s="0" t="b">
        <f aca="false">FALSE()</f>
        <v>0</v>
      </c>
      <c r="H157" s="0" t="n">
        <v>5</v>
      </c>
      <c r="I157" s="0" t="n">
        <v>1</v>
      </c>
      <c r="J157" s="0" t="n">
        <v>0.2</v>
      </c>
    </row>
    <row r="158" customFormat="false" ht="15" hidden="false" customHeight="false" outlineLevel="0" collapsed="false">
      <c r="A158" s="0" t="n">
        <v>157</v>
      </c>
      <c r="B158" s="0" t="s">
        <v>83</v>
      </c>
      <c r="C158" s="0" t="n">
        <v>1</v>
      </c>
      <c r="D158" s="0" t="n">
        <v>0</v>
      </c>
      <c r="E158" s="0" t="n">
        <v>1</v>
      </c>
      <c r="F158" s="0" t="n">
        <v>19</v>
      </c>
      <c r="G158" s="0" t="b">
        <f aca="false">FALSE()</f>
        <v>0</v>
      </c>
      <c r="H158" s="0" t="n">
        <v>5</v>
      </c>
      <c r="I158" s="0" t="n">
        <v>1</v>
      </c>
      <c r="J158" s="0" t="n">
        <v>0.16</v>
      </c>
    </row>
    <row r="159" customFormat="false" ht="15" hidden="false" customHeight="false" outlineLevel="0" collapsed="false">
      <c r="A159" s="0" t="n">
        <v>158</v>
      </c>
      <c r="B159" s="0" t="s">
        <v>83</v>
      </c>
      <c r="C159" s="0" t="n">
        <v>1</v>
      </c>
      <c r="D159" s="0" t="n">
        <v>0</v>
      </c>
      <c r="E159" s="0" t="n">
        <v>1</v>
      </c>
      <c r="F159" s="0" t="n">
        <v>20</v>
      </c>
      <c r="G159" s="0" t="b">
        <f aca="false">FALSE()</f>
        <v>0</v>
      </c>
      <c r="H159" s="0" t="n">
        <v>5</v>
      </c>
      <c r="I159" s="0" t="n">
        <v>1</v>
      </c>
      <c r="J159" s="0" t="n">
        <v>0.18</v>
      </c>
    </row>
    <row r="160" customFormat="false" ht="15" hidden="false" customHeight="false" outlineLevel="0" collapsed="false">
      <c r="A160" s="0" t="n">
        <v>159</v>
      </c>
      <c r="B160" s="0" t="s">
        <v>83</v>
      </c>
      <c r="C160" s="0" t="n">
        <v>1</v>
      </c>
      <c r="D160" s="0" t="n">
        <v>0</v>
      </c>
      <c r="E160" s="0" t="n">
        <v>1</v>
      </c>
      <c r="F160" s="0" t="n">
        <v>21</v>
      </c>
      <c r="G160" s="0" t="b">
        <f aca="false">FALSE()</f>
        <v>0</v>
      </c>
      <c r="H160" s="0" t="n">
        <v>5</v>
      </c>
      <c r="I160" s="0" t="n">
        <v>1</v>
      </c>
      <c r="J160" s="0" t="n">
        <v>0.18</v>
      </c>
    </row>
    <row r="161" customFormat="false" ht="15" hidden="false" customHeight="false" outlineLevel="0" collapsed="false">
      <c r="A161" s="0" t="n">
        <v>160</v>
      </c>
      <c r="B161" s="0" t="s">
        <v>83</v>
      </c>
      <c r="C161" s="0" t="n">
        <v>1</v>
      </c>
      <c r="D161" s="0" t="n">
        <v>0</v>
      </c>
      <c r="E161" s="0" t="n">
        <v>1</v>
      </c>
      <c r="F161" s="0" t="n">
        <v>22</v>
      </c>
      <c r="G161" s="0" t="b">
        <f aca="false">FALSE()</f>
        <v>0</v>
      </c>
      <c r="H161" s="0" t="n">
        <v>5</v>
      </c>
      <c r="I161" s="0" t="n">
        <v>2</v>
      </c>
      <c r="J161" s="0" t="n">
        <v>0.18</v>
      </c>
    </row>
    <row r="162" customFormat="false" ht="15" hidden="false" customHeight="false" outlineLevel="0" collapsed="false">
      <c r="A162" s="0" t="n">
        <v>161</v>
      </c>
      <c r="B162" s="0" t="s">
        <v>83</v>
      </c>
      <c r="C162" s="0" t="n">
        <v>1</v>
      </c>
      <c r="D162" s="0" t="n">
        <v>0</v>
      </c>
      <c r="E162" s="0" t="n">
        <v>1</v>
      </c>
      <c r="F162" s="0" t="n">
        <v>23</v>
      </c>
      <c r="G162" s="0" t="b">
        <f aca="false">FALSE()</f>
        <v>0</v>
      </c>
      <c r="H162" s="0" t="n">
        <v>5</v>
      </c>
      <c r="I162" s="0" t="n">
        <v>2</v>
      </c>
      <c r="J162" s="0" t="n">
        <v>0.18</v>
      </c>
    </row>
    <row r="163" customFormat="false" ht="15" hidden="false" customHeight="false" outlineLevel="0" collapsed="false">
      <c r="A163" s="0" t="n">
        <v>162</v>
      </c>
      <c r="B163" s="0" t="s">
        <v>84</v>
      </c>
      <c r="C163" s="0" t="n">
        <v>1</v>
      </c>
      <c r="D163" s="0" t="n">
        <v>0</v>
      </c>
      <c r="E163" s="0" t="n">
        <v>1</v>
      </c>
      <c r="F163" s="0" t="n">
        <v>0</v>
      </c>
      <c r="G163" s="0" t="b">
        <f aca="false">FALSE()</f>
        <v>0</v>
      </c>
      <c r="H163" s="0" t="n">
        <v>6</v>
      </c>
      <c r="I163" s="0" t="n">
        <v>2</v>
      </c>
      <c r="J163" s="0" t="n">
        <v>0.18</v>
      </c>
    </row>
    <row r="164" customFormat="false" ht="15" hidden="false" customHeight="false" outlineLevel="0" collapsed="false">
      <c r="A164" s="0" t="n">
        <v>163</v>
      </c>
      <c r="B164" s="0" t="s">
        <v>84</v>
      </c>
      <c r="C164" s="0" t="n">
        <v>1</v>
      </c>
      <c r="D164" s="0" t="n">
        <v>0</v>
      </c>
      <c r="E164" s="0" t="n">
        <v>1</v>
      </c>
      <c r="F164" s="0" t="n">
        <v>1</v>
      </c>
      <c r="G164" s="0" t="b">
        <f aca="false">FALSE()</f>
        <v>0</v>
      </c>
      <c r="H164" s="0" t="n">
        <v>6</v>
      </c>
      <c r="I164" s="0" t="n">
        <v>2</v>
      </c>
      <c r="J164" s="0" t="n">
        <v>0.18</v>
      </c>
    </row>
    <row r="165" customFormat="false" ht="15" hidden="false" customHeight="false" outlineLevel="0" collapsed="false">
      <c r="A165" s="0" t="n">
        <v>164</v>
      </c>
      <c r="B165" s="0" t="s">
        <v>84</v>
      </c>
      <c r="C165" s="0" t="n">
        <v>1</v>
      </c>
      <c r="D165" s="0" t="n">
        <v>0</v>
      </c>
      <c r="E165" s="0" t="n">
        <v>1</v>
      </c>
      <c r="F165" s="0" t="n">
        <v>2</v>
      </c>
      <c r="G165" s="0" t="b">
        <f aca="false">FALSE()</f>
        <v>0</v>
      </c>
      <c r="H165" s="0" t="n">
        <v>6</v>
      </c>
      <c r="I165" s="0" t="n">
        <v>2</v>
      </c>
      <c r="J165" s="0" t="n">
        <v>0.18</v>
      </c>
    </row>
    <row r="166" customFormat="false" ht="15" hidden="false" customHeight="false" outlineLevel="0" collapsed="false">
      <c r="A166" s="0" t="n">
        <v>165</v>
      </c>
      <c r="B166" s="0" t="s">
        <v>84</v>
      </c>
      <c r="C166" s="0" t="n">
        <v>1</v>
      </c>
      <c r="D166" s="0" t="n">
        <v>0</v>
      </c>
      <c r="E166" s="0" t="n">
        <v>1</v>
      </c>
      <c r="F166" s="0" t="n">
        <v>3</v>
      </c>
      <c r="G166" s="0" t="b">
        <f aca="false">FALSE()</f>
        <v>0</v>
      </c>
      <c r="H166" s="0" t="n">
        <v>6</v>
      </c>
      <c r="I166" s="0" t="n">
        <v>3</v>
      </c>
      <c r="J166" s="0" t="n">
        <v>0.18</v>
      </c>
    </row>
    <row r="167" customFormat="false" ht="15" hidden="false" customHeight="false" outlineLevel="0" collapsed="false">
      <c r="A167" s="0" t="n">
        <v>166</v>
      </c>
      <c r="B167" s="0" t="s">
        <v>84</v>
      </c>
      <c r="C167" s="0" t="n">
        <v>1</v>
      </c>
      <c r="D167" s="0" t="n">
        <v>0</v>
      </c>
      <c r="E167" s="0" t="n">
        <v>1</v>
      </c>
      <c r="F167" s="0" t="n">
        <v>4</v>
      </c>
      <c r="G167" s="0" t="b">
        <f aca="false">FALSE()</f>
        <v>0</v>
      </c>
      <c r="H167" s="0" t="n">
        <v>6</v>
      </c>
      <c r="I167" s="0" t="n">
        <v>3</v>
      </c>
      <c r="J167" s="0" t="n">
        <v>0.18</v>
      </c>
    </row>
    <row r="168" customFormat="false" ht="15" hidden="false" customHeight="false" outlineLevel="0" collapsed="false">
      <c r="A168" s="0" t="n">
        <v>167</v>
      </c>
      <c r="B168" s="0" t="s">
        <v>84</v>
      </c>
      <c r="C168" s="0" t="n">
        <v>1</v>
      </c>
      <c r="D168" s="0" t="n">
        <v>0</v>
      </c>
      <c r="E168" s="0" t="n">
        <v>1</v>
      </c>
      <c r="F168" s="0" t="n">
        <v>5</v>
      </c>
      <c r="G168" s="0" t="b">
        <f aca="false">FALSE()</f>
        <v>0</v>
      </c>
      <c r="H168" s="0" t="n">
        <v>6</v>
      </c>
      <c r="I168" s="0" t="n">
        <v>2</v>
      </c>
      <c r="J168" s="0" t="n">
        <v>0.16</v>
      </c>
    </row>
    <row r="169" customFormat="false" ht="15" hidden="false" customHeight="false" outlineLevel="0" collapsed="false">
      <c r="A169" s="0" t="n">
        <v>168</v>
      </c>
      <c r="B169" s="0" t="s">
        <v>84</v>
      </c>
      <c r="C169" s="0" t="n">
        <v>1</v>
      </c>
      <c r="D169" s="0" t="n">
        <v>0</v>
      </c>
      <c r="E169" s="0" t="n">
        <v>1</v>
      </c>
      <c r="F169" s="0" t="n">
        <v>6</v>
      </c>
      <c r="G169" s="0" t="b">
        <f aca="false">FALSE()</f>
        <v>0</v>
      </c>
      <c r="H169" s="0" t="n">
        <v>6</v>
      </c>
      <c r="I169" s="0" t="n">
        <v>2</v>
      </c>
      <c r="J169" s="0" t="n">
        <v>0.16</v>
      </c>
    </row>
    <row r="170" customFormat="false" ht="15" hidden="false" customHeight="false" outlineLevel="0" collapsed="false">
      <c r="A170" s="0" t="n">
        <v>169</v>
      </c>
      <c r="B170" s="0" t="s">
        <v>84</v>
      </c>
      <c r="C170" s="0" t="n">
        <v>1</v>
      </c>
      <c r="D170" s="0" t="n">
        <v>0</v>
      </c>
      <c r="E170" s="0" t="n">
        <v>1</v>
      </c>
      <c r="F170" s="0" t="n">
        <v>7</v>
      </c>
      <c r="G170" s="0" t="b">
        <f aca="false">FALSE()</f>
        <v>0</v>
      </c>
      <c r="H170" s="0" t="n">
        <v>6</v>
      </c>
      <c r="I170" s="0" t="n">
        <v>2</v>
      </c>
      <c r="J170" s="0" t="n">
        <v>0.16</v>
      </c>
    </row>
    <row r="171" customFormat="false" ht="15" hidden="false" customHeight="false" outlineLevel="0" collapsed="false">
      <c r="A171" s="0" t="n">
        <v>170</v>
      </c>
      <c r="B171" s="0" t="s">
        <v>84</v>
      </c>
      <c r="C171" s="0" t="n">
        <v>1</v>
      </c>
      <c r="D171" s="0" t="n">
        <v>0</v>
      </c>
      <c r="E171" s="0" t="n">
        <v>1</v>
      </c>
      <c r="F171" s="0" t="n">
        <v>8</v>
      </c>
      <c r="G171" s="0" t="b">
        <f aca="false">FALSE()</f>
        <v>0</v>
      </c>
      <c r="H171" s="0" t="n">
        <v>6</v>
      </c>
      <c r="I171" s="0" t="n">
        <v>3</v>
      </c>
      <c r="J171" s="0" t="n">
        <v>0.16</v>
      </c>
    </row>
    <row r="172" customFormat="false" ht="15" hidden="false" customHeight="false" outlineLevel="0" collapsed="false">
      <c r="A172" s="0" t="n">
        <v>171</v>
      </c>
      <c r="B172" s="0" t="s">
        <v>84</v>
      </c>
      <c r="C172" s="0" t="n">
        <v>1</v>
      </c>
      <c r="D172" s="0" t="n">
        <v>0</v>
      </c>
      <c r="E172" s="0" t="n">
        <v>1</v>
      </c>
      <c r="F172" s="0" t="n">
        <v>9</v>
      </c>
      <c r="G172" s="0" t="b">
        <f aca="false">FALSE()</f>
        <v>0</v>
      </c>
      <c r="H172" s="0" t="n">
        <v>6</v>
      </c>
      <c r="I172" s="0" t="n">
        <v>3</v>
      </c>
      <c r="J172" s="0" t="n">
        <v>0.16</v>
      </c>
    </row>
    <row r="173" customFormat="false" ht="15" hidden="false" customHeight="false" outlineLevel="0" collapsed="false">
      <c r="A173" s="0" t="n">
        <v>172</v>
      </c>
      <c r="B173" s="0" t="s">
        <v>84</v>
      </c>
      <c r="C173" s="0" t="n">
        <v>1</v>
      </c>
      <c r="D173" s="0" t="n">
        <v>0</v>
      </c>
      <c r="E173" s="0" t="n">
        <v>1</v>
      </c>
      <c r="F173" s="0" t="n">
        <v>10</v>
      </c>
      <c r="G173" s="0" t="b">
        <f aca="false">FALSE()</f>
        <v>0</v>
      </c>
      <c r="H173" s="0" t="n">
        <v>6</v>
      </c>
      <c r="I173" s="0" t="n">
        <v>2</v>
      </c>
      <c r="J173" s="0" t="n">
        <v>0.18</v>
      </c>
    </row>
    <row r="174" customFormat="false" ht="15" hidden="false" customHeight="false" outlineLevel="0" collapsed="false">
      <c r="A174" s="0" t="n">
        <v>173</v>
      </c>
      <c r="B174" s="0" t="s">
        <v>84</v>
      </c>
      <c r="C174" s="0" t="n">
        <v>1</v>
      </c>
      <c r="D174" s="0" t="n">
        <v>0</v>
      </c>
      <c r="E174" s="0" t="n">
        <v>1</v>
      </c>
      <c r="F174" s="0" t="n">
        <v>11</v>
      </c>
      <c r="G174" s="0" t="b">
        <f aca="false">FALSE()</f>
        <v>0</v>
      </c>
      <c r="H174" s="0" t="n">
        <v>6</v>
      </c>
      <c r="I174" s="0" t="n">
        <v>2</v>
      </c>
      <c r="J174" s="0" t="n">
        <v>0.2</v>
      </c>
    </row>
    <row r="175" customFormat="false" ht="15" hidden="false" customHeight="false" outlineLevel="0" collapsed="false">
      <c r="A175" s="0" t="n">
        <v>174</v>
      </c>
      <c r="B175" s="0" t="s">
        <v>84</v>
      </c>
      <c r="C175" s="0" t="n">
        <v>1</v>
      </c>
      <c r="D175" s="0" t="n">
        <v>0</v>
      </c>
      <c r="E175" s="0" t="n">
        <v>1</v>
      </c>
      <c r="F175" s="0" t="n">
        <v>12</v>
      </c>
      <c r="G175" s="0" t="b">
        <f aca="false">FALSE()</f>
        <v>0</v>
      </c>
      <c r="H175" s="0" t="n">
        <v>6</v>
      </c>
      <c r="I175" s="0" t="n">
        <v>2</v>
      </c>
      <c r="J175" s="0" t="n">
        <v>0.2</v>
      </c>
    </row>
    <row r="176" customFormat="false" ht="15" hidden="false" customHeight="false" outlineLevel="0" collapsed="false">
      <c r="A176" s="0" t="n">
        <v>175</v>
      </c>
      <c r="B176" s="0" t="s">
        <v>84</v>
      </c>
      <c r="C176" s="0" t="n">
        <v>1</v>
      </c>
      <c r="D176" s="0" t="n">
        <v>0</v>
      </c>
      <c r="E176" s="0" t="n">
        <v>1</v>
      </c>
      <c r="F176" s="0" t="n">
        <v>13</v>
      </c>
      <c r="G176" s="0" t="b">
        <f aca="false">FALSE()</f>
        <v>0</v>
      </c>
      <c r="H176" s="0" t="n">
        <v>6</v>
      </c>
      <c r="I176" s="0" t="n">
        <v>1</v>
      </c>
      <c r="J176" s="0" t="n">
        <v>0.2</v>
      </c>
    </row>
    <row r="177" customFormat="false" ht="15" hidden="false" customHeight="false" outlineLevel="0" collapsed="false">
      <c r="A177" s="0" t="n">
        <v>176</v>
      </c>
      <c r="B177" s="0" t="s">
        <v>84</v>
      </c>
      <c r="C177" s="0" t="n">
        <v>1</v>
      </c>
      <c r="D177" s="0" t="n">
        <v>0</v>
      </c>
      <c r="E177" s="0" t="n">
        <v>1</v>
      </c>
      <c r="F177" s="0" t="n">
        <v>14</v>
      </c>
      <c r="G177" s="0" t="b">
        <f aca="false">FALSE()</f>
        <v>0</v>
      </c>
      <c r="H177" s="0" t="n">
        <v>6</v>
      </c>
      <c r="I177" s="0" t="n">
        <v>1</v>
      </c>
      <c r="J177" s="0" t="n">
        <v>0.2</v>
      </c>
    </row>
    <row r="178" customFormat="false" ht="15" hidden="false" customHeight="false" outlineLevel="0" collapsed="false">
      <c r="A178" s="0" t="n">
        <v>177</v>
      </c>
      <c r="B178" s="0" t="s">
        <v>84</v>
      </c>
      <c r="C178" s="0" t="n">
        <v>1</v>
      </c>
      <c r="D178" s="0" t="n">
        <v>0</v>
      </c>
      <c r="E178" s="0" t="n">
        <v>1</v>
      </c>
      <c r="F178" s="0" t="n">
        <v>15</v>
      </c>
      <c r="G178" s="0" t="b">
        <f aca="false">FALSE()</f>
        <v>0</v>
      </c>
      <c r="H178" s="0" t="n">
        <v>6</v>
      </c>
      <c r="I178" s="0" t="n">
        <v>1</v>
      </c>
      <c r="J178" s="0" t="n">
        <v>0.2</v>
      </c>
    </row>
    <row r="179" customFormat="false" ht="15" hidden="false" customHeight="false" outlineLevel="0" collapsed="false">
      <c r="A179" s="0" t="n">
        <v>178</v>
      </c>
      <c r="B179" s="0" t="s">
        <v>84</v>
      </c>
      <c r="C179" s="0" t="n">
        <v>1</v>
      </c>
      <c r="D179" s="0" t="n">
        <v>0</v>
      </c>
      <c r="E179" s="0" t="n">
        <v>1</v>
      </c>
      <c r="F179" s="0" t="n">
        <v>16</v>
      </c>
      <c r="G179" s="0" t="b">
        <f aca="false">FALSE()</f>
        <v>0</v>
      </c>
      <c r="H179" s="0" t="n">
        <v>6</v>
      </c>
      <c r="I179" s="0" t="n">
        <v>1</v>
      </c>
      <c r="J179" s="0" t="n">
        <v>0.18</v>
      </c>
    </row>
    <row r="180" customFormat="false" ht="15" hidden="false" customHeight="false" outlineLevel="0" collapsed="false">
      <c r="A180" s="0" t="n">
        <v>179</v>
      </c>
      <c r="B180" s="0" t="s">
        <v>84</v>
      </c>
      <c r="C180" s="0" t="n">
        <v>1</v>
      </c>
      <c r="D180" s="0" t="n">
        <v>0</v>
      </c>
      <c r="E180" s="0" t="n">
        <v>1</v>
      </c>
      <c r="F180" s="0" t="n">
        <v>17</v>
      </c>
      <c r="G180" s="0" t="b">
        <f aca="false">FALSE()</f>
        <v>0</v>
      </c>
      <c r="H180" s="0" t="n">
        <v>6</v>
      </c>
      <c r="I180" s="0" t="n">
        <v>1</v>
      </c>
      <c r="J180" s="0" t="n">
        <v>0.16</v>
      </c>
    </row>
    <row r="181" customFormat="false" ht="15" hidden="false" customHeight="false" outlineLevel="0" collapsed="false">
      <c r="A181" s="0" t="n">
        <v>180</v>
      </c>
      <c r="B181" s="0" t="s">
        <v>84</v>
      </c>
      <c r="C181" s="0" t="n">
        <v>1</v>
      </c>
      <c r="D181" s="0" t="n">
        <v>0</v>
      </c>
      <c r="E181" s="0" t="n">
        <v>1</v>
      </c>
      <c r="F181" s="0" t="n">
        <v>18</v>
      </c>
      <c r="G181" s="0" t="b">
        <f aca="false">FALSE()</f>
        <v>0</v>
      </c>
      <c r="H181" s="0" t="n">
        <v>6</v>
      </c>
      <c r="I181" s="0" t="n">
        <v>1</v>
      </c>
      <c r="J181" s="0" t="n">
        <v>0.14</v>
      </c>
    </row>
    <row r="182" customFormat="false" ht="15" hidden="false" customHeight="false" outlineLevel="0" collapsed="false">
      <c r="A182" s="0" t="n">
        <v>181</v>
      </c>
      <c r="B182" s="0" t="s">
        <v>84</v>
      </c>
      <c r="C182" s="0" t="n">
        <v>1</v>
      </c>
      <c r="D182" s="0" t="n">
        <v>0</v>
      </c>
      <c r="E182" s="0" t="n">
        <v>1</v>
      </c>
      <c r="F182" s="0" t="n">
        <v>19</v>
      </c>
      <c r="G182" s="0" t="b">
        <f aca="false">FALSE()</f>
        <v>0</v>
      </c>
      <c r="H182" s="0" t="n">
        <v>6</v>
      </c>
      <c r="I182" s="0" t="n">
        <v>1</v>
      </c>
      <c r="J182" s="0" t="n">
        <v>0.14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0</v>
      </c>
      <c r="E183" s="0" t="n">
        <v>1</v>
      </c>
      <c r="F183" s="0" t="n">
        <v>20</v>
      </c>
      <c r="G183" s="0" t="b">
        <f aca="false">FALSE()</f>
        <v>0</v>
      </c>
      <c r="H183" s="0" t="n">
        <v>6</v>
      </c>
      <c r="I183" s="0" t="n">
        <v>1</v>
      </c>
      <c r="J183" s="0" t="n">
        <v>0.12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0</v>
      </c>
      <c r="E184" s="0" t="n">
        <v>1</v>
      </c>
      <c r="F184" s="0" t="n">
        <v>21</v>
      </c>
      <c r="G184" s="0" t="b">
        <f aca="false">FALSE()</f>
        <v>0</v>
      </c>
      <c r="H184" s="0" t="n">
        <v>6</v>
      </c>
      <c r="I184" s="0" t="n">
        <v>1</v>
      </c>
      <c r="J184" s="0" t="n">
        <v>0.12</v>
      </c>
    </row>
    <row r="185" customFormat="false" ht="15" hidden="false" customHeight="false" outlineLevel="0" collapsed="false">
      <c r="A185" s="0" t="n">
        <v>184</v>
      </c>
      <c r="B185" s="0" t="s">
        <v>84</v>
      </c>
      <c r="C185" s="0" t="n">
        <v>1</v>
      </c>
      <c r="D185" s="0" t="n">
        <v>0</v>
      </c>
      <c r="E185" s="0" t="n">
        <v>1</v>
      </c>
      <c r="F185" s="0" t="n">
        <v>22</v>
      </c>
      <c r="G185" s="0" t="b">
        <f aca="false">FALSE()</f>
        <v>0</v>
      </c>
      <c r="H185" s="0" t="n">
        <v>6</v>
      </c>
      <c r="I185" s="0" t="n">
        <v>1</v>
      </c>
      <c r="J185" s="0" t="n">
        <v>0.12</v>
      </c>
    </row>
    <row r="186" customFormat="false" ht="15" hidden="false" customHeight="false" outlineLevel="0" collapsed="false">
      <c r="A186" s="0" t="n">
        <v>185</v>
      </c>
      <c r="B186" s="0" t="s">
        <v>84</v>
      </c>
      <c r="C186" s="0" t="n">
        <v>1</v>
      </c>
      <c r="D186" s="0" t="n">
        <v>0</v>
      </c>
      <c r="E186" s="0" t="n">
        <v>1</v>
      </c>
      <c r="F186" s="0" t="n">
        <v>23</v>
      </c>
      <c r="G186" s="0" t="b">
        <f aca="false">FALSE()</f>
        <v>0</v>
      </c>
      <c r="H186" s="0" t="n">
        <v>6</v>
      </c>
      <c r="I186" s="0" t="n">
        <v>1</v>
      </c>
      <c r="J186" s="0" t="n">
        <v>0.1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0</v>
      </c>
      <c r="E187" s="0" t="n">
        <v>1</v>
      </c>
      <c r="F187" s="0" t="n">
        <v>0</v>
      </c>
      <c r="G187" s="0" t="b">
        <f aca="false">FALSE()</f>
        <v>0</v>
      </c>
      <c r="H187" s="0" t="n">
        <v>0</v>
      </c>
      <c r="I187" s="0" t="n">
        <v>1</v>
      </c>
      <c r="J187" s="0" t="n">
        <v>0.1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0</v>
      </c>
      <c r="E188" s="0" t="n">
        <v>1</v>
      </c>
      <c r="F188" s="0" t="n">
        <v>1</v>
      </c>
      <c r="G188" s="0" t="b">
        <f aca="false">FALSE()</f>
        <v>0</v>
      </c>
      <c r="H188" s="0" t="n">
        <v>0</v>
      </c>
      <c r="I188" s="0" t="n">
        <v>1</v>
      </c>
      <c r="J188" s="0" t="n">
        <v>0.1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0</v>
      </c>
      <c r="E189" s="0" t="n">
        <v>1</v>
      </c>
      <c r="F189" s="0" t="n">
        <v>2</v>
      </c>
      <c r="G189" s="0" t="b">
        <f aca="false">FALSE()</f>
        <v>0</v>
      </c>
      <c r="H189" s="0" t="n">
        <v>0</v>
      </c>
      <c r="I189" s="0" t="n">
        <v>1</v>
      </c>
      <c r="J189" s="0" t="n">
        <v>0.1</v>
      </c>
    </row>
    <row r="190" customFormat="false" ht="15" hidden="false" customHeight="false" outlineLevel="0" collapsed="false">
      <c r="A190" s="0" t="n">
        <v>189</v>
      </c>
      <c r="B190" s="0" t="s">
        <v>85</v>
      </c>
      <c r="C190" s="0" t="n">
        <v>1</v>
      </c>
      <c r="D190" s="0" t="n">
        <v>0</v>
      </c>
      <c r="E190" s="0" t="n">
        <v>1</v>
      </c>
      <c r="F190" s="0" t="n">
        <v>3</v>
      </c>
      <c r="G190" s="0" t="b">
        <f aca="false">FALSE()</f>
        <v>0</v>
      </c>
      <c r="H190" s="0" t="n">
        <v>0</v>
      </c>
      <c r="I190" s="0" t="n">
        <v>1</v>
      </c>
      <c r="J190" s="0" t="n">
        <v>0.1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0</v>
      </c>
      <c r="E191" s="0" t="n">
        <v>1</v>
      </c>
      <c r="F191" s="0" t="n">
        <v>4</v>
      </c>
      <c r="G191" s="0" t="b">
        <f aca="false">FALSE()</f>
        <v>0</v>
      </c>
      <c r="H191" s="0" t="n">
        <v>0</v>
      </c>
      <c r="I191" s="0" t="n">
        <v>1</v>
      </c>
      <c r="J191" s="0" t="n">
        <v>0.08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0</v>
      </c>
      <c r="E192" s="0" t="n">
        <v>1</v>
      </c>
      <c r="F192" s="0" t="n">
        <v>5</v>
      </c>
      <c r="G192" s="0" t="b">
        <f aca="false">FALSE()</f>
        <v>0</v>
      </c>
      <c r="H192" s="0" t="n">
        <v>0</v>
      </c>
      <c r="I192" s="0" t="n">
        <v>1</v>
      </c>
      <c r="J192" s="0" t="n">
        <v>0.08</v>
      </c>
    </row>
    <row r="193" customFormat="false" ht="15" hidden="false" customHeight="false" outlineLevel="0" collapsed="false">
      <c r="A193" s="0" t="n">
        <v>192</v>
      </c>
      <c r="B193" s="0" t="s">
        <v>85</v>
      </c>
      <c r="C193" s="0" t="n">
        <v>1</v>
      </c>
      <c r="D193" s="0" t="n">
        <v>0</v>
      </c>
      <c r="E193" s="0" t="n">
        <v>1</v>
      </c>
      <c r="F193" s="0" t="n">
        <v>6</v>
      </c>
      <c r="G193" s="0" t="b">
        <f aca="false">FALSE()</f>
        <v>0</v>
      </c>
      <c r="H193" s="0" t="n">
        <v>0</v>
      </c>
      <c r="I193" s="0" t="n">
        <v>1</v>
      </c>
      <c r="J193" s="0" t="n">
        <v>0.1</v>
      </c>
    </row>
    <row r="194" customFormat="false" ht="15" hidden="false" customHeight="false" outlineLevel="0" collapsed="false">
      <c r="A194" s="0" t="n">
        <v>193</v>
      </c>
      <c r="B194" s="0" t="s">
        <v>85</v>
      </c>
      <c r="C194" s="0" t="n">
        <v>1</v>
      </c>
      <c r="D194" s="0" t="n">
        <v>0</v>
      </c>
      <c r="E194" s="0" t="n">
        <v>1</v>
      </c>
      <c r="F194" s="0" t="n">
        <v>7</v>
      </c>
      <c r="G194" s="0" t="b">
        <f aca="false">FALSE()</f>
        <v>0</v>
      </c>
      <c r="H194" s="0" t="n">
        <v>0</v>
      </c>
      <c r="I194" s="0" t="n">
        <v>1</v>
      </c>
      <c r="J194" s="0" t="n">
        <v>0.08</v>
      </c>
    </row>
    <row r="195" customFormat="false" ht="15" hidden="false" customHeight="false" outlineLevel="0" collapsed="false">
      <c r="A195" s="0" t="n">
        <v>194</v>
      </c>
      <c r="B195" s="0" t="s">
        <v>85</v>
      </c>
      <c r="C195" s="0" t="n">
        <v>1</v>
      </c>
      <c r="D195" s="0" t="n">
        <v>0</v>
      </c>
      <c r="E195" s="0" t="n">
        <v>1</v>
      </c>
      <c r="F195" s="0" t="n">
        <v>8</v>
      </c>
      <c r="G195" s="0" t="b">
        <f aca="false">FALSE()</f>
        <v>0</v>
      </c>
      <c r="H195" s="0" t="n">
        <v>0</v>
      </c>
      <c r="I195" s="0" t="n">
        <v>1</v>
      </c>
      <c r="J195" s="0" t="n">
        <v>0.1</v>
      </c>
    </row>
    <row r="196" customFormat="false" ht="15" hidden="false" customHeight="false" outlineLevel="0" collapsed="false">
      <c r="A196" s="0" t="n">
        <v>195</v>
      </c>
      <c r="B196" s="0" t="s">
        <v>85</v>
      </c>
      <c r="C196" s="0" t="n">
        <v>1</v>
      </c>
      <c r="D196" s="0" t="n">
        <v>0</v>
      </c>
      <c r="E196" s="0" t="n">
        <v>1</v>
      </c>
      <c r="F196" s="0" t="n">
        <v>9</v>
      </c>
      <c r="G196" s="0" t="b">
        <f aca="false">FALSE()</f>
        <v>0</v>
      </c>
      <c r="H196" s="0" t="n">
        <v>0</v>
      </c>
      <c r="I196" s="0" t="n">
        <v>1</v>
      </c>
      <c r="J196" s="0" t="n">
        <v>0.12</v>
      </c>
    </row>
    <row r="197" customFormat="false" ht="15" hidden="false" customHeight="false" outlineLevel="0" collapsed="false">
      <c r="A197" s="0" t="n">
        <v>196</v>
      </c>
      <c r="B197" s="0" t="s">
        <v>85</v>
      </c>
      <c r="C197" s="0" t="n">
        <v>1</v>
      </c>
      <c r="D197" s="0" t="n">
        <v>0</v>
      </c>
      <c r="E197" s="0" t="n">
        <v>1</v>
      </c>
      <c r="F197" s="0" t="n">
        <v>10</v>
      </c>
      <c r="G197" s="0" t="b">
        <f aca="false">FALSE()</f>
        <v>0</v>
      </c>
      <c r="H197" s="0" t="n">
        <v>0</v>
      </c>
      <c r="I197" s="0" t="n">
        <v>1</v>
      </c>
      <c r="J197" s="0" t="n">
        <v>0.14</v>
      </c>
    </row>
    <row r="198" customFormat="false" ht="15" hidden="false" customHeight="false" outlineLevel="0" collapsed="false">
      <c r="A198" s="0" t="n">
        <v>197</v>
      </c>
      <c r="B198" s="0" t="s">
        <v>85</v>
      </c>
      <c r="C198" s="0" t="n">
        <v>1</v>
      </c>
      <c r="D198" s="0" t="n">
        <v>0</v>
      </c>
      <c r="E198" s="0" t="n">
        <v>1</v>
      </c>
      <c r="F198" s="0" t="n">
        <v>11</v>
      </c>
      <c r="G198" s="0" t="b">
        <f aca="false">FALSE()</f>
        <v>0</v>
      </c>
      <c r="H198" s="0" t="n">
        <v>0</v>
      </c>
      <c r="I198" s="0" t="n">
        <v>1</v>
      </c>
      <c r="J198" s="0" t="n">
        <v>0.16</v>
      </c>
    </row>
    <row r="199" customFormat="false" ht="15" hidden="false" customHeight="false" outlineLevel="0" collapsed="false">
      <c r="A199" s="0" t="n">
        <v>198</v>
      </c>
      <c r="B199" s="0" t="s">
        <v>85</v>
      </c>
      <c r="C199" s="0" t="n">
        <v>1</v>
      </c>
      <c r="D199" s="0" t="n">
        <v>0</v>
      </c>
      <c r="E199" s="0" t="n">
        <v>1</v>
      </c>
      <c r="F199" s="0" t="n">
        <v>12</v>
      </c>
      <c r="G199" s="0" t="b">
        <f aca="false">FALSE()</f>
        <v>0</v>
      </c>
      <c r="H199" s="0" t="n">
        <v>0</v>
      </c>
      <c r="I199" s="0" t="n">
        <v>1</v>
      </c>
      <c r="J199" s="0" t="n">
        <v>0.18</v>
      </c>
    </row>
    <row r="200" customFormat="false" ht="15" hidden="false" customHeight="false" outlineLevel="0" collapsed="false">
      <c r="A200" s="0" t="n">
        <v>199</v>
      </c>
      <c r="B200" s="0" t="s">
        <v>85</v>
      </c>
      <c r="C200" s="0" t="n">
        <v>1</v>
      </c>
      <c r="D200" s="0" t="n">
        <v>0</v>
      </c>
      <c r="E200" s="0" t="n">
        <v>1</v>
      </c>
      <c r="F200" s="0" t="n">
        <v>13</v>
      </c>
      <c r="G200" s="0" t="b">
        <f aca="false">FALSE()</f>
        <v>0</v>
      </c>
      <c r="H200" s="0" t="n">
        <v>0</v>
      </c>
      <c r="I200" s="0" t="n">
        <v>1</v>
      </c>
      <c r="J200" s="0" t="n">
        <v>0.2</v>
      </c>
    </row>
    <row r="201" customFormat="false" ht="15" hidden="false" customHeight="false" outlineLevel="0" collapsed="false">
      <c r="A201" s="0" t="n">
        <v>200</v>
      </c>
      <c r="B201" s="0" t="s">
        <v>85</v>
      </c>
      <c r="C201" s="0" t="n">
        <v>1</v>
      </c>
      <c r="D201" s="0" t="n">
        <v>0</v>
      </c>
      <c r="E201" s="0" t="n">
        <v>1</v>
      </c>
      <c r="F201" s="0" t="n">
        <v>14</v>
      </c>
      <c r="G201" s="0" t="b">
        <f aca="false">FALSE()</f>
        <v>0</v>
      </c>
      <c r="H201" s="0" t="n">
        <v>0</v>
      </c>
      <c r="I201" s="0" t="n">
        <v>1</v>
      </c>
      <c r="J201" s="0" t="n">
        <v>0.22</v>
      </c>
    </row>
    <row r="202" customFormat="false" ht="15" hidden="false" customHeight="false" outlineLevel="0" collapsed="false">
      <c r="A202" s="0" t="n">
        <v>201</v>
      </c>
      <c r="B202" s="0" t="s">
        <v>85</v>
      </c>
      <c r="C202" s="0" t="n">
        <v>1</v>
      </c>
      <c r="D202" s="0" t="n">
        <v>0</v>
      </c>
      <c r="E202" s="0" t="n">
        <v>1</v>
      </c>
      <c r="F202" s="0" t="n">
        <v>15</v>
      </c>
      <c r="G202" s="0" t="b">
        <f aca="false">FALSE()</f>
        <v>0</v>
      </c>
      <c r="H202" s="0" t="n">
        <v>0</v>
      </c>
      <c r="I202" s="0" t="n">
        <v>1</v>
      </c>
      <c r="J202" s="0" t="n">
        <v>0.22</v>
      </c>
    </row>
    <row r="203" customFormat="false" ht="15" hidden="false" customHeight="false" outlineLevel="0" collapsed="false">
      <c r="A203" s="0" t="n">
        <v>202</v>
      </c>
      <c r="B203" s="0" t="s">
        <v>85</v>
      </c>
      <c r="C203" s="0" t="n">
        <v>1</v>
      </c>
      <c r="D203" s="0" t="n">
        <v>0</v>
      </c>
      <c r="E203" s="0" t="n">
        <v>1</v>
      </c>
      <c r="F203" s="0" t="n">
        <v>16</v>
      </c>
      <c r="G203" s="0" t="b">
        <f aca="false">FALSE()</f>
        <v>0</v>
      </c>
      <c r="H203" s="0" t="n">
        <v>0</v>
      </c>
      <c r="I203" s="0" t="n">
        <v>1</v>
      </c>
      <c r="J203" s="0" t="n">
        <v>0.2</v>
      </c>
    </row>
    <row r="204" customFormat="false" ht="15" hidden="false" customHeight="false" outlineLevel="0" collapsed="false">
      <c r="A204" s="0" t="n">
        <v>203</v>
      </c>
      <c r="B204" s="0" t="s">
        <v>85</v>
      </c>
      <c r="C204" s="0" t="n">
        <v>1</v>
      </c>
      <c r="D204" s="0" t="n">
        <v>0</v>
      </c>
      <c r="E204" s="0" t="n">
        <v>1</v>
      </c>
      <c r="F204" s="0" t="n">
        <v>17</v>
      </c>
      <c r="G204" s="0" t="b">
        <f aca="false">FALSE()</f>
        <v>0</v>
      </c>
      <c r="H204" s="0" t="n">
        <v>0</v>
      </c>
      <c r="I204" s="0" t="n">
        <v>1</v>
      </c>
      <c r="J204" s="0" t="n">
        <v>0.18</v>
      </c>
    </row>
    <row r="205" customFormat="false" ht="15" hidden="false" customHeight="false" outlineLevel="0" collapsed="false">
      <c r="A205" s="0" t="n">
        <v>204</v>
      </c>
      <c r="B205" s="0" t="s">
        <v>85</v>
      </c>
      <c r="C205" s="0" t="n">
        <v>1</v>
      </c>
      <c r="D205" s="0" t="n">
        <v>0</v>
      </c>
      <c r="E205" s="0" t="n">
        <v>1</v>
      </c>
      <c r="F205" s="0" t="n">
        <v>18</v>
      </c>
      <c r="G205" s="0" t="b">
        <f aca="false">FALSE()</f>
        <v>0</v>
      </c>
      <c r="H205" s="0" t="n">
        <v>0</v>
      </c>
      <c r="I205" s="0" t="n">
        <v>1</v>
      </c>
      <c r="J205" s="0" t="n">
        <v>0.16</v>
      </c>
    </row>
    <row r="206" customFormat="false" ht="15" hidden="false" customHeight="false" outlineLevel="0" collapsed="false">
      <c r="A206" s="0" t="n">
        <v>205</v>
      </c>
      <c r="B206" s="0" t="s">
        <v>85</v>
      </c>
      <c r="C206" s="0" t="n">
        <v>1</v>
      </c>
      <c r="D206" s="0" t="n">
        <v>0</v>
      </c>
      <c r="E206" s="0" t="n">
        <v>1</v>
      </c>
      <c r="F206" s="0" t="n">
        <v>19</v>
      </c>
      <c r="G206" s="0" t="b">
        <f aca="false">FALSE()</f>
        <v>0</v>
      </c>
      <c r="H206" s="0" t="n">
        <v>0</v>
      </c>
      <c r="I206" s="0" t="n">
        <v>1</v>
      </c>
      <c r="J206" s="0" t="n">
        <v>0.16</v>
      </c>
    </row>
    <row r="207" customFormat="false" ht="15" hidden="false" customHeight="false" outlineLevel="0" collapsed="false">
      <c r="A207" s="0" t="n">
        <v>206</v>
      </c>
      <c r="B207" s="0" t="s">
        <v>85</v>
      </c>
      <c r="C207" s="0" t="n">
        <v>1</v>
      </c>
      <c r="D207" s="0" t="n">
        <v>0</v>
      </c>
      <c r="E207" s="0" t="n">
        <v>1</v>
      </c>
      <c r="F207" s="0" t="n">
        <v>20</v>
      </c>
      <c r="G207" s="0" t="b">
        <f aca="false">FALSE()</f>
        <v>0</v>
      </c>
      <c r="H207" s="0" t="n">
        <v>0</v>
      </c>
      <c r="I207" s="0" t="n">
        <v>1</v>
      </c>
      <c r="J207" s="0" t="n">
        <v>0.14</v>
      </c>
    </row>
    <row r="208" customFormat="false" ht="15" hidden="false" customHeight="false" outlineLevel="0" collapsed="false">
      <c r="A208" s="0" t="n">
        <v>207</v>
      </c>
      <c r="B208" s="0" t="s">
        <v>85</v>
      </c>
      <c r="C208" s="0" t="n">
        <v>1</v>
      </c>
      <c r="D208" s="0" t="n">
        <v>0</v>
      </c>
      <c r="E208" s="0" t="n">
        <v>1</v>
      </c>
      <c r="F208" s="0" t="n">
        <v>21</v>
      </c>
      <c r="G208" s="0" t="b">
        <f aca="false">FALSE()</f>
        <v>0</v>
      </c>
      <c r="H208" s="0" t="n">
        <v>0</v>
      </c>
      <c r="I208" s="0" t="n">
        <v>1</v>
      </c>
      <c r="J208" s="0" t="n">
        <v>0.14</v>
      </c>
    </row>
    <row r="209" customFormat="false" ht="15" hidden="false" customHeight="false" outlineLevel="0" collapsed="false">
      <c r="A209" s="0" t="n">
        <v>208</v>
      </c>
      <c r="B209" s="0" t="s">
        <v>85</v>
      </c>
      <c r="C209" s="0" t="n">
        <v>1</v>
      </c>
      <c r="D209" s="0" t="n">
        <v>0</v>
      </c>
      <c r="E209" s="0" t="n">
        <v>1</v>
      </c>
      <c r="F209" s="0" t="n">
        <v>22</v>
      </c>
      <c r="G209" s="0" t="b">
        <f aca="false">FALSE()</f>
        <v>0</v>
      </c>
      <c r="H209" s="0" t="n">
        <v>0</v>
      </c>
      <c r="I209" s="0" t="n">
        <v>1</v>
      </c>
      <c r="J209" s="0" t="n">
        <v>0.14</v>
      </c>
    </row>
    <row r="210" customFormat="false" ht="15" hidden="false" customHeight="false" outlineLevel="0" collapsed="false">
      <c r="A210" s="0" t="n">
        <v>209</v>
      </c>
      <c r="B210" s="0" t="s">
        <v>85</v>
      </c>
      <c r="C210" s="0" t="n">
        <v>1</v>
      </c>
      <c r="D210" s="0" t="n">
        <v>0</v>
      </c>
      <c r="E210" s="0" t="n">
        <v>1</v>
      </c>
      <c r="F210" s="0" t="n">
        <v>23</v>
      </c>
      <c r="G210" s="0" t="b">
        <f aca="false">FALSE()</f>
        <v>0</v>
      </c>
      <c r="H210" s="0" t="n">
        <v>0</v>
      </c>
      <c r="I210" s="0" t="n">
        <v>1</v>
      </c>
      <c r="J210" s="0" t="n">
        <v>0.12</v>
      </c>
    </row>
    <row r="211" customFormat="false" ht="15" hidden="false" customHeight="false" outlineLevel="0" collapsed="false">
      <c r="A211" s="0" t="n">
        <v>210</v>
      </c>
      <c r="B211" s="0" t="s">
        <v>86</v>
      </c>
      <c r="C211" s="0" t="n">
        <v>1</v>
      </c>
      <c r="D211" s="0" t="n">
        <v>0</v>
      </c>
      <c r="E211" s="0" t="n">
        <v>1</v>
      </c>
      <c r="F211" s="0" t="n">
        <v>0</v>
      </c>
      <c r="G211" s="0" t="b">
        <f aca="false">FALSE()</f>
        <v>0</v>
      </c>
      <c r="H211" s="0" t="n">
        <v>1</v>
      </c>
      <c r="I211" s="0" t="n">
        <v>1</v>
      </c>
      <c r="J211" s="0" t="n">
        <v>0.12</v>
      </c>
    </row>
    <row r="212" customFormat="false" ht="15" hidden="false" customHeight="false" outlineLevel="0" collapsed="false">
      <c r="A212" s="0" t="n">
        <v>211</v>
      </c>
      <c r="B212" s="0" t="s">
        <v>86</v>
      </c>
      <c r="C212" s="0" t="n">
        <v>1</v>
      </c>
      <c r="D212" s="0" t="n">
        <v>0</v>
      </c>
      <c r="E212" s="0" t="n">
        <v>1</v>
      </c>
      <c r="F212" s="0" t="n">
        <v>1</v>
      </c>
      <c r="G212" s="0" t="b">
        <f aca="false">FALSE()</f>
        <v>0</v>
      </c>
      <c r="H212" s="0" t="n">
        <v>1</v>
      </c>
      <c r="I212" s="0" t="n">
        <v>1</v>
      </c>
      <c r="J212" s="0" t="n">
        <v>0.12</v>
      </c>
    </row>
    <row r="213" customFormat="false" ht="15" hidden="false" customHeight="false" outlineLevel="0" collapsed="false">
      <c r="A213" s="0" t="n">
        <v>212</v>
      </c>
      <c r="B213" s="0" t="s">
        <v>86</v>
      </c>
      <c r="C213" s="0" t="n">
        <v>1</v>
      </c>
      <c r="D213" s="0" t="n">
        <v>0</v>
      </c>
      <c r="E213" s="0" t="n">
        <v>1</v>
      </c>
      <c r="F213" s="0" t="n">
        <v>2</v>
      </c>
      <c r="G213" s="0" t="b">
        <f aca="false">FALSE()</f>
        <v>0</v>
      </c>
      <c r="H213" s="0" t="n">
        <v>1</v>
      </c>
      <c r="I213" s="0" t="n">
        <v>1</v>
      </c>
      <c r="J213" s="0" t="n">
        <v>0.12</v>
      </c>
    </row>
    <row r="214" customFormat="false" ht="15" hidden="false" customHeight="false" outlineLevel="0" collapsed="false">
      <c r="A214" s="0" t="n">
        <v>213</v>
      </c>
      <c r="B214" s="0" t="s">
        <v>86</v>
      </c>
      <c r="C214" s="0" t="n">
        <v>1</v>
      </c>
      <c r="D214" s="0" t="n">
        <v>0</v>
      </c>
      <c r="E214" s="0" t="n">
        <v>1</v>
      </c>
      <c r="F214" s="0" t="n">
        <v>3</v>
      </c>
      <c r="G214" s="0" t="b">
        <f aca="false">FALSE()</f>
        <v>0</v>
      </c>
      <c r="H214" s="0" t="n">
        <v>1</v>
      </c>
      <c r="I214" s="0" t="n">
        <v>1</v>
      </c>
      <c r="J214" s="0" t="n">
        <v>0.12</v>
      </c>
    </row>
    <row r="215" customFormat="false" ht="15" hidden="false" customHeight="false" outlineLevel="0" collapsed="false">
      <c r="A215" s="0" t="n">
        <v>214</v>
      </c>
      <c r="B215" s="0" t="s">
        <v>86</v>
      </c>
      <c r="C215" s="0" t="n">
        <v>1</v>
      </c>
      <c r="D215" s="0" t="n">
        <v>0</v>
      </c>
      <c r="E215" s="0" t="n">
        <v>1</v>
      </c>
      <c r="F215" s="0" t="n">
        <v>4</v>
      </c>
      <c r="G215" s="0" t="b">
        <f aca="false">FALSE()</f>
        <v>0</v>
      </c>
      <c r="H215" s="0" t="n">
        <v>1</v>
      </c>
      <c r="I215" s="0" t="n">
        <v>1</v>
      </c>
      <c r="J215" s="0" t="n">
        <v>0.1</v>
      </c>
    </row>
    <row r="216" customFormat="false" ht="15" hidden="false" customHeight="false" outlineLevel="0" collapsed="false">
      <c r="A216" s="0" t="n">
        <v>215</v>
      </c>
      <c r="B216" s="0" t="s">
        <v>86</v>
      </c>
      <c r="C216" s="0" t="n">
        <v>1</v>
      </c>
      <c r="D216" s="0" t="n">
        <v>0</v>
      </c>
      <c r="E216" s="0" t="n">
        <v>1</v>
      </c>
      <c r="F216" s="0" t="n">
        <v>5</v>
      </c>
      <c r="G216" s="0" t="b">
        <f aca="false">FALSE()</f>
        <v>0</v>
      </c>
      <c r="H216" s="0" t="n">
        <v>1</v>
      </c>
      <c r="I216" s="0" t="n">
        <v>1</v>
      </c>
      <c r="J216" s="0" t="n">
        <v>0.1</v>
      </c>
    </row>
    <row r="217" customFormat="false" ht="15" hidden="false" customHeight="false" outlineLevel="0" collapsed="false">
      <c r="A217" s="0" t="n">
        <v>216</v>
      </c>
      <c r="B217" s="0" t="s">
        <v>86</v>
      </c>
      <c r="C217" s="0" t="n">
        <v>1</v>
      </c>
      <c r="D217" s="0" t="n">
        <v>0</v>
      </c>
      <c r="E217" s="0" t="n">
        <v>1</v>
      </c>
      <c r="F217" s="0" t="n">
        <v>6</v>
      </c>
      <c r="G217" s="0" t="b">
        <f aca="false">FALSE()</f>
        <v>0</v>
      </c>
      <c r="H217" s="0" t="n">
        <v>1</v>
      </c>
      <c r="I217" s="0" t="n">
        <v>1</v>
      </c>
      <c r="J217" s="0" t="n">
        <v>0.12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n">
        <v>1</v>
      </c>
      <c r="D218" s="0" t="n">
        <v>0</v>
      </c>
      <c r="E218" s="0" t="n">
        <v>1</v>
      </c>
      <c r="F218" s="0" t="n">
        <v>7</v>
      </c>
      <c r="G218" s="0" t="b">
        <f aca="false">FALSE()</f>
        <v>0</v>
      </c>
      <c r="H218" s="0" t="n">
        <v>1</v>
      </c>
      <c r="I218" s="0" t="n">
        <v>1</v>
      </c>
      <c r="J218" s="0" t="n">
        <v>0.12</v>
      </c>
    </row>
    <row r="219" customFormat="false" ht="15" hidden="false" customHeight="false" outlineLevel="0" collapsed="false">
      <c r="A219" s="0" t="n">
        <v>218</v>
      </c>
      <c r="B219" s="0" t="s">
        <v>86</v>
      </c>
      <c r="C219" s="0" t="n">
        <v>1</v>
      </c>
      <c r="D219" s="0" t="n">
        <v>0</v>
      </c>
      <c r="E219" s="0" t="n">
        <v>1</v>
      </c>
      <c r="F219" s="0" t="n">
        <v>8</v>
      </c>
      <c r="G219" s="0" t="b">
        <f aca="false">FALSE()</f>
        <v>0</v>
      </c>
      <c r="H219" s="0" t="n">
        <v>1</v>
      </c>
      <c r="I219" s="0" t="n">
        <v>2</v>
      </c>
      <c r="J219" s="0" t="n">
        <v>0.12</v>
      </c>
    </row>
    <row r="220" customFormat="false" ht="15" hidden="false" customHeight="false" outlineLevel="0" collapsed="false">
      <c r="A220" s="0" t="n">
        <v>219</v>
      </c>
      <c r="B220" s="0" t="s">
        <v>86</v>
      </c>
      <c r="C220" s="0" t="n">
        <v>1</v>
      </c>
      <c r="D220" s="0" t="n">
        <v>0</v>
      </c>
      <c r="E220" s="0" t="n">
        <v>1</v>
      </c>
      <c r="F220" s="0" t="n">
        <v>9</v>
      </c>
      <c r="G220" s="0" t="b">
        <f aca="false">FALSE()</f>
        <v>0</v>
      </c>
      <c r="H220" s="0" t="n">
        <v>1</v>
      </c>
      <c r="I220" s="0" t="n">
        <v>2</v>
      </c>
      <c r="J220" s="0" t="n">
        <v>0.14</v>
      </c>
    </row>
    <row r="221" customFormat="false" ht="15" hidden="false" customHeight="false" outlineLevel="0" collapsed="false">
      <c r="A221" s="0" t="n">
        <v>220</v>
      </c>
      <c r="B221" s="0" t="s">
        <v>86</v>
      </c>
      <c r="C221" s="0" t="n">
        <v>1</v>
      </c>
      <c r="D221" s="0" t="n">
        <v>0</v>
      </c>
      <c r="E221" s="0" t="n">
        <v>1</v>
      </c>
      <c r="F221" s="0" t="n">
        <v>10</v>
      </c>
      <c r="G221" s="0" t="b">
        <f aca="false">FALSE()</f>
        <v>0</v>
      </c>
      <c r="H221" s="0" t="n">
        <v>1</v>
      </c>
      <c r="I221" s="0" t="n">
        <v>2</v>
      </c>
      <c r="J221" s="0" t="n">
        <v>0.14</v>
      </c>
    </row>
    <row r="222" customFormat="false" ht="15" hidden="false" customHeight="false" outlineLevel="0" collapsed="false">
      <c r="A222" s="0" t="n">
        <v>221</v>
      </c>
      <c r="B222" s="0" t="s">
        <v>86</v>
      </c>
      <c r="C222" s="0" t="n">
        <v>1</v>
      </c>
      <c r="D222" s="0" t="n">
        <v>0</v>
      </c>
      <c r="E222" s="0" t="n">
        <v>1</v>
      </c>
      <c r="F222" s="0" t="n">
        <v>11</v>
      </c>
      <c r="G222" s="0" t="b">
        <f aca="false">FALSE()</f>
        <v>0</v>
      </c>
      <c r="H222" s="0" t="n">
        <v>1</v>
      </c>
      <c r="I222" s="0" t="n">
        <v>2</v>
      </c>
      <c r="J222" s="0" t="n">
        <v>0.16</v>
      </c>
    </row>
    <row r="223" customFormat="false" ht="15" hidden="false" customHeight="false" outlineLevel="0" collapsed="false">
      <c r="A223" s="0" t="n">
        <v>222</v>
      </c>
      <c r="B223" s="0" t="s">
        <v>86</v>
      </c>
      <c r="C223" s="0" t="n">
        <v>1</v>
      </c>
      <c r="D223" s="0" t="n">
        <v>0</v>
      </c>
      <c r="E223" s="0" t="n">
        <v>1</v>
      </c>
      <c r="F223" s="0" t="n">
        <v>12</v>
      </c>
      <c r="G223" s="0" t="b">
        <f aca="false">FALSE()</f>
        <v>0</v>
      </c>
      <c r="H223" s="0" t="n">
        <v>1</v>
      </c>
      <c r="I223" s="0" t="n">
        <v>2</v>
      </c>
      <c r="J223" s="0" t="n">
        <v>0.2</v>
      </c>
    </row>
    <row r="224" customFormat="false" ht="15" hidden="false" customHeight="false" outlineLevel="0" collapsed="false">
      <c r="A224" s="0" t="n">
        <v>223</v>
      </c>
      <c r="B224" s="0" t="s">
        <v>86</v>
      </c>
      <c r="C224" s="0" t="n">
        <v>1</v>
      </c>
      <c r="D224" s="0" t="n">
        <v>0</v>
      </c>
      <c r="E224" s="0" t="n">
        <v>1</v>
      </c>
      <c r="F224" s="0" t="n">
        <v>13</v>
      </c>
      <c r="G224" s="0" t="b">
        <f aca="false">FALSE()</f>
        <v>0</v>
      </c>
      <c r="H224" s="0" t="n">
        <v>1</v>
      </c>
      <c r="I224" s="0" t="n">
        <v>2</v>
      </c>
      <c r="J224" s="0" t="n">
        <v>0.2</v>
      </c>
    </row>
    <row r="225" customFormat="false" ht="15" hidden="false" customHeight="false" outlineLevel="0" collapsed="false">
      <c r="A225" s="0" t="n">
        <v>224</v>
      </c>
      <c r="B225" s="0" t="s">
        <v>86</v>
      </c>
      <c r="C225" s="0" t="n">
        <v>1</v>
      </c>
      <c r="D225" s="0" t="n">
        <v>0</v>
      </c>
      <c r="E225" s="0" t="n">
        <v>1</v>
      </c>
      <c r="F225" s="0" t="n">
        <v>14</v>
      </c>
      <c r="G225" s="0" t="b">
        <f aca="false">FALSE()</f>
        <v>0</v>
      </c>
      <c r="H225" s="0" t="n">
        <v>1</v>
      </c>
      <c r="I225" s="0" t="n">
        <v>2</v>
      </c>
      <c r="J225" s="0" t="n">
        <v>0.2</v>
      </c>
    </row>
    <row r="226" customFormat="false" ht="15" hidden="false" customHeight="false" outlineLevel="0" collapsed="false">
      <c r="A226" s="0" t="n">
        <v>225</v>
      </c>
      <c r="B226" s="0" t="s">
        <v>86</v>
      </c>
      <c r="C226" s="0" t="n">
        <v>1</v>
      </c>
      <c r="D226" s="0" t="n">
        <v>0</v>
      </c>
      <c r="E226" s="0" t="n">
        <v>1</v>
      </c>
      <c r="F226" s="0" t="n">
        <v>15</v>
      </c>
      <c r="G226" s="0" t="b">
        <f aca="false">FALSE()</f>
        <v>0</v>
      </c>
      <c r="H226" s="0" t="n">
        <v>1</v>
      </c>
      <c r="I226" s="0" t="n">
        <v>2</v>
      </c>
      <c r="J226" s="0" t="n">
        <v>0.2</v>
      </c>
    </row>
    <row r="227" customFormat="false" ht="15" hidden="false" customHeight="false" outlineLevel="0" collapsed="false">
      <c r="A227" s="0" t="n">
        <v>226</v>
      </c>
      <c r="B227" s="0" t="s">
        <v>86</v>
      </c>
      <c r="C227" s="0" t="n">
        <v>1</v>
      </c>
      <c r="D227" s="0" t="n">
        <v>0</v>
      </c>
      <c r="E227" s="0" t="n">
        <v>1</v>
      </c>
      <c r="F227" s="0" t="n">
        <v>16</v>
      </c>
      <c r="G227" s="0" t="b">
        <f aca="false">FALSE()</f>
        <v>0</v>
      </c>
      <c r="H227" s="0" t="n">
        <v>1</v>
      </c>
      <c r="I227" s="0" t="n">
        <v>1</v>
      </c>
      <c r="J227" s="0" t="n">
        <v>0.2</v>
      </c>
    </row>
    <row r="228" customFormat="false" ht="15" hidden="false" customHeight="false" outlineLevel="0" collapsed="false">
      <c r="A228" s="0" t="n">
        <v>227</v>
      </c>
      <c r="B228" s="0" t="s">
        <v>86</v>
      </c>
      <c r="C228" s="0" t="n">
        <v>1</v>
      </c>
      <c r="D228" s="0" t="n">
        <v>0</v>
      </c>
      <c r="E228" s="0" t="n">
        <v>1</v>
      </c>
      <c r="F228" s="0" t="n">
        <v>17</v>
      </c>
      <c r="G228" s="0" t="b">
        <f aca="false">FALSE()</f>
        <v>0</v>
      </c>
      <c r="H228" s="0" t="n">
        <v>1</v>
      </c>
      <c r="I228" s="0" t="n">
        <v>1</v>
      </c>
      <c r="J228" s="0" t="n">
        <v>0.2</v>
      </c>
    </row>
    <row r="229" customFormat="false" ht="15" hidden="false" customHeight="false" outlineLevel="0" collapsed="false">
      <c r="A229" s="0" t="n">
        <v>228</v>
      </c>
      <c r="B229" s="0" t="s">
        <v>86</v>
      </c>
      <c r="C229" s="0" t="n">
        <v>1</v>
      </c>
      <c r="D229" s="0" t="n">
        <v>0</v>
      </c>
      <c r="E229" s="0" t="n">
        <v>1</v>
      </c>
      <c r="F229" s="0" t="n">
        <v>18</v>
      </c>
      <c r="G229" s="0" t="b">
        <f aca="false">FALSE()</f>
        <v>0</v>
      </c>
      <c r="H229" s="0" t="n">
        <v>1</v>
      </c>
      <c r="I229" s="0" t="n">
        <v>1</v>
      </c>
      <c r="J229" s="0" t="n">
        <v>0.2</v>
      </c>
    </row>
    <row r="230" customFormat="false" ht="15" hidden="false" customHeight="false" outlineLevel="0" collapsed="false">
      <c r="A230" s="0" t="n">
        <v>229</v>
      </c>
      <c r="B230" s="0" t="s">
        <v>86</v>
      </c>
      <c r="C230" s="0" t="n">
        <v>1</v>
      </c>
      <c r="D230" s="0" t="n">
        <v>0</v>
      </c>
      <c r="E230" s="0" t="n">
        <v>1</v>
      </c>
      <c r="F230" s="0" t="n">
        <v>19</v>
      </c>
      <c r="G230" s="0" t="b">
        <f aca="false">FALSE()</f>
        <v>0</v>
      </c>
      <c r="H230" s="0" t="n">
        <v>1</v>
      </c>
      <c r="I230" s="0" t="n">
        <v>1</v>
      </c>
      <c r="J230" s="0" t="n">
        <v>0.16</v>
      </c>
    </row>
    <row r="231" customFormat="false" ht="15" hidden="false" customHeight="false" outlineLevel="0" collapsed="false">
      <c r="A231" s="0" t="n">
        <v>230</v>
      </c>
      <c r="B231" s="0" t="s">
        <v>86</v>
      </c>
      <c r="C231" s="0" t="n">
        <v>1</v>
      </c>
      <c r="D231" s="0" t="n">
        <v>0</v>
      </c>
      <c r="E231" s="0" t="n">
        <v>1</v>
      </c>
      <c r="F231" s="0" t="n">
        <v>20</v>
      </c>
      <c r="G231" s="0" t="b">
        <f aca="false">FALSE()</f>
        <v>0</v>
      </c>
      <c r="H231" s="0" t="n">
        <v>1</v>
      </c>
      <c r="I231" s="0" t="n">
        <v>1</v>
      </c>
      <c r="J231" s="0" t="n">
        <v>0.16</v>
      </c>
    </row>
    <row r="232" customFormat="false" ht="15" hidden="false" customHeight="false" outlineLevel="0" collapsed="false">
      <c r="A232" s="0" t="n">
        <v>231</v>
      </c>
      <c r="B232" s="0" t="s">
        <v>86</v>
      </c>
      <c r="C232" s="0" t="n">
        <v>1</v>
      </c>
      <c r="D232" s="0" t="n">
        <v>0</v>
      </c>
      <c r="E232" s="0" t="n">
        <v>1</v>
      </c>
      <c r="F232" s="0" t="n">
        <v>21</v>
      </c>
      <c r="G232" s="0" t="b">
        <f aca="false">FALSE()</f>
        <v>0</v>
      </c>
      <c r="H232" s="0" t="n">
        <v>1</v>
      </c>
      <c r="I232" s="0" t="n">
        <v>1</v>
      </c>
      <c r="J232" s="0" t="n">
        <v>0.14</v>
      </c>
    </row>
    <row r="233" customFormat="false" ht="15" hidden="false" customHeight="false" outlineLevel="0" collapsed="false">
      <c r="A233" s="0" t="n">
        <v>232</v>
      </c>
      <c r="B233" s="0" t="s">
        <v>86</v>
      </c>
      <c r="C233" s="0" t="n">
        <v>1</v>
      </c>
      <c r="D233" s="0" t="n">
        <v>0</v>
      </c>
      <c r="E233" s="0" t="n">
        <v>1</v>
      </c>
      <c r="F233" s="0" t="n">
        <v>22</v>
      </c>
      <c r="G233" s="0" t="b">
        <f aca="false">FALSE()</f>
        <v>0</v>
      </c>
      <c r="H233" s="0" t="n">
        <v>1</v>
      </c>
      <c r="I233" s="0" t="n">
        <v>1</v>
      </c>
      <c r="J233" s="0" t="n">
        <v>0.14</v>
      </c>
    </row>
    <row r="234" customFormat="false" ht="15" hidden="false" customHeight="false" outlineLevel="0" collapsed="false">
      <c r="A234" s="0" t="n">
        <v>233</v>
      </c>
      <c r="B234" s="0" t="s">
        <v>86</v>
      </c>
      <c r="C234" s="0" t="n">
        <v>1</v>
      </c>
      <c r="D234" s="0" t="n">
        <v>0</v>
      </c>
      <c r="E234" s="0" t="n">
        <v>1</v>
      </c>
      <c r="F234" s="0" t="n">
        <v>23</v>
      </c>
      <c r="G234" s="0" t="b">
        <f aca="false">FALSE()</f>
        <v>0</v>
      </c>
      <c r="H234" s="0" t="n">
        <v>1</v>
      </c>
      <c r="I234" s="0" t="n">
        <v>1</v>
      </c>
      <c r="J234" s="0" t="n">
        <v>0.14</v>
      </c>
    </row>
    <row r="235" customFormat="false" ht="15" hidden="false" customHeight="false" outlineLevel="0" collapsed="false">
      <c r="A235" s="0" t="n">
        <v>234</v>
      </c>
      <c r="B235" s="0" t="s">
        <v>87</v>
      </c>
      <c r="C235" s="0" t="n">
        <v>1</v>
      </c>
      <c r="D235" s="0" t="n">
        <v>0</v>
      </c>
      <c r="E235" s="0" t="n">
        <v>1</v>
      </c>
      <c r="F235" s="0" t="n">
        <v>0</v>
      </c>
      <c r="G235" s="0" t="b">
        <f aca="false">FALSE()</f>
        <v>0</v>
      </c>
      <c r="H235" s="0" t="n">
        <v>2</v>
      </c>
      <c r="I235" s="0" t="n">
        <v>1</v>
      </c>
      <c r="J235" s="0" t="n">
        <v>0.14</v>
      </c>
    </row>
    <row r="236" customFormat="false" ht="15" hidden="false" customHeight="false" outlineLevel="0" collapsed="false">
      <c r="A236" s="0" t="n">
        <v>235</v>
      </c>
      <c r="B236" s="0" t="s">
        <v>87</v>
      </c>
      <c r="C236" s="0" t="n">
        <v>1</v>
      </c>
      <c r="D236" s="0" t="n">
        <v>0</v>
      </c>
      <c r="E236" s="0" t="n">
        <v>1</v>
      </c>
      <c r="F236" s="0" t="n">
        <v>1</v>
      </c>
      <c r="G236" s="0" t="b">
        <f aca="false">FALSE()</f>
        <v>0</v>
      </c>
      <c r="H236" s="0" t="n">
        <v>2</v>
      </c>
      <c r="I236" s="0" t="n">
        <v>1</v>
      </c>
      <c r="J236" s="0" t="n">
        <v>0.14</v>
      </c>
    </row>
    <row r="237" customFormat="false" ht="15" hidden="false" customHeight="false" outlineLevel="0" collapsed="false">
      <c r="A237" s="0" t="n">
        <v>236</v>
      </c>
      <c r="B237" s="0" t="s">
        <v>87</v>
      </c>
      <c r="C237" s="0" t="n">
        <v>1</v>
      </c>
      <c r="D237" s="0" t="n">
        <v>0</v>
      </c>
      <c r="E237" s="0" t="n">
        <v>1</v>
      </c>
      <c r="F237" s="0" t="n">
        <v>2</v>
      </c>
      <c r="G237" s="0" t="b">
        <f aca="false">FALSE()</f>
        <v>0</v>
      </c>
      <c r="H237" s="0" t="n">
        <v>2</v>
      </c>
      <c r="I237" s="0" t="n">
        <v>2</v>
      </c>
      <c r="J237" s="0" t="n">
        <v>0.16</v>
      </c>
    </row>
    <row r="238" customFormat="false" ht="15" hidden="false" customHeight="false" outlineLevel="0" collapsed="false">
      <c r="A238" s="0" t="n">
        <v>237</v>
      </c>
      <c r="B238" s="0" t="s">
        <v>87</v>
      </c>
      <c r="C238" s="0" t="n">
        <v>1</v>
      </c>
      <c r="D238" s="0" t="n">
        <v>0</v>
      </c>
      <c r="E238" s="0" t="n">
        <v>1</v>
      </c>
      <c r="F238" s="0" t="n">
        <v>5</v>
      </c>
      <c r="G238" s="0" t="b">
        <f aca="false">FALSE()</f>
        <v>0</v>
      </c>
      <c r="H238" s="0" t="n">
        <v>2</v>
      </c>
      <c r="I238" s="0" t="n">
        <v>2</v>
      </c>
      <c r="J238" s="0" t="n">
        <v>0.16</v>
      </c>
    </row>
    <row r="239" customFormat="false" ht="15" hidden="false" customHeight="false" outlineLevel="0" collapsed="false">
      <c r="A239" s="0" t="n">
        <v>238</v>
      </c>
      <c r="B239" s="0" t="s">
        <v>87</v>
      </c>
      <c r="C239" s="0" t="n">
        <v>1</v>
      </c>
      <c r="D239" s="0" t="n">
        <v>0</v>
      </c>
      <c r="E239" s="0" t="n">
        <v>1</v>
      </c>
      <c r="F239" s="0" t="n">
        <v>6</v>
      </c>
      <c r="G239" s="0" t="b">
        <f aca="false">FALSE()</f>
        <v>0</v>
      </c>
      <c r="H239" s="0" t="n">
        <v>2</v>
      </c>
      <c r="I239" s="0" t="n">
        <v>2</v>
      </c>
      <c r="J239" s="0" t="n">
        <v>0.16</v>
      </c>
    </row>
    <row r="240" customFormat="false" ht="15" hidden="false" customHeight="false" outlineLevel="0" collapsed="false">
      <c r="A240" s="0" t="n">
        <v>239</v>
      </c>
      <c r="B240" s="0" t="s">
        <v>87</v>
      </c>
      <c r="C240" s="0" t="n">
        <v>1</v>
      </c>
      <c r="D240" s="0" t="n">
        <v>0</v>
      </c>
      <c r="E240" s="0" t="n">
        <v>1</v>
      </c>
      <c r="F240" s="0" t="n">
        <v>7</v>
      </c>
      <c r="G240" s="0" t="b">
        <f aca="false">FALSE()</f>
        <v>0</v>
      </c>
      <c r="H240" s="0" t="n">
        <v>2</v>
      </c>
      <c r="I240" s="0" t="n">
        <v>2</v>
      </c>
      <c r="J240" s="0" t="n">
        <v>0.16</v>
      </c>
    </row>
    <row r="241" customFormat="false" ht="15" hidden="false" customHeight="false" outlineLevel="0" collapsed="false">
      <c r="A241" s="0" t="n">
        <v>240</v>
      </c>
      <c r="B241" s="0" t="s">
        <v>87</v>
      </c>
      <c r="C241" s="0" t="n">
        <v>1</v>
      </c>
      <c r="D241" s="0" t="n">
        <v>0</v>
      </c>
      <c r="E241" s="0" t="n">
        <v>1</v>
      </c>
      <c r="F241" s="0" t="n">
        <v>8</v>
      </c>
      <c r="G241" s="0" t="b">
        <f aca="false">FALSE()</f>
        <v>0</v>
      </c>
      <c r="H241" s="0" t="n">
        <v>2</v>
      </c>
      <c r="I241" s="0" t="n">
        <v>2</v>
      </c>
      <c r="J241" s="0" t="n">
        <v>0.18</v>
      </c>
    </row>
    <row r="242" customFormat="false" ht="15" hidden="false" customHeight="false" outlineLevel="0" collapsed="false">
      <c r="A242" s="0" t="n">
        <v>241</v>
      </c>
      <c r="B242" s="0" t="s">
        <v>87</v>
      </c>
      <c r="C242" s="0" t="n">
        <v>1</v>
      </c>
      <c r="D242" s="0" t="n">
        <v>0</v>
      </c>
      <c r="E242" s="0" t="n">
        <v>1</v>
      </c>
      <c r="F242" s="0" t="n">
        <v>9</v>
      </c>
      <c r="G242" s="0" t="b">
        <f aca="false">FALSE()</f>
        <v>0</v>
      </c>
      <c r="H242" s="0" t="n">
        <v>2</v>
      </c>
      <c r="I242" s="0" t="n">
        <v>2</v>
      </c>
      <c r="J242" s="0" t="n">
        <v>0.18</v>
      </c>
    </row>
    <row r="243" customFormat="false" ht="15" hidden="false" customHeight="false" outlineLevel="0" collapsed="false">
      <c r="A243" s="0" t="n">
        <v>242</v>
      </c>
      <c r="B243" s="0" t="s">
        <v>87</v>
      </c>
      <c r="C243" s="0" t="n">
        <v>1</v>
      </c>
      <c r="D243" s="0" t="n">
        <v>0</v>
      </c>
      <c r="E243" s="0" t="n">
        <v>1</v>
      </c>
      <c r="F243" s="0" t="n">
        <v>10</v>
      </c>
      <c r="G243" s="0" t="b">
        <f aca="false">FALSE()</f>
        <v>0</v>
      </c>
      <c r="H243" s="0" t="n">
        <v>2</v>
      </c>
      <c r="I243" s="0" t="n">
        <v>2</v>
      </c>
      <c r="J243" s="0" t="n">
        <v>0.2</v>
      </c>
    </row>
    <row r="244" customFormat="false" ht="15" hidden="false" customHeight="false" outlineLevel="0" collapsed="false">
      <c r="A244" s="0" t="n">
        <v>243</v>
      </c>
      <c r="B244" s="0" t="s">
        <v>87</v>
      </c>
      <c r="C244" s="0" t="n">
        <v>1</v>
      </c>
      <c r="D244" s="0" t="n">
        <v>0</v>
      </c>
      <c r="E244" s="0" t="n">
        <v>1</v>
      </c>
      <c r="F244" s="0" t="n">
        <v>11</v>
      </c>
      <c r="G244" s="0" t="b">
        <f aca="false">FALSE()</f>
        <v>0</v>
      </c>
      <c r="H244" s="0" t="n">
        <v>2</v>
      </c>
      <c r="I244" s="0" t="n">
        <v>2</v>
      </c>
      <c r="J244" s="0" t="n">
        <v>0.2</v>
      </c>
    </row>
    <row r="245" customFormat="false" ht="15" hidden="false" customHeight="false" outlineLevel="0" collapsed="false">
      <c r="A245" s="0" t="n">
        <v>244</v>
      </c>
      <c r="B245" s="0" t="s">
        <v>87</v>
      </c>
      <c r="C245" s="0" t="n">
        <v>1</v>
      </c>
      <c r="D245" s="0" t="n">
        <v>0</v>
      </c>
      <c r="E245" s="0" t="n">
        <v>1</v>
      </c>
      <c r="F245" s="0" t="n">
        <v>12</v>
      </c>
      <c r="G245" s="0" t="b">
        <f aca="false">FALSE()</f>
        <v>0</v>
      </c>
      <c r="H245" s="0" t="n">
        <v>2</v>
      </c>
      <c r="I245" s="0" t="n">
        <v>2</v>
      </c>
      <c r="J245" s="0" t="n">
        <v>0.2</v>
      </c>
    </row>
    <row r="246" customFormat="false" ht="15" hidden="false" customHeight="false" outlineLevel="0" collapsed="false">
      <c r="A246" s="0" t="n">
        <v>245</v>
      </c>
      <c r="B246" s="0" t="s">
        <v>87</v>
      </c>
      <c r="C246" s="0" t="n">
        <v>1</v>
      </c>
      <c r="D246" s="0" t="n">
        <v>0</v>
      </c>
      <c r="E246" s="0" t="n">
        <v>1</v>
      </c>
      <c r="F246" s="0" t="n">
        <v>13</v>
      </c>
      <c r="G246" s="0" t="b">
        <f aca="false">FALSE()</f>
        <v>0</v>
      </c>
      <c r="H246" s="0" t="n">
        <v>2</v>
      </c>
      <c r="I246" s="0" t="n">
        <v>2</v>
      </c>
      <c r="J246" s="0" t="n">
        <v>0.2</v>
      </c>
    </row>
    <row r="247" customFormat="false" ht="15" hidden="false" customHeight="false" outlineLevel="0" collapsed="false">
      <c r="A247" s="0" t="n">
        <v>246</v>
      </c>
      <c r="B247" s="0" t="s">
        <v>87</v>
      </c>
      <c r="C247" s="0" t="n">
        <v>1</v>
      </c>
      <c r="D247" s="0" t="n">
        <v>0</v>
      </c>
      <c r="E247" s="0" t="n">
        <v>1</v>
      </c>
      <c r="F247" s="0" t="n">
        <v>14</v>
      </c>
      <c r="G247" s="0" t="b">
        <f aca="false">FALSE()</f>
        <v>0</v>
      </c>
      <c r="H247" s="0" t="n">
        <v>2</v>
      </c>
      <c r="I247" s="0" t="n">
        <v>2</v>
      </c>
      <c r="J247" s="0" t="n">
        <v>0.2</v>
      </c>
    </row>
    <row r="248" customFormat="false" ht="15" hidden="false" customHeight="false" outlineLevel="0" collapsed="false">
      <c r="A248" s="0" t="n">
        <v>247</v>
      </c>
      <c r="B248" s="0" t="s">
        <v>87</v>
      </c>
      <c r="C248" s="0" t="n">
        <v>1</v>
      </c>
      <c r="D248" s="0" t="n">
        <v>0</v>
      </c>
      <c r="E248" s="0" t="n">
        <v>1</v>
      </c>
      <c r="F248" s="0" t="n">
        <v>15</v>
      </c>
      <c r="G248" s="0" t="b">
        <f aca="false">FALSE()</f>
        <v>0</v>
      </c>
      <c r="H248" s="0" t="n">
        <v>2</v>
      </c>
      <c r="I248" s="0" t="n">
        <v>2</v>
      </c>
      <c r="J248" s="0" t="n">
        <v>0.16</v>
      </c>
    </row>
    <row r="249" customFormat="false" ht="15" hidden="false" customHeight="false" outlineLevel="0" collapsed="false">
      <c r="A249" s="0" t="n">
        <v>248</v>
      </c>
      <c r="B249" s="0" t="s">
        <v>87</v>
      </c>
      <c r="C249" s="0" t="n">
        <v>1</v>
      </c>
      <c r="D249" s="0" t="n">
        <v>0</v>
      </c>
      <c r="E249" s="0" t="n">
        <v>1</v>
      </c>
      <c r="F249" s="0" t="n">
        <v>16</v>
      </c>
      <c r="G249" s="0" t="b">
        <f aca="false">FALSE()</f>
        <v>0</v>
      </c>
      <c r="H249" s="0" t="n">
        <v>2</v>
      </c>
      <c r="I249" s="0" t="n">
        <v>2</v>
      </c>
      <c r="J249" s="0" t="n">
        <v>0.16</v>
      </c>
    </row>
    <row r="250" customFormat="false" ht="15" hidden="false" customHeight="false" outlineLevel="0" collapsed="false">
      <c r="A250" s="0" t="n">
        <v>249</v>
      </c>
      <c r="B250" s="0" t="s">
        <v>87</v>
      </c>
      <c r="C250" s="0" t="n">
        <v>1</v>
      </c>
      <c r="D250" s="0" t="n">
        <v>0</v>
      </c>
      <c r="E250" s="0" t="n">
        <v>1</v>
      </c>
      <c r="F250" s="0" t="n">
        <v>17</v>
      </c>
      <c r="G250" s="0" t="b">
        <f aca="false">FALSE()</f>
        <v>0</v>
      </c>
      <c r="H250" s="0" t="n">
        <v>2</v>
      </c>
      <c r="I250" s="0" t="n">
        <v>2</v>
      </c>
      <c r="J250" s="0" t="n">
        <v>0.16</v>
      </c>
    </row>
    <row r="251" customFormat="false" ht="15" hidden="false" customHeight="false" outlineLevel="0" collapsed="false">
      <c r="A251" s="0" t="n">
        <v>250</v>
      </c>
      <c r="B251" s="0" t="s">
        <v>87</v>
      </c>
      <c r="C251" s="0" t="n">
        <v>1</v>
      </c>
      <c r="D251" s="0" t="n">
        <v>0</v>
      </c>
      <c r="E251" s="0" t="n">
        <v>1</v>
      </c>
      <c r="F251" s="0" t="n">
        <v>18</v>
      </c>
      <c r="G251" s="0" t="b">
        <f aca="false">FALSE()</f>
        <v>0</v>
      </c>
      <c r="H251" s="0" t="n">
        <v>2</v>
      </c>
      <c r="I251" s="0" t="n">
        <v>3</v>
      </c>
      <c r="J251" s="0" t="n">
        <v>0.16</v>
      </c>
    </row>
    <row r="252" customFormat="false" ht="15" hidden="false" customHeight="false" outlineLevel="0" collapsed="false">
      <c r="A252" s="0" t="n">
        <v>251</v>
      </c>
      <c r="B252" s="0" t="s">
        <v>87</v>
      </c>
      <c r="C252" s="0" t="n">
        <v>1</v>
      </c>
      <c r="D252" s="0" t="n">
        <v>0</v>
      </c>
      <c r="E252" s="0" t="n">
        <v>1</v>
      </c>
      <c r="F252" s="0" t="n">
        <v>19</v>
      </c>
      <c r="G252" s="0" t="b">
        <f aca="false">FALSE()</f>
        <v>0</v>
      </c>
      <c r="H252" s="0" t="n">
        <v>2</v>
      </c>
      <c r="I252" s="0" t="n">
        <v>3</v>
      </c>
      <c r="J252" s="0" t="n">
        <v>0.16</v>
      </c>
    </row>
    <row r="253" customFormat="false" ht="15" hidden="false" customHeight="false" outlineLevel="0" collapsed="false">
      <c r="A253" s="0" t="n">
        <v>252</v>
      </c>
      <c r="B253" s="0" t="s">
        <v>87</v>
      </c>
      <c r="C253" s="0" t="n">
        <v>1</v>
      </c>
      <c r="D253" s="0" t="n">
        <v>0</v>
      </c>
      <c r="E253" s="0" t="n">
        <v>1</v>
      </c>
      <c r="F253" s="0" t="n">
        <v>20</v>
      </c>
      <c r="G253" s="0" t="b">
        <f aca="false">FALSE()</f>
        <v>0</v>
      </c>
      <c r="H253" s="0" t="n">
        <v>2</v>
      </c>
      <c r="I253" s="0" t="n">
        <v>3</v>
      </c>
      <c r="J253" s="0" t="n">
        <v>0.16</v>
      </c>
    </row>
    <row r="254" customFormat="false" ht="15" hidden="false" customHeight="false" outlineLevel="0" collapsed="false">
      <c r="A254" s="0" t="n">
        <v>253</v>
      </c>
      <c r="B254" s="0" t="s">
        <v>87</v>
      </c>
      <c r="C254" s="0" t="n">
        <v>1</v>
      </c>
      <c r="D254" s="0" t="n">
        <v>0</v>
      </c>
      <c r="E254" s="0" t="n">
        <v>1</v>
      </c>
      <c r="F254" s="0" t="n">
        <v>21</v>
      </c>
      <c r="G254" s="0" t="b">
        <f aca="false">FALSE()</f>
        <v>0</v>
      </c>
      <c r="H254" s="0" t="n">
        <v>2</v>
      </c>
      <c r="I254" s="0" t="n">
        <v>3</v>
      </c>
      <c r="J254" s="0" t="n">
        <v>0.16</v>
      </c>
    </row>
    <row r="255" customFormat="false" ht="15" hidden="false" customHeight="false" outlineLevel="0" collapsed="false">
      <c r="A255" s="0" t="n">
        <v>254</v>
      </c>
      <c r="B255" s="0" t="s">
        <v>87</v>
      </c>
      <c r="C255" s="0" t="n">
        <v>1</v>
      </c>
      <c r="D255" s="0" t="n">
        <v>0</v>
      </c>
      <c r="E255" s="0" t="n">
        <v>1</v>
      </c>
      <c r="F255" s="0" t="n">
        <v>22</v>
      </c>
      <c r="G255" s="0" t="b">
        <f aca="false">FALSE()</f>
        <v>0</v>
      </c>
      <c r="H255" s="0" t="n">
        <v>2</v>
      </c>
      <c r="I255" s="0" t="n">
        <v>3</v>
      </c>
      <c r="J255" s="0" t="n">
        <v>0.16</v>
      </c>
    </row>
    <row r="256" customFormat="false" ht="15" hidden="false" customHeight="false" outlineLevel="0" collapsed="false">
      <c r="A256" s="0" t="n">
        <v>255</v>
      </c>
      <c r="B256" s="0" t="s">
        <v>87</v>
      </c>
      <c r="C256" s="0" t="n">
        <v>1</v>
      </c>
      <c r="D256" s="0" t="n">
        <v>0</v>
      </c>
      <c r="E256" s="0" t="n">
        <v>1</v>
      </c>
      <c r="F256" s="0" t="n">
        <v>23</v>
      </c>
      <c r="G256" s="0" t="b">
        <f aca="false">FALSE()</f>
        <v>0</v>
      </c>
      <c r="H256" s="0" t="n">
        <v>2</v>
      </c>
      <c r="I256" s="0" t="n">
        <v>3</v>
      </c>
      <c r="J256" s="0" t="n">
        <v>0.16</v>
      </c>
    </row>
    <row r="257" customFormat="false" ht="15" hidden="false" customHeight="false" outlineLevel="0" collapsed="false">
      <c r="A257" s="0" t="n">
        <v>256</v>
      </c>
      <c r="B257" s="0" t="s">
        <v>88</v>
      </c>
      <c r="C257" s="0" t="n">
        <v>1</v>
      </c>
      <c r="D257" s="0" t="n">
        <v>0</v>
      </c>
      <c r="E257" s="0" t="n">
        <v>1</v>
      </c>
      <c r="F257" s="0" t="n">
        <v>0</v>
      </c>
      <c r="G257" s="0" t="b">
        <f aca="false">FALSE()</f>
        <v>0</v>
      </c>
      <c r="H257" s="0" t="n">
        <v>3</v>
      </c>
      <c r="I257" s="0" t="n">
        <v>2</v>
      </c>
      <c r="J257" s="0" t="n">
        <v>0.16</v>
      </c>
    </row>
    <row r="258" customFormat="false" ht="15" hidden="false" customHeight="false" outlineLevel="0" collapsed="false">
      <c r="A258" s="0" t="n">
        <v>257</v>
      </c>
      <c r="B258" s="0" t="s">
        <v>88</v>
      </c>
      <c r="C258" s="0" t="n">
        <v>1</v>
      </c>
      <c r="D258" s="0" t="n">
        <v>0</v>
      </c>
      <c r="E258" s="0" t="n">
        <v>1</v>
      </c>
      <c r="F258" s="0" t="n">
        <v>1</v>
      </c>
      <c r="G258" s="0" t="b">
        <f aca="false">FALSE()</f>
        <v>0</v>
      </c>
      <c r="H258" s="0" t="n">
        <v>3</v>
      </c>
      <c r="I258" s="0" t="n">
        <v>2</v>
      </c>
      <c r="J258" s="0" t="n">
        <v>0.16</v>
      </c>
    </row>
    <row r="259" customFormat="false" ht="15" hidden="false" customHeight="false" outlineLevel="0" collapsed="false">
      <c r="A259" s="0" t="n">
        <v>258</v>
      </c>
      <c r="B259" s="0" t="s">
        <v>88</v>
      </c>
      <c r="C259" s="0" t="n">
        <v>1</v>
      </c>
      <c r="D259" s="0" t="n">
        <v>0</v>
      </c>
      <c r="E259" s="0" t="n">
        <v>1</v>
      </c>
      <c r="F259" s="0" t="n">
        <v>2</v>
      </c>
      <c r="G259" s="0" t="b">
        <f aca="false">FALSE()</f>
        <v>0</v>
      </c>
      <c r="H259" s="0" t="n">
        <v>3</v>
      </c>
      <c r="I259" s="0" t="n">
        <v>1</v>
      </c>
      <c r="J259" s="0" t="n">
        <v>0.14</v>
      </c>
    </row>
    <row r="260" customFormat="false" ht="15" hidden="false" customHeight="false" outlineLevel="0" collapsed="false">
      <c r="A260" s="0" t="n">
        <v>259</v>
      </c>
      <c r="B260" s="0" t="s">
        <v>88</v>
      </c>
      <c r="C260" s="0" t="n">
        <v>1</v>
      </c>
      <c r="D260" s="0" t="n">
        <v>0</v>
      </c>
      <c r="E260" s="0" t="n">
        <v>1</v>
      </c>
      <c r="F260" s="0" t="n">
        <v>5</v>
      </c>
      <c r="G260" s="0" t="b">
        <f aca="false">FALSE()</f>
        <v>0</v>
      </c>
      <c r="H260" s="0" t="n">
        <v>3</v>
      </c>
      <c r="I260" s="0" t="n">
        <v>1</v>
      </c>
      <c r="J260" s="0" t="n">
        <v>0.14</v>
      </c>
    </row>
    <row r="261" customFormat="false" ht="15" hidden="false" customHeight="false" outlineLevel="0" collapsed="false">
      <c r="A261" s="0" t="n">
        <v>260</v>
      </c>
      <c r="B261" s="0" t="s">
        <v>88</v>
      </c>
      <c r="C261" s="0" t="n">
        <v>1</v>
      </c>
      <c r="D261" s="0" t="n">
        <v>0</v>
      </c>
      <c r="E261" s="0" t="n">
        <v>1</v>
      </c>
      <c r="F261" s="0" t="n">
        <v>6</v>
      </c>
      <c r="G261" s="0" t="b">
        <f aca="false">FALSE()</f>
        <v>0</v>
      </c>
      <c r="H261" s="0" t="n">
        <v>3</v>
      </c>
      <c r="I261" s="0" t="n">
        <v>1</v>
      </c>
      <c r="J261" s="0" t="n">
        <v>0.12</v>
      </c>
    </row>
    <row r="262" customFormat="false" ht="15" hidden="false" customHeight="false" outlineLevel="0" collapsed="false">
      <c r="A262" s="0" t="n">
        <v>261</v>
      </c>
      <c r="B262" s="0" t="s">
        <v>88</v>
      </c>
      <c r="C262" s="0" t="n">
        <v>1</v>
      </c>
      <c r="D262" s="0" t="n">
        <v>0</v>
      </c>
      <c r="E262" s="0" t="n">
        <v>1</v>
      </c>
      <c r="F262" s="0" t="n">
        <v>7</v>
      </c>
      <c r="G262" s="0" t="b">
        <f aca="false">FALSE()</f>
        <v>0</v>
      </c>
      <c r="H262" s="0" t="n">
        <v>3</v>
      </c>
      <c r="I262" s="0" t="n">
        <v>1</v>
      </c>
      <c r="J262" s="0" t="n">
        <v>0.14</v>
      </c>
    </row>
    <row r="263" customFormat="false" ht="15" hidden="false" customHeight="false" outlineLevel="0" collapsed="false">
      <c r="A263" s="0" t="n">
        <v>262</v>
      </c>
      <c r="B263" s="0" t="s">
        <v>88</v>
      </c>
      <c r="C263" s="0" t="n">
        <v>1</v>
      </c>
      <c r="D263" s="0" t="n">
        <v>0</v>
      </c>
      <c r="E263" s="0" t="n">
        <v>1</v>
      </c>
      <c r="F263" s="0" t="n">
        <v>8</v>
      </c>
      <c r="G263" s="0" t="b">
        <f aca="false">FALSE()</f>
        <v>0</v>
      </c>
      <c r="H263" s="0" t="n">
        <v>3</v>
      </c>
      <c r="I263" s="0" t="n">
        <v>1</v>
      </c>
      <c r="J263" s="0" t="n">
        <v>0.16</v>
      </c>
    </row>
    <row r="264" customFormat="false" ht="15" hidden="false" customHeight="false" outlineLevel="0" collapsed="false">
      <c r="A264" s="0" t="n">
        <v>263</v>
      </c>
      <c r="B264" s="0" t="s">
        <v>88</v>
      </c>
      <c r="C264" s="0" t="n">
        <v>1</v>
      </c>
      <c r="D264" s="0" t="n">
        <v>0</v>
      </c>
      <c r="E264" s="0" t="n">
        <v>1</v>
      </c>
      <c r="F264" s="0" t="n">
        <v>9</v>
      </c>
      <c r="G264" s="0" t="b">
        <f aca="false">FALSE()</f>
        <v>0</v>
      </c>
      <c r="H264" s="0" t="n">
        <v>3</v>
      </c>
      <c r="I264" s="0" t="n">
        <v>1</v>
      </c>
      <c r="J264" s="0" t="n">
        <v>0.16</v>
      </c>
    </row>
    <row r="265" customFormat="false" ht="15" hidden="false" customHeight="false" outlineLevel="0" collapsed="false">
      <c r="A265" s="0" t="n">
        <v>264</v>
      </c>
      <c r="B265" s="0" t="s">
        <v>88</v>
      </c>
      <c r="C265" s="0" t="n">
        <v>1</v>
      </c>
      <c r="D265" s="0" t="n">
        <v>0</v>
      </c>
      <c r="E265" s="0" t="n">
        <v>1</v>
      </c>
      <c r="F265" s="0" t="n">
        <v>10</v>
      </c>
      <c r="G265" s="0" t="b">
        <f aca="false">FALSE()</f>
        <v>0</v>
      </c>
      <c r="H265" s="0" t="n">
        <v>3</v>
      </c>
      <c r="I265" s="0" t="n">
        <v>1</v>
      </c>
      <c r="J265" s="0" t="n">
        <v>0.18</v>
      </c>
    </row>
    <row r="266" customFormat="false" ht="15" hidden="false" customHeight="false" outlineLevel="0" collapsed="false">
      <c r="A266" s="0" t="n">
        <v>265</v>
      </c>
      <c r="B266" s="0" t="s">
        <v>88</v>
      </c>
      <c r="C266" s="0" t="n">
        <v>1</v>
      </c>
      <c r="D266" s="0" t="n">
        <v>0</v>
      </c>
      <c r="E266" s="0" t="n">
        <v>1</v>
      </c>
      <c r="F266" s="0" t="n">
        <v>11</v>
      </c>
      <c r="G266" s="0" t="b">
        <f aca="false">FALSE()</f>
        <v>0</v>
      </c>
      <c r="H266" s="0" t="n">
        <v>3</v>
      </c>
      <c r="I266" s="0" t="n">
        <v>1</v>
      </c>
      <c r="J266" s="0" t="n">
        <v>0.2</v>
      </c>
    </row>
    <row r="267" customFormat="false" ht="15" hidden="false" customHeight="false" outlineLevel="0" collapsed="false">
      <c r="A267" s="0" t="n">
        <v>266</v>
      </c>
      <c r="B267" s="0" t="s">
        <v>88</v>
      </c>
      <c r="C267" s="0" t="n">
        <v>1</v>
      </c>
      <c r="D267" s="0" t="n">
        <v>0</v>
      </c>
      <c r="E267" s="0" t="n">
        <v>1</v>
      </c>
      <c r="F267" s="0" t="n">
        <v>12</v>
      </c>
      <c r="G267" s="0" t="b">
        <f aca="false">FALSE()</f>
        <v>0</v>
      </c>
      <c r="H267" s="0" t="n">
        <v>3</v>
      </c>
      <c r="I267" s="0" t="n">
        <v>1</v>
      </c>
      <c r="J267" s="0" t="n">
        <v>0.2</v>
      </c>
    </row>
    <row r="268" customFormat="false" ht="15" hidden="false" customHeight="false" outlineLevel="0" collapsed="false">
      <c r="A268" s="0" t="n">
        <v>267</v>
      </c>
      <c r="B268" s="0" t="s">
        <v>88</v>
      </c>
      <c r="C268" s="0" t="n">
        <v>1</v>
      </c>
      <c r="D268" s="0" t="n">
        <v>0</v>
      </c>
      <c r="E268" s="0" t="n">
        <v>1</v>
      </c>
      <c r="F268" s="0" t="n">
        <v>13</v>
      </c>
      <c r="G268" s="0" t="b">
        <f aca="false">FALSE()</f>
        <v>0</v>
      </c>
      <c r="H268" s="0" t="n">
        <v>3</v>
      </c>
      <c r="I268" s="0" t="n">
        <v>1</v>
      </c>
      <c r="J268" s="0" t="n">
        <v>0.22</v>
      </c>
    </row>
    <row r="269" customFormat="false" ht="15" hidden="false" customHeight="false" outlineLevel="0" collapsed="false">
      <c r="A269" s="0" t="n">
        <v>268</v>
      </c>
      <c r="B269" s="0" t="s">
        <v>88</v>
      </c>
      <c r="C269" s="0" t="n">
        <v>1</v>
      </c>
      <c r="D269" s="0" t="n">
        <v>0</v>
      </c>
      <c r="E269" s="0" t="n">
        <v>1</v>
      </c>
      <c r="F269" s="0" t="n">
        <v>14</v>
      </c>
      <c r="G269" s="0" t="b">
        <f aca="false">FALSE()</f>
        <v>0</v>
      </c>
      <c r="H269" s="0" t="n">
        <v>3</v>
      </c>
      <c r="I269" s="0" t="n">
        <v>1</v>
      </c>
      <c r="J269" s="0" t="n">
        <v>0.2</v>
      </c>
    </row>
    <row r="270" customFormat="false" ht="15" hidden="false" customHeight="false" outlineLevel="0" collapsed="false">
      <c r="A270" s="0" t="n">
        <v>269</v>
      </c>
      <c r="B270" s="0" t="s">
        <v>88</v>
      </c>
      <c r="C270" s="0" t="n">
        <v>1</v>
      </c>
      <c r="D270" s="0" t="n">
        <v>0</v>
      </c>
      <c r="E270" s="0" t="n">
        <v>1</v>
      </c>
      <c r="F270" s="0" t="n">
        <v>15</v>
      </c>
      <c r="G270" s="0" t="b">
        <f aca="false">FALSE()</f>
        <v>0</v>
      </c>
      <c r="H270" s="0" t="n">
        <v>3</v>
      </c>
      <c r="I270" s="0" t="n">
        <v>1</v>
      </c>
      <c r="J270" s="0" t="n">
        <v>0.2</v>
      </c>
    </row>
    <row r="271" customFormat="false" ht="15" hidden="false" customHeight="false" outlineLevel="0" collapsed="false">
      <c r="A271" s="0" t="n">
        <v>270</v>
      </c>
      <c r="B271" s="0" t="s">
        <v>88</v>
      </c>
      <c r="C271" s="0" t="n">
        <v>1</v>
      </c>
      <c r="D271" s="0" t="n">
        <v>0</v>
      </c>
      <c r="E271" s="0" t="n">
        <v>1</v>
      </c>
      <c r="F271" s="0" t="n">
        <v>16</v>
      </c>
      <c r="G271" s="0" t="b">
        <f aca="false">FALSE()</f>
        <v>0</v>
      </c>
      <c r="H271" s="0" t="n">
        <v>3</v>
      </c>
      <c r="I271" s="0" t="n">
        <v>1</v>
      </c>
      <c r="J271" s="0" t="n">
        <v>0.22</v>
      </c>
    </row>
    <row r="272" customFormat="false" ht="15" hidden="false" customHeight="false" outlineLevel="0" collapsed="false">
      <c r="A272" s="0" t="n">
        <v>271</v>
      </c>
      <c r="B272" s="0" t="s">
        <v>88</v>
      </c>
      <c r="C272" s="0" t="n">
        <v>1</v>
      </c>
      <c r="D272" s="0" t="n">
        <v>0</v>
      </c>
      <c r="E272" s="0" t="n">
        <v>1</v>
      </c>
      <c r="F272" s="0" t="n">
        <v>17</v>
      </c>
      <c r="G272" s="0" t="b">
        <f aca="false">FALSE()</f>
        <v>0</v>
      </c>
      <c r="H272" s="0" t="n">
        <v>3</v>
      </c>
      <c r="I272" s="0" t="n">
        <v>1</v>
      </c>
      <c r="J272" s="0" t="n">
        <v>0.2</v>
      </c>
    </row>
    <row r="273" customFormat="false" ht="15" hidden="false" customHeight="false" outlineLevel="0" collapsed="false">
      <c r="A273" s="0" t="n">
        <v>272</v>
      </c>
      <c r="B273" s="0" t="s">
        <v>88</v>
      </c>
      <c r="C273" s="0" t="n">
        <v>1</v>
      </c>
      <c r="D273" s="0" t="n">
        <v>0</v>
      </c>
      <c r="E273" s="0" t="n">
        <v>1</v>
      </c>
      <c r="F273" s="0" t="n">
        <v>18</v>
      </c>
      <c r="G273" s="0" t="b">
        <f aca="false">FALSE()</f>
        <v>0</v>
      </c>
      <c r="H273" s="0" t="n">
        <v>3</v>
      </c>
      <c r="I273" s="0" t="n">
        <v>1</v>
      </c>
      <c r="J273" s="0" t="n">
        <v>0.2</v>
      </c>
    </row>
    <row r="274" customFormat="false" ht="15" hidden="false" customHeight="false" outlineLevel="0" collapsed="false">
      <c r="A274" s="0" t="n">
        <v>273</v>
      </c>
      <c r="B274" s="0" t="s">
        <v>88</v>
      </c>
      <c r="C274" s="0" t="n">
        <v>1</v>
      </c>
      <c r="D274" s="0" t="n">
        <v>0</v>
      </c>
      <c r="E274" s="0" t="n">
        <v>1</v>
      </c>
      <c r="F274" s="0" t="n">
        <v>19</v>
      </c>
      <c r="G274" s="0" t="b">
        <f aca="false">FALSE()</f>
        <v>0</v>
      </c>
      <c r="H274" s="0" t="n">
        <v>3</v>
      </c>
      <c r="I274" s="0" t="n">
        <v>1</v>
      </c>
      <c r="J274" s="0" t="n">
        <v>0.18</v>
      </c>
    </row>
    <row r="275" customFormat="false" ht="15" hidden="false" customHeight="false" outlineLevel="0" collapsed="false">
      <c r="A275" s="0" t="n">
        <v>274</v>
      </c>
      <c r="B275" s="0" t="s">
        <v>88</v>
      </c>
      <c r="C275" s="0" t="n">
        <v>1</v>
      </c>
      <c r="D275" s="0" t="n">
        <v>0</v>
      </c>
      <c r="E275" s="0" t="n">
        <v>1</v>
      </c>
      <c r="F275" s="0" t="n">
        <v>20</v>
      </c>
      <c r="G275" s="0" t="b">
        <f aca="false">FALSE()</f>
        <v>0</v>
      </c>
      <c r="H275" s="0" t="n">
        <v>3</v>
      </c>
      <c r="I275" s="0" t="n">
        <v>1</v>
      </c>
      <c r="J275" s="0" t="n">
        <v>0.16</v>
      </c>
    </row>
    <row r="276" customFormat="false" ht="15" hidden="false" customHeight="false" outlineLevel="0" collapsed="false">
      <c r="A276" s="0" t="n">
        <v>275</v>
      </c>
      <c r="B276" s="0" t="s">
        <v>88</v>
      </c>
      <c r="C276" s="0" t="n">
        <v>1</v>
      </c>
      <c r="D276" s="0" t="n">
        <v>0</v>
      </c>
      <c r="E276" s="0" t="n">
        <v>1</v>
      </c>
      <c r="F276" s="0" t="n">
        <v>21</v>
      </c>
      <c r="G276" s="0" t="b">
        <f aca="false">FALSE()</f>
        <v>0</v>
      </c>
      <c r="H276" s="0" t="n">
        <v>3</v>
      </c>
      <c r="I276" s="0" t="n">
        <v>1</v>
      </c>
      <c r="J276" s="0" t="n">
        <v>0.16</v>
      </c>
    </row>
    <row r="277" customFormat="false" ht="15" hidden="false" customHeight="false" outlineLevel="0" collapsed="false">
      <c r="A277" s="0" t="n">
        <v>276</v>
      </c>
      <c r="B277" s="0" t="s">
        <v>88</v>
      </c>
      <c r="C277" s="0" t="n">
        <v>1</v>
      </c>
      <c r="D277" s="0" t="n">
        <v>0</v>
      </c>
      <c r="E277" s="0" t="n">
        <v>1</v>
      </c>
      <c r="F277" s="0" t="n">
        <v>22</v>
      </c>
      <c r="G277" s="0" t="b">
        <f aca="false">FALSE()</f>
        <v>0</v>
      </c>
      <c r="H277" s="0" t="n">
        <v>3</v>
      </c>
      <c r="I277" s="0" t="n">
        <v>1</v>
      </c>
      <c r="J277" s="0" t="n">
        <v>0.16</v>
      </c>
    </row>
    <row r="278" customFormat="false" ht="15" hidden="false" customHeight="false" outlineLevel="0" collapsed="false">
      <c r="A278" s="0" t="n">
        <v>277</v>
      </c>
      <c r="B278" s="0" t="s">
        <v>88</v>
      </c>
      <c r="C278" s="0" t="n">
        <v>1</v>
      </c>
      <c r="D278" s="0" t="n">
        <v>0</v>
      </c>
      <c r="E278" s="0" t="n">
        <v>1</v>
      </c>
      <c r="F278" s="0" t="n">
        <v>23</v>
      </c>
      <c r="G278" s="0" t="b">
        <f aca="false">FALSE()</f>
        <v>0</v>
      </c>
      <c r="H278" s="0" t="n">
        <v>3</v>
      </c>
      <c r="I278" s="0" t="n">
        <v>1</v>
      </c>
      <c r="J278" s="0" t="n">
        <v>0.14</v>
      </c>
    </row>
    <row r="279" customFormat="false" ht="15" hidden="false" customHeight="false" outlineLevel="0" collapsed="false">
      <c r="A279" s="0" t="n">
        <v>278</v>
      </c>
      <c r="B279" s="0" t="s">
        <v>89</v>
      </c>
      <c r="C279" s="0" t="n">
        <v>1</v>
      </c>
      <c r="D279" s="0" t="n">
        <v>0</v>
      </c>
      <c r="E279" s="0" t="n">
        <v>1</v>
      </c>
      <c r="F279" s="0" t="n">
        <v>0</v>
      </c>
      <c r="G279" s="0" t="b">
        <f aca="false">FALSE()</f>
        <v>0</v>
      </c>
      <c r="H279" s="0" t="n">
        <v>4</v>
      </c>
      <c r="I279" s="0" t="n">
        <v>1</v>
      </c>
      <c r="J279" s="0" t="n">
        <v>0.14</v>
      </c>
    </row>
    <row r="280" customFormat="false" ht="15" hidden="false" customHeight="false" outlineLevel="0" collapsed="false">
      <c r="A280" s="0" t="n">
        <v>279</v>
      </c>
      <c r="B280" s="0" t="s">
        <v>89</v>
      </c>
      <c r="C280" s="0" t="n">
        <v>1</v>
      </c>
      <c r="D280" s="0" t="n">
        <v>0</v>
      </c>
      <c r="E280" s="0" t="n">
        <v>1</v>
      </c>
      <c r="F280" s="0" t="n">
        <v>1</v>
      </c>
      <c r="G280" s="0" t="b">
        <f aca="false">FALSE()</f>
        <v>0</v>
      </c>
      <c r="H280" s="0" t="n">
        <v>4</v>
      </c>
      <c r="I280" s="0" t="n">
        <v>1</v>
      </c>
      <c r="J280" s="0" t="n">
        <v>0.14</v>
      </c>
    </row>
    <row r="281" customFormat="false" ht="15" hidden="false" customHeight="false" outlineLevel="0" collapsed="false">
      <c r="A281" s="0" t="n">
        <v>280</v>
      </c>
      <c r="B281" s="0" t="s">
        <v>89</v>
      </c>
      <c r="C281" s="0" t="n">
        <v>1</v>
      </c>
      <c r="D281" s="0" t="n">
        <v>0</v>
      </c>
      <c r="E281" s="0" t="n">
        <v>1</v>
      </c>
      <c r="F281" s="0" t="n">
        <v>2</v>
      </c>
      <c r="G281" s="0" t="b">
        <f aca="false">FALSE()</f>
        <v>0</v>
      </c>
      <c r="H281" s="0" t="n">
        <v>4</v>
      </c>
      <c r="I281" s="0" t="n">
        <v>1</v>
      </c>
      <c r="J281" s="0" t="n">
        <v>0.14</v>
      </c>
    </row>
    <row r="282" customFormat="false" ht="15" hidden="false" customHeight="false" outlineLevel="0" collapsed="false">
      <c r="A282" s="0" t="n">
        <v>281</v>
      </c>
      <c r="B282" s="0" t="s">
        <v>89</v>
      </c>
      <c r="C282" s="0" t="n">
        <v>1</v>
      </c>
      <c r="D282" s="0" t="n">
        <v>0</v>
      </c>
      <c r="E282" s="0" t="n">
        <v>1</v>
      </c>
      <c r="F282" s="0" t="n">
        <v>3</v>
      </c>
      <c r="G282" s="0" t="b">
        <f aca="false">FALSE()</f>
        <v>0</v>
      </c>
      <c r="H282" s="0" t="n">
        <v>4</v>
      </c>
      <c r="I282" s="0" t="n">
        <v>1</v>
      </c>
      <c r="J282" s="0" t="n">
        <v>0.14</v>
      </c>
    </row>
    <row r="283" customFormat="false" ht="15" hidden="false" customHeight="false" outlineLevel="0" collapsed="false">
      <c r="A283" s="0" t="n">
        <v>282</v>
      </c>
      <c r="B283" s="0" t="s">
        <v>89</v>
      </c>
      <c r="C283" s="0" t="n">
        <v>1</v>
      </c>
      <c r="D283" s="0" t="n">
        <v>0</v>
      </c>
      <c r="E283" s="0" t="n">
        <v>1</v>
      </c>
      <c r="F283" s="0" t="n">
        <v>4</v>
      </c>
      <c r="G283" s="0" t="b">
        <f aca="false">FALSE()</f>
        <v>0</v>
      </c>
      <c r="H283" s="0" t="n">
        <v>4</v>
      </c>
      <c r="I283" s="0" t="n">
        <v>1</v>
      </c>
      <c r="J283" s="0" t="n">
        <v>0.14</v>
      </c>
    </row>
    <row r="284" customFormat="false" ht="15" hidden="false" customHeight="false" outlineLevel="0" collapsed="false">
      <c r="A284" s="0" t="n">
        <v>283</v>
      </c>
      <c r="B284" s="0" t="s">
        <v>89</v>
      </c>
      <c r="C284" s="0" t="n">
        <v>1</v>
      </c>
      <c r="D284" s="0" t="n">
        <v>0</v>
      </c>
      <c r="E284" s="0" t="n">
        <v>1</v>
      </c>
      <c r="F284" s="0" t="n">
        <v>5</v>
      </c>
      <c r="G284" s="0" t="b">
        <f aca="false">FALSE()</f>
        <v>0</v>
      </c>
      <c r="H284" s="0" t="n">
        <v>4</v>
      </c>
      <c r="I284" s="0" t="n">
        <v>1</v>
      </c>
      <c r="J284" s="0" t="n">
        <v>0.14</v>
      </c>
    </row>
    <row r="285" customFormat="false" ht="15" hidden="false" customHeight="false" outlineLevel="0" collapsed="false">
      <c r="A285" s="0" t="n">
        <v>284</v>
      </c>
      <c r="B285" s="0" t="s">
        <v>89</v>
      </c>
      <c r="C285" s="0" t="n">
        <v>1</v>
      </c>
      <c r="D285" s="0" t="n">
        <v>0</v>
      </c>
      <c r="E285" s="0" t="n">
        <v>1</v>
      </c>
      <c r="F285" s="0" t="n">
        <v>6</v>
      </c>
      <c r="G285" s="0" t="b">
        <f aca="false">FALSE()</f>
        <v>0</v>
      </c>
      <c r="H285" s="0" t="n">
        <v>4</v>
      </c>
      <c r="I285" s="0" t="n">
        <v>1</v>
      </c>
      <c r="J285" s="0" t="n">
        <v>0.12</v>
      </c>
    </row>
    <row r="286" customFormat="false" ht="15" hidden="false" customHeight="false" outlineLevel="0" collapsed="false">
      <c r="A286" s="0" t="n">
        <v>285</v>
      </c>
      <c r="B286" s="0" t="s">
        <v>89</v>
      </c>
      <c r="C286" s="0" t="n">
        <v>1</v>
      </c>
      <c r="D286" s="0" t="n">
        <v>0</v>
      </c>
      <c r="E286" s="0" t="n">
        <v>1</v>
      </c>
      <c r="F286" s="0" t="n">
        <v>7</v>
      </c>
      <c r="G286" s="0" t="b">
        <f aca="false">FALSE()</f>
        <v>0</v>
      </c>
      <c r="H286" s="0" t="n">
        <v>4</v>
      </c>
      <c r="I286" s="0" t="n">
        <v>1</v>
      </c>
      <c r="J286" s="0" t="n">
        <v>0.12</v>
      </c>
    </row>
    <row r="287" customFormat="false" ht="15" hidden="false" customHeight="false" outlineLevel="0" collapsed="false">
      <c r="A287" s="0" t="n">
        <v>286</v>
      </c>
      <c r="B287" s="0" t="s">
        <v>89</v>
      </c>
      <c r="C287" s="0" t="n">
        <v>1</v>
      </c>
      <c r="D287" s="0" t="n">
        <v>0</v>
      </c>
      <c r="E287" s="0" t="n">
        <v>1</v>
      </c>
      <c r="F287" s="0" t="n">
        <v>8</v>
      </c>
      <c r="G287" s="0" t="b">
        <f aca="false">FALSE()</f>
        <v>0</v>
      </c>
      <c r="H287" s="0" t="n">
        <v>4</v>
      </c>
      <c r="I287" s="0" t="n">
        <v>1</v>
      </c>
      <c r="J287" s="0" t="n">
        <v>0.14</v>
      </c>
    </row>
    <row r="288" customFormat="false" ht="15" hidden="false" customHeight="false" outlineLevel="0" collapsed="false">
      <c r="A288" s="0" t="n">
        <v>287</v>
      </c>
      <c r="B288" s="0" t="s">
        <v>89</v>
      </c>
      <c r="C288" s="0" t="n">
        <v>1</v>
      </c>
      <c r="D288" s="0" t="n">
        <v>0</v>
      </c>
      <c r="E288" s="0" t="n">
        <v>1</v>
      </c>
      <c r="F288" s="0" t="n">
        <v>9</v>
      </c>
      <c r="G288" s="0" t="b">
        <f aca="false">FALSE()</f>
        <v>0</v>
      </c>
      <c r="H288" s="0" t="n">
        <v>4</v>
      </c>
      <c r="I288" s="0" t="n">
        <v>1</v>
      </c>
      <c r="J288" s="0" t="n">
        <v>0.14</v>
      </c>
    </row>
    <row r="289" customFormat="false" ht="15" hidden="false" customHeight="false" outlineLevel="0" collapsed="false">
      <c r="A289" s="0" t="n">
        <v>288</v>
      </c>
      <c r="B289" s="0" t="s">
        <v>89</v>
      </c>
      <c r="C289" s="0" t="n">
        <v>1</v>
      </c>
      <c r="D289" s="0" t="n">
        <v>0</v>
      </c>
      <c r="E289" s="0" t="n">
        <v>1</v>
      </c>
      <c r="F289" s="0" t="n">
        <v>10</v>
      </c>
      <c r="G289" s="0" t="b">
        <f aca="false">FALSE()</f>
        <v>0</v>
      </c>
      <c r="H289" s="0" t="n">
        <v>4</v>
      </c>
      <c r="I289" s="0" t="n">
        <v>2</v>
      </c>
      <c r="J289" s="0" t="n">
        <v>0.16</v>
      </c>
    </row>
    <row r="290" customFormat="false" ht="15" hidden="false" customHeight="false" outlineLevel="0" collapsed="false">
      <c r="A290" s="0" t="n">
        <v>289</v>
      </c>
      <c r="B290" s="0" t="s">
        <v>89</v>
      </c>
      <c r="C290" s="0" t="n">
        <v>1</v>
      </c>
      <c r="D290" s="0" t="n">
        <v>0</v>
      </c>
      <c r="E290" s="0" t="n">
        <v>1</v>
      </c>
      <c r="F290" s="0" t="n">
        <v>11</v>
      </c>
      <c r="G290" s="0" t="b">
        <f aca="false">FALSE()</f>
        <v>0</v>
      </c>
      <c r="H290" s="0" t="n">
        <v>4</v>
      </c>
      <c r="I290" s="0" t="n">
        <v>2</v>
      </c>
      <c r="J290" s="0" t="n">
        <v>0.2</v>
      </c>
    </row>
    <row r="291" customFormat="false" ht="15" hidden="false" customHeight="false" outlineLevel="0" collapsed="false">
      <c r="A291" s="0" t="n">
        <v>290</v>
      </c>
      <c r="B291" s="0" t="s">
        <v>89</v>
      </c>
      <c r="C291" s="0" t="n">
        <v>1</v>
      </c>
      <c r="D291" s="0" t="n">
        <v>0</v>
      </c>
      <c r="E291" s="0" t="n">
        <v>1</v>
      </c>
      <c r="F291" s="0" t="n">
        <v>12</v>
      </c>
      <c r="G291" s="0" t="b">
        <f aca="false">FALSE()</f>
        <v>0</v>
      </c>
      <c r="H291" s="0" t="n">
        <v>4</v>
      </c>
      <c r="I291" s="0" t="n">
        <v>1</v>
      </c>
      <c r="J291" s="0" t="n">
        <v>0.2</v>
      </c>
    </row>
    <row r="292" customFormat="false" ht="15" hidden="false" customHeight="false" outlineLevel="0" collapsed="false">
      <c r="A292" s="0" t="n">
        <v>291</v>
      </c>
      <c r="B292" s="0" t="s">
        <v>89</v>
      </c>
      <c r="C292" s="0" t="n">
        <v>1</v>
      </c>
      <c r="D292" s="0" t="n">
        <v>0</v>
      </c>
      <c r="E292" s="0" t="n">
        <v>1</v>
      </c>
      <c r="F292" s="0" t="n">
        <v>13</v>
      </c>
      <c r="G292" s="0" t="b">
        <f aca="false">FALSE()</f>
        <v>0</v>
      </c>
      <c r="H292" s="0" t="n">
        <v>4</v>
      </c>
      <c r="I292" s="0" t="n">
        <v>1</v>
      </c>
      <c r="J292" s="0" t="n">
        <v>0.22</v>
      </c>
    </row>
    <row r="293" customFormat="false" ht="15" hidden="false" customHeight="false" outlineLevel="0" collapsed="false">
      <c r="A293" s="0" t="n">
        <v>292</v>
      </c>
      <c r="B293" s="0" t="s">
        <v>89</v>
      </c>
      <c r="C293" s="0" t="n">
        <v>1</v>
      </c>
      <c r="D293" s="0" t="n">
        <v>0</v>
      </c>
      <c r="E293" s="0" t="n">
        <v>1</v>
      </c>
      <c r="F293" s="0" t="n">
        <v>14</v>
      </c>
      <c r="G293" s="0" t="b">
        <f aca="false">FALSE()</f>
        <v>0</v>
      </c>
      <c r="H293" s="0" t="n">
        <v>4</v>
      </c>
      <c r="I293" s="0" t="n">
        <v>1</v>
      </c>
      <c r="J293" s="0" t="n">
        <v>0.22</v>
      </c>
    </row>
    <row r="294" customFormat="false" ht="15" hidden="false" customHeight="false" outlineLevel="0" collapsed="false">
      <c r="A294" s="0" t="n">
        <v>293</v>
      </c>
      <c r="B294" s="0" t="s">
        <v>89</v>
      </c>
      <c r="C294" s="0" t="n">
        <v>1</v>
      </c>
      <c r="D294" s="0" t="n">
        <v>0</v>
      </c>
      <c r="E294" s="0" t="n">
        <v>1</v>
      </c>
      <c r="F294" s="0" t="n">
        <v>15</v>
      </c>
      <c r="G294" s="0" t="b">
        <f aca="false">FALSE()</f>
        <v>0</v>
      </c>
      <c r="H294" s="0" t="n">
        <v>4</v>
      </c>
      <c r="I294" s="0" t="n">
        <v>1</v>
      </c>
      <c r="J294" s="0" t="n">
        <v>0.24</v>
      </c>
    </row>
    <row r="295" customFormat="false" ht="15" hidden="false" customHeight="false" outlineLevel="0" collapsed="false">
      <c r="A295" s="0" t="n">
        <v>294</v>
      </c>
      <c r="B295" s="0" t="s">
        <v>89</v>
      </c>
      <c r="C295" s="0" t="n">
        <v>1</v>
      </c>
      <c r="D295" s="0" t="n">
        <v>0</v>
      </c>
      <c r="E295" s="0" t="n">
        <v>1</v>
      </c>
      <c r="F295" s="0" t="n">
        <v>16</v>
      </c>
      <c r="G295" s="0" t="b">
        <f aca="false">FALSE()</f>
        <v>0</v>
      </c>
      <c r="H295" s="0" t="n">
        <v>4</v>
      </c>
      <c r="I295" s="0" t="n">
        <v>1</v>
      </c>
      <c r="J295" s="0" t="n">
        <v>0.24</v>
      </c>
    </row>
    <row r="296" customFormat="false" ht="15" hidden="false" customHeight="false" outlineLevel="0" collapsed="false">
      <c r="A296" s="0" t="n">
        <v>295</v>
      </c>
      <c r="B296" s="0" t="s">
        <v>89</v>
      </c>
      <c r="C296" s="0" t="n">
        <v>1</v>
      </c>
      <c r="D296" s="0" t="n">
        <v>0</v>
      </c>
      <c r="E296" s="0" t="n">
        <v>1</v>
      </c>
      <c r="F296" s="0" t="n">
        <v>17</v>
      </c>
      <c r="G296" s="0" t="b">
        <f aca="false">FALSE()</f>
        <v>0</v>
      </c>
      <c r="H296" s="0" t="n">
        <v>4</v>
      </c>
      <c r="I296" s="0" t="n">
        <v>1</v>
      </c>
      <c r="J296" s="0" t="n">
        <v>0.2</v>
      </c>
    </row>
    <row r="297" customFormat="false" ht="15" hidden="false" customHeight="false" outlineLevel="0" collapsed="false">
      <c r="A297" s="0" t="n">
        <v>296</v>
      </c>
      <c r="B297" s="0" t="s">
        <v>89</v>
      </c>
      <c r="C297" s="0" t="n">
        <v>1</v>
      </c>
      <c r="D297" s="0" t="n">
        <v>0</v>
      </c>
      <c r="E297" s="0" t="n">
        <v>1</v>
      </c>
      <c r="F297" s="0" t="n">
        <v>18</v>
      </c>
      <c r="G297" s="0" t="b">
        <f aca="false">FALSE()</f>
        <v>0</v>
      </c>
      <c r="H297" s="0" t="n">
        <v>4</v>
      </c>
      <c r="I297" s="0" t="n">
        <v>1</v>
      </c>
      <c r="J297" s="0" t="n">
        <v>0.2</v>
      </c>
    </row>
    <row r="298" customFormat="false" ht="15" hidden="false" customHeight="false" outlineLevel="0" collapsed="false">
      <c r="A298" s="0" t="n">
        <v>297</v>
      </c>
      <c r="B298" s="0" t="s">
        <v>89</v>
      </c>
      <c r="C298" s="0" t="n">
        <v>1</v>
      </c>
      <c r="D298" s="0" t="n">
        <v>0</v>
      </c>
      <c r="E298" s="0" t="n">
        <v>1</v>
      </c>
      <c r="F298" s="0" t="n">
        <v>19</v>
      </c>
      <c r="G298" s="0" t="b">
        <f aca="false">FALSE()</f>
        <v>0</v>
      </c>
      <c r="H298" s="0" t="n">
        <v>4</v>
      </c>
      <c r="I298" s="0" t="n">
        <v>1</v>
      </c>
      <c r="J298" s="0" t="n">
        <v>0.16</v>
      </c>
    </row>
    <row r="299" customFormat="false" ht="15" hidden="false" customHeight="false" outlineLevel="0" collapsed="false">
      <c r="A299" s="0" t="n">
        <v>298</v>
      </c>
      <c r="B299" s="0" t="s">
        <v>89</v>
      </c>
      <c r="C299" s="0" t="n">
        <v>1</v>
      </c>
      <c r="D299" s="0" t="n">
        <v>0</v>
      </c>
      <c r="E299" s="0" t="n">
        <v>1</v>
      </c>
      <c r="F299" s="0" t="n">
        <v>20</v>
      </c>
      <c r="G299" s="0" t="b">
        <f aca="false">FALSE()</f>
        <v>0</v>
      </c>
      <c r="H299" s="0" t="n">
        <v>4</v>
      </c>
      <c r="I299" s="0" t="n">
        <v>1</v>
      </c>
      <c r="J299" s="0" t="n">
        <v>0.16</v>
      </c>
    </row>
    <row r="300" customFormat="false" ht="15" hidden="false" customHeight="false" outlineLevel="0" collapsed="false">
      <c r="A300" s="0" t="n">
        <v>299</v>
      </c>
      <c r="B300" s="0" t="s">
        <v>89</v>
      </c>
      <c r="C300" s="0" t="n">
        <v>1</v>
      </c>
      <c r="D300" s="0" t="n">
        <v>0</v>
      </c>
      <c r="E300" s="0" t="n">
        <v>1</v>
      </c>
      <c r="F300" s="0" t="n">
        <v>21</v>
      </c>
      <c r="G300" s="0" t="b">
        <f aca="false">FALSE()</f>
        <v>0</v>
      </c>
      <c r="H300" s="0" t="n">
        <v>4</v>
      </c>
      <c r="I300" s="0" t="n">
        <v>1</v>
      </c>
      <c r="J300" s="0" t="n">
        <v>0.14</v>
      </c>
    </row>
    <row r="301" customFormat="false" ht="15" hidden="false" customHeight="false" outlineLevel="0" collapsed="false">
      <c r="A301" s="0" t="n">
        <v>300</v>
      </c>
      <c r="B301" s="0" t="s">
        <v>89</v>
      </c>
      <c r="C301" s="0" t="n">
        <v>1</v>
      </c>
      <c r="D301" s="0" t="n">
        <v>0</v>
      </c>
      <c r="E301" s="0" t="n">
        <v>1</v>
      </c>
      <c r="F301" s="0" t="n">
        <v>22</v>
      </c>
      <c r="G301" s="0" t="b">
        <f aca="false">FALSE()</f>
        <v>0</v>
      </c>
      <c r="H301" s="0" t="n">
        <v>4</v>
      </c>
      <c r="I301" s="0" t="n">
        <v>1</v>
      </c>
      <c r="J301" s="0" t="n">
        <v>0.14</v>
      </c>
    </row>
    <row r="302" customFormat="false" ht="15" hidden="false" customHeight="false" outlineLevel="0" collapsed="false">
      <c r="A302" s="0" t="n">
        <v>301</v>
      </c>
      <c r="B302" s="0" t="s">
        <v>89</v>
      </c>
      <c r="C302" s="0" t="n">
        <v>1</v>
      </c>
      <c r="D302" s="0" t="n">
        <v>0</v>
      </c>
      <c r="E302" s="0" t="n">
        <v>1</v>
      </c>
      <c r="F302" s="0" t="n">
        <v>23</v>
      </c>
      <c r="G302" s="0" t="b">
        <f aca="false">FALSE()</f>
        <v>0</v>
      </c>
      <c r="H302" s="0" t="n">
        <v>4</v>
      </c>
      <c r="I302" s="0" t="n">
        <v>1</v>
      </c>
      <c r="J302" s="0" t="n">
        <v>0.12</v>
      </c>
    </row>
    <row r="303" customFormat="false" ht="15" hidden="false" customHeight="false" outlineLevel="0" collapsed="false">
      <c r="A303" s="0" t="n">
        <v>302</v>
      </c>
      <c r="B303" s="0" t="s">
        <v>90</v>
      </c>
      <c r="C303" s="0" t="n">
        <v>1</v>
      </c>
      <c r="D303" s="0" t="n">
        <v>0</v>
      </c>
      <c r="E303" s="0" t="n">
        <v>1</v>
      </c>
      <c r="F303" s="0" t="n">
        <v>0</v>
      </c>
      <c r="G303" s="0" t="b">
        <f aca="false">FALSE()</f>
        <v>0</v>
      </c>
      <c r="H303" s="0" t="n">
        <v>5</v>
      </c>
      <c r="I303" s="0" t="n">
        <v>1</v>
      </c>
      <c r="J303" s="0" t="n">
        <v>0.12</v>
      </c>
    </row>
    <row r="304" customFormat="false" ht="15" hidden="false" customHeight="false" outlineLevel="0" collapsed="false">
      <c r="A304" s="0" t="n">
        <v>303</v>
      </c>
      <c r="B304" s="0" t="s">
        <v>90</v>
      </c>
      <c r="C304" s="0" t="n">
        <v>1</v>
      </c>
      <c r="D304" s="0" t="n">
        <v>0</v>
      </c>
      <c r="E304" s="0" t="n">
        <v>1</v>
      </c>
      <c r="F304" s="0" t="n">
        <v>1</v>
      </c>
      <c r="G304" s="0" t="b">
        <f aca="false">FALSE()</f>
        <v>0</v>
      </c>
      <c r="H304" s="0" t="n">
        <v>5</v>
      </c>
      <c r="I304" s="0" t="n">
        <v>1</v>
      </c>
      <c r="J304" s="0" t="n">
        <v>0.1</v>
      </c>
    </row>
    <row r="305" customFormat="false" ht="15" hidden="false" customHeight="false" outlineLevel="0" collapsed="false">
      <c r="A305" s="0" t="n">
        <v>304</v>
      </c>
      <c r="B305" s="0" t="s">
        <v>90</v>
      </c>
      <c r="C305" s="0" t="n">
        <v>1</v>
      </c>
      <c r="D305" s="0" t="n">
        <v>0</v>
      </c>
      <c r="E305" s="0" t="n">
        <v>1</v>
      </c>
      <c r="F305" s="0" t="n">
        <v>2</v>
      </c>
      <c r="G305" s="0" t="b">
        <f aca="false">FALSE()</f>
        <v>0</v>
      </c>
      <c r="H305" s="0" t="n">
        <v>5</v>
      </c>
      <c r="I305" s="0" t="n">
        <v>1</v>
      </c>
      <c r="J305" s="0" t="n">
        <v>0.1</v>
      </c>
    </row>
    <row r="306" customFormat="false" ht="15" hidden="false" customHeight="false" outlineLevel="0" collapsed="false">
      <c r="A306" s="0" t="n">
        <v>305</v>
      </c>
      <c r="B306" s="0" t="s">
        <v>90</v>
      </c>
      <c r="C306" s="0" t="n">
        <v>1</v>
      </c>
      <c r="D306" s="0" t="n">
        <v>0</v>
      </c>
      <c r="E306" s="0" t="n">
        <v>1</v>
      </c>
      <c r="F306" s="0" t="n">
        <v>3</v>
      </c>
      <c r="G306" s="0" t="b">
        <f aca="false">FALSE()</f>
        <v>0</v>
      </c>
      <c r="H306" s="0" t="n">
        <v>5</v>
      </c>
      <c r="I306" s="0" t="n">
        <v>1</v>
      </c>
      <c r="J306" s="0" t="n">
        <v>0.1</v>
      </c>
    </row>
    <row r="307" customFormat="false" ht="15" hidden="false" customHeight="false" outlineLevel="0" collapsed="false">
      <c r="A307" s="0" t="n">
        <v>306</v>
      </c>
      <c r="B307" s="0" t="s">
        <v>90</v>
      </c>
      <c r="C307" s="0" t="n">
        <v>1</v>
      </c>
      <c r="D307" s="0" t="n">
        <v>0</v>
      </c>
      <c r="E307" s="0" t="n">
        <v>1</v>
      </c>
      <c r="F307" s="0" t="n">
        <v>5</v>
      </c>
      <c r="G307" s="0" t="b">
        <f aca="false">FALSE()</f>
        <v>0</v>
      </c>
      <c r="H307" s="0" t="n">
        <v>5</v>
      </c>
      <c r="I307" s="0" t="n">
        <v>1</v>
      </c>
      <c r="J307" s="0" t="n">
        <v>0.1</v>
      </c>
    </row>
    <row r="308" customFormat="false" ht="15" hidden="false" customHeight="false" outlineLevel="0" collapsed="false">
      <c r="A308" s="0" t="n">
        <v>307</v>
      </c>
      <c r="B308" s="0" t="s">
        <v>90</v>
      </c>
      <c r="C308" s="0" t="n">
        <v>1</v>
      </c>
      <c r="D308" s="0" t="n">
        <v>0</v>
      </c>
      <c r="E308" s="0" t="n">
        <v>1</v>
      </c>
      <c r="F308" s="0" t="n">
        <v>6</v>
      </c>
      <c r="G308" s="0" t="b">
        <f aca="false">FALSE()</f>
        <v>0</v>
      </c>
      <c r="H308" s="0" t="n">
        <v>5</v>
      </c>
      <c r="I308" s="0" t="n">
        <v>1</v>
      </c>
      <c r="J308" s="0" t="n">
        <v>0.1</v>
      </c>
    </row>
    <row r="309" customFormat="false" ht="15" hidden="false" customHeight="false" outlineLevel="0" collapsed="false">
      <c r="A309" s="0" t="n">
        <v>308</v>
      </c>
      <c r="B309" s="0" t="s">
        <v>90</v>
      </c>
      <c r="C309" s="0" t="n">
        <v>1</v>
      </c>
      <c r="D309" s="0" t="n">
        <v>0</v>
      </c>
      <c r="E309" s="0" t="n">
        <v>1</v>
      </c>
      <c r="F309" s="0" t="n">
        <v>7</v>
      </c>
      <c r="G309" s="0" t="b">
        <f aca="false">FALSE()</f>
        <v>0</v>
      </c>
      <c r="H309" s="0" t="n">
        <v>5</v>
      </c>
      <c r="I309" s="0" t="n">
        <v>1</v>
      </c>
      <c r="J309" s="0" t="n">
        <v>0.1</v>
      </c>
    </row>
    <row r="310" customFormat="false" ht="15" hidden="false" customHeight="false" outlineLevel="0" collapsed="false">
      <c r="A310" s="0" t="n">
        <v>309</v>
      </c>
      <c r="B310" s="0" t="s">
        <v>90</v>
      </c>
      <c r="C310" s="0" t="n">
        <v>1</v>
      </c>
      <c r="D310" s="0" t="n">
        <v>0</v>
      </c>
      <c r="E310" s="0" t="n">
        <v>1</v>
      </c>
      <c r="F310" s="0" t="n">
        <v>8</v>
      </c>
      <c r="G310" s="0" t="b">
        <f aca="false">FALSE()</f>
        <v>0</v>
      </c>
      <c r="H310" s="0" t="n">
        <v>5</v>
      </c>
      <c r="I310" s="0" t="n">
        <v>1</v>
      </c>
      <c r="J310" s="0" t="n">
        <v>0.12</v>
      </c>
    </row>
    <row r="311" customFormat="false" ht="15" hidden="false" customHeight="false" outlineLevel="0" collapsed="false">
      <c r="A311" s="0" t="n">
        <v>310</v>
      </c>
      <c r="B311" s="0" t="s">
        <v>90</v>
      </c>
      <c r="C311" s="0" t="n">
        <v>1</v>
      </c>
      <c r="D311" s="0" t="n">
        <v>0</v>
      </c>
      <c r="E311" s="0" t="n">
        <v>1</v>
      </c>
      <c r="F311" s="0" t="n">
        <v>9</v>
      </c>
      <c r="G311" s="0" t="b">
        <f aca="false">FALSE()</f>
        <v>0</v>
      </c>
      <c r="H311" s="0" t="n">
        <v>5</v>
      </c>
      <c r="I311" s="0" t="n">
        <v>1</v>
      </c>
      <c r="J311" s="0" t="n">
        <v>0.14</v>
      </c>
    </row>
    <row r="312" customFormat="false" ht="15" hidden="false" customHeight="false" outlineLevel="0" collapsed="false">
      <c r="A312" s="0" t="n">
        <v>311</v>
      </c>
      <c r="B312" s="0" t="s">
        <v>90</v>
      </c>
      <c r="C312" s="0" t="n">
        <v>1</v>
      </c>
      <c r="D312" s="0" t="n">
        <v>0</v>
      </c>
      <c r="E312" s="0" t="n">
        <v>1</v>
      </c>
      <c r="F312" s="0" t="n">
        <v>10</v>
      </c>
      <c r="G312" s="0" t="b">
        <f aca="false">FALSE()</f>
        <v>0</v>
      </c>
      <c r="H312" s="0" t="n">
        <v>5</v>
      </c>
      <c r="I312" s="0" t="n">
        <v>1</v>
      </c>
      <c r="J312" s="0" t="n">
        <v>0.18</v>
      </c>
    </row>
    <row r="313" customFormat="false" ht="15" hidden="false" customHeight="false" outlineLevel="0" collapsed="false">
      <c r="A313" s="0" t="n">
        <v>312</v>
      </c>
      <c r="B313" s="0" t="s">
        <v>90</v>
      </c>
      <c r="C313" s="0" t="n">
        <v>1</v>
      </c>
      <c r="D313" s="0" t="n">
        <v>0</v>
      </c>
      <c r="E313" s="0" t="n">
        <v>1</v>
      </c>
      <c r="F313" s="0" t="n">
        <v>11</v>
      </c>
      <c r="G313" s="0" t="b">
        <f aca="false">FALSE()</f>
        <v>0</v>
      </c>
      <c r="H313" s="0" t="n">
        <v>5</v>
      </c>
      <c r="I313" s="0" t="n">
        <v>1</v>
      </c>
      <c r="J313" s="0" t="n">
        <v>0.18</v>
      </c>
    </row>
    <row r="314" customFormat="false" ht="15" hidden="false" customHeight="false" outlineLevel="0" collapsed="false">
      <c r="A314" s="0" t="n">
        <v>313</v>
      </c>
      <c r="B314" s="0" t="s">
        <v>90</v>
      </c>
      <c r="C314" s="0" t="n">
        <v>1</v>
      </c>
      <c r="D314" s="0" t="n">
        <v>0</v>
      </c>
      <c r="E314" s="0" t="n">
        <v>1</v>
      </c>
      <c r="F314" s="0" t="n">
        <v>12</v>
      </c>
      <c r="G314" s="0" t="b">
        <f aca="false">FALSE()</f>
        <v>0</v>
      </c>
      <c r="H314" s="0" t="n">
        <v>5</v>
      </c>
      <c r="I314" s="0" t="n">
        <v>1</v>
      </c>
      <c r="J314" s="0" t="n">
        <v>0.2</v>
      </c>
    </row>
    <row r="315" customFormat="false" ht="15" hidden="false" customHeight="false" outlineLevel="0" collapsed="false">
      <c r="A315" s="0" t="n">
        <v>314</v>
      </c>
      <c r="B315" s="0" t="s">
        <v>90</v>
      </c>
      <c r="C315" s="0" t="n">
        <v>1</v>
      </c>
      <c r="D315" s="0" t="n">
        <v>0</v>
      </c>
      <c r="E315" s="0" t="n">
        <v>1</v>
      </c>
      <c r="F315" s="0" t="n">
        <v>13</v>
      </c>
      <c r="G315" s="0" t="b">
        <f aca="false">FALSE()</f>
        <v>0</v>
      </c>
      <c r="H315" s="0" t="n">
        <v>5</v>
      </c>
      <c r="I315" s="0" t="n">
        <v>1</v>
      </c>
      <c r="J315" s="0" t="n">
        <v>0.22</v>
      </c>
    </row>
    <row r="316" customFormat="false" ht="15" hidden="false" customHeight="false" outlineLevel="0" collapsed="false">
      <c r="A316" s="0" t="n">
        <v>315</v>
      </c>
      <c r="B316" s="0" t="s">
        <v>90</v>
      </c>
      <c r="C316" s="0" t="n">
        <v>1</v>
      </c>
      <c r="D316" s="0" t="n">
        <v>0</v>
      </c>
      <c r="E316" s="0" t="n">
        <v>1</v>
      </c>
      <c r="F316" s="0" t="n">
        <v>14</v>
      </c>
      <c r="G316" s="0" t="b">
        <f aca="false">FALSE()</f>
        <v>0</v>
      </c>
      <c r="H316" s="0" t="n">
        <v>5</v>
      </c>
      <c r="I316" s="0" t="n">
        <v>1</v>
      </c>
      <c r="J316" s="0" t="n">
        <v>0.22</v>
      </c>
    </row>
    <row r="317" customFormat="false" ht="15" hidden="false" customHeight="false" outlineLevel="0" collapsed="false">
      <c r="A317" s="0" t="n">
        <v>316</v>
      </c>
      <c r="B317" s="0" t="s">
        <v>90</v>
      </c>
      <c r="C317" s="0" t="n">
        <v>1</v>
      </c>
      <c r="D317" s="0" t="n">
        <v>0</v>
      </c>
      <c r="E317" s="0" t="n">
        <v>1</v>
      </c>
      <c r="F317" s="0" t="n">
        <v>15</v>
      </c>
      <c r="G317" s="0" t="b">
        <f aca="false">FALSE()</f>
        <v>0</v>
      </c>
      <c r="H317" s="0" t="n">
        <v>5</v>
      </c>
      <c r="I317" s="0" t="n">
        <v>1</v>
      </c>
      <c r="J317" s="0" t="n">
        <v>0.24</v>
      </c>
    </row>
    <row r="318" customFormat="false" ht="15" hidden="false" customHeight="false" outlineLevel="0" collapsed="false">
      <c r="A318" s="0" t="n">
        <v>317</v>
      </c>
      <c r="B318" s="0" t="s">
        <v>90</v>
      </c>
      <c r="C318" s="0" t="n">
        <v>1</v>
      </c>
      <c r="D318" s="0" t="n">
        <v>0</v>
      </c>
      <c r="E318" s="0" t="n">
        <v>1</v>
      </c>
      <c r="F318" s="0" t="n">
        <v>16</v>
      </c>
      <c r="G318" s="0" t="b">
        <f aca="false">FALSE()</f>
        <v>0</v>
      </c>
      <c r="H318" s="0" t="n">
        <v>5</v>
      </c>
      <c r="I318" s="0" t="n">
        <v>1</v>
      </c>
      <c r="J318" s="0" t="n">
        <v>0.22</v>
      </c>
    </row>
    <row r="319" customFormat="false" ht="15" hidden="false" customHeight="false" outlineLevel="0" collapsed="false">
      <c r="A319" s="0" t="n">
        <v>318</v>
      </c>
      <c r="B319" s="0" t="s">
        <v>90</v>
      </c>
      <c r="C319" s="0" t="n">
        <v>1</v>
      </c>
      <c r="D319" s="0" t="n">
        <v>0</v>
      </c>
      <c r="E319" s="0" t="n">
        <v>1</v>
      </c>
      <c r="F319" s="0" t="n">
        <v>17</v>
      </c>
      <c r="G319" s="0" t="b">
        <f aca="false">FALSE()</f>
        <v>0</v>
      </c>
      <c r="H319" s="0" t="n">
        <v>5</v>
      </c>
      <c r="I319" s="0" t="n">
        <v>1</v>
      </c>
      <c r="J319" s="0" t="n">
        <v>0.22</v>
      </c>
    </row>
    <row r="320" customFormat="false" ht="15" hidden="false" customHeight="false" outlineLevel="0" collapsed="false">
      <c r="A320" s="0" t="n">
        <v>319</v>
      </c>
      <c r="B320" s="0" t="s">
        <v>90</v>
      </c>
      <c r="C320" s="0" t="n">
        <v>1</v>
      </c>
      <c r="D320" s="0" t="n">
        <v>0</v>
      </c>
      <c r="E320" s="0" t="n">
        <v>1</v>
      </c>
      <c r="F320" s="0" t="n">
        <v>18</v>
      </c>
      <c r="G320" s="0" t="b">
        <f aca="false">FALSE()</f>
        <v>0</v>
      </c>
      <c r="H320" s="0" t="n">
        <v>5</v>
      </c>
      <c r="I320" s="0" t="n">
        <v>1</v>
      </c>
      <c r="J320" s="0" t="n">
        <v>0.2</v>
      </c>
    </row>
    <row r="321" customFormat="false" ht="15" hidden="false" customHeight="false" outlineLevel="0" collapsed="false">
      <c r="A321" s="0" t="n">
        <v>320</v>
      </c>
      <c r="B321" s="0" t="s">
        <v>90</v>
      </c>
      <c r="C321" s="0" t="n">
        <v>1</v>
      </c>
      <c r="D321" s="0" t="n">
        <v>0</v>
      </c>
      <c r="E321" s="0" t="n">
        <v>1</v>
      </c>
      <c r="F321" s="0" t="n">
        <v>19</v>
      </c>
      <c r="G321" s="0" t="b">
        <f aca="false">FALSE()</f>
        <v>0</v>
      </c>
      <c r="H321" s="0" t="n">
        <v>5</v>
      </c>
      <c r="I321" s="0" t="n">
        <v>1</v>
      </c>
      <c r="J321" s="0" t="n">
        <v>0.16</v>
      </c>
    </row>
    <row r="322" customFormat="false" ht="15" hidden="false" customHeight="false" outlineLevel="0" collapsed="false">
      <c r="A322" s="0" t="n">
        <v>321</v>
      </c>
      <c r="B322" s="0" t="s">
        <v>90</v>
      </c>
      <c r="C322" s="0" t="n">
        <v>1</v>
      </c>
      <c r="D322" s="0" t="n">
        <v>0</v>
      </c>
      <c r="E322" s="0" t="n">
        <v>1</v>
      </c>
      <c r="F322" s="0" t="n">
        <v>20</v>
      </c>
      <c r="G322" s="0" t="b">
        <f aca="false">FALSE()</f>
        <v>0</v>
      </c>
      <c r="H322" s="0" t="n">
        <v>5</v>
      </c>
      <c r="I322" s="0" t="n">
        <v>1</v>
      </c>
      <c r="J322" s="0" t="n">
        <v>0.18</v>
      </c>
    </row>
    <row r="323" customFormat="false" ht="15" hidden="false" customHeight="false" outlineLevel="0" collapsed="false">
      <c r="A323" s="0" t="n">
        <v>322</v>
      </c>
      <c r="B323" s="0" t="s">
        <v>90</v>
      </c>
      <c r="C323" s="0" t="n">
        <v>1</v>
      </c>
      <c r="D323" s="0" t="n">
        <v>0</v>
      </c>
      <c r="E323" s="0" t="n">
        <v>1</v>
      </c>
      <c r="F323" s="0" t="n">
        <v>21</v>
      </c>
      <c r="G323" s="0" t="b">
        <f aca="false">FALSE()</f>
        <v>0</v>
      </c>
      <c r="H323" s="0" t="n">
        <v>5</v>
      </c>
      <c r="I323" s="0" t="n">
        <v>1</v>
      </c>
      <c r="J323" s="0" t="n">
        <v>0.16</v>
      </c>
    </row>
    <row r="324" customFormat="false" ht="15" hidden="false" customHeight="false" outlineLevel="0" collapsed="false">
      <c r="A324" s="0" t="n">
        <v>323</v>
      </c>
      <c r="B324" s="0" t="s">
        <v>90</v>
      </c>
      <c r="C324" s="0" t="n">
        <v>1</v>
      </c>
      <c r="D324" s="0" t="n">
        <v>0</v>
      </c>
      <c r="E324" s="0" t="n">
        <v>1</v>
      </c>
      <c r="F324" s="0" t="n">
        <v>22</v>
      </c>
      <c r="G324" s="0" t="b">
        <f aca="false">FALSE()</f>
        <v>0</v>
      </c>
      <c r="H324" s="0" t="n">
        <v>5</v>
      </c>
      <c r="I324" s="0" t="n">
        <v>2</v>
      </c>
      <c r="J324" s="0" t="n">
        <v>0.16</v>
      </c>
    </row>
    <row r="325" customFormat="false" ht="15" hidden="false" customHeight="false" outlineLevel="0" collapsed="false">
      <c r="A325" s="0" t="n">
        <v>324</v>
      </c>
      <c r="B325" s="0" t="s">
        <v>90</v>
      </c>
      <c r="C325" s="0" t="n">
        <v>1</v>
      </c>
      <c r="D325" s="0" t="n">
        <v>0</v>
      </c>
      <c r="E325" s="0" t="n">
        <v>1</v>
      </c>
      <c r="F325" s="0" t="n">
        <v>23</v>
      </c>
      <c r="G325" s="0" t="b">
        <f aca="false">FALSE()</f>
        <v>0</v>
      </c>
      <c r="H325" s="0" t="n">
        <v>5</v>
      </c>
      <c r="I325" s="0" t="n">
        <v>2</v>
      </c>
      <c r="J325" s="0" t="n">
        <v>0.18</v>
      </c>
    </row>
    <row r="326" customFormat="false" ht="15" hidden="false" customHeight="false" outlineLevel="0" collapsed="false">
      <c r="A326" s="0" t="n">
        <v>325</v>
      </c>
      <c r="B326" s="0" t="s">
        <v>91</v>
      </c>
      <c r="C326" s="0" t="n">
        <v>1</v>
      </c>
      <c r="D326" s="0" t="n">
        <v>0</v>
      </c>
      <c r="E326" s="0" t="n">
        <v>1</v>
      </c>
      <c r="F326" s="0" t="n">
        <v>0</v>
      </c>
      <c r="G326" s="0" t="b">
        <f aca="false">FALSE()</f>
        <v>0</v>
      </c>
      <c r="H326" s="0" t="n">
        <v>6</v>
      </c>
      <c r="I326" s="0" t="n">
        <v>1</v>
      </c>
      <c r="J326" s="0" t="n">
        <v>0.18</v>
      </c>
    </row>
    <row r="327" customFormat="false" ht="15" hidden="false" customHeight="false" outlineLevel="0" collapsed="false">
      <c r="A327" s="0" t="n">
        <v>326</v>
      </c>
      <c r="B327" s="0" t="s">
        <v>91</v>
      </c>
      <c r="C327" s="0" t="n">
        <v>1</v>
      </c>
      <c r="D327" s="0" t="n">
        <v>0</v>
      </c>
      <c r="E327" s="0" t="n">
        <v>1</v>
      </c>
      <c r="F327" s="0" t="n">
        <v>1</v>
      </c>
      <c r="G327" s="0" t="b">
        <f aca="false">FALSE()</f>
        <v>0</v>
      </c>
      <c r="H327" s="0" t="n">
        <v>6</v>
      </c>
      <c r="I327" s="0" t="n">
        <v>2</v>
      </c>
      <c r="J327" s="0" t="n">
        <v>0.16</v>
      </c>
    </row>
    <row r="328" customFormat="false" ht="15" hidden="false" customHeight="false" outlineLevel="0" collapsed="false">
      <c r="A328" s="0" t="n">
        <v>327</v>
      </c>
      <c r="B328" s="0" t="s">
        <v>91</v>
      </c>
      <c r="C328" s="0" t="n">
        <v>1</v>
      </c>
      <c r="D328" s="0" t="n">
        <v>0</v>
      </c>
      <c r="E328" s="0" t="n">
        <v>1</v>
      </c>
      <c r="F328" s="0" t="n">
        <v>2</v>
      </c>
      <c r="G328" s="0" t="b">
        <f aca="false">FALSE()</f>
        <v>0</v>
      </c>
      <c r="H328" s="0" t="n">
        <v>6</v>
      </c>
      <c r="I328" s="0" t="n">
        <v>2</v>
      </c>
      <c r="J328" s="0" t="n">
        <v>0.16</v>
      </c>
    </row>
    <row r="329" customFormat="false" ht="15" hidden="false" customHeight="false" outlineLevel="0" collapsed="false">
      <c r="A329" s="0" t="n">
        <v>328</v>
      </c>
      <c r="B329" s="0" t="s">
        <v>91</v>
      </c>
      <c r="C329" s="0" t="n">
        <v>1</v>
      </c>
      <c r="D329" s="0" t="n">
        <v>0</v>
      </c>
      <c r="E329" s="0" t="n">
        <v>1</v>
      </c>
      <c r="F329" s="0" t="n">
        <v>3</v>
      </c>
      <c r="G329" s="0" t="b">
        <f aca="false">FALSE()</f>
        <v>0</v>
      </c>
      <c r="H329" s="0" t="n">
        <v>6</v>
      </c>
      <c r="I329" s="0" t="n">
        <v>2</v>
      </c>
      <c r="J329" s="0" t="n">
        <v>0.16</v>
      </c>
    </row>
    <row r="330" customFormat="false" ht="15" hidden="false" customHeight="false" outlineLevel="0" collapsed="false">
      <c r="A330" s="0" t="n">
        <v>329</v>
      </c>
      <c r="B330" s="0" t="s">
        <v>91</v>
      </c>
      <c r="C330" s="0" t="n">
        <v>1</v>
      </c>
      <c r="D330" s="0" t="n">
        <v>0</v>
      </c>
      <c r="E330" s="0" t="n">
        <v>1</v>
      </c>
      <c r="F330" s="0" t="n">
        <v>4</v>
      </c>
      <c r="G330" s="0" t="b">
        <f aca="false">FALSE()</f>
        <v>0</v>
      </c>
      <c r="H330" s="0" t="n">
        <v>6</v>
      </c>
      <c r="I330" s="0" t="n">
        <v>2</v>
      </c>
      <c r="J330" s="0" t="n">
        <v>0.16</v>
      </c>
    </row>
    <row r="331" customFormat="false" ht="15" hidden="false" customHeight="false" outlineLevel="0" collapsed="false">
      <c r="A331" s="0" t="n">
        <v>330</v>
      </c>
      <c r="B331" s="0" t="s">
        <v>91</v>
      </c>
      <c r="C331" s="0" t="n">
        <v>1</v>
      </c>
      <c r="D331" s="0" t="n">
        <v>0</v>
      </c>
      <c r="E331" s="0" t="n">
        <v>1</v>
      </c>
      <c r="F331" s="0" t="n">
        <v>5</v>
      </c>
      <c r="G331" s="0" t="b">
        <f aca="false">FALSE()</f>
        <v>0</v>
      </c>
      <c r="H331" s="0" t="n">
        <v>6</v>
      </c>
      <c r="I331" s="0" t="n">
        <v>1</v>
      </c>
      <c r="J331" s="0" t="n">
        <v>0.16</v>
      </c>
    </row>
    <row r="332" customFormat="false" ht="15" hidden="false" customHeight="false" outlineLevel="0" collapsed="false">
      <c r="A332" s="0" t="n">
        <v>331</v>
      </c>
      <c r="B332" s="0" t="s">
        <v>91</v>
      </c>
      <c r="C332" s="0" t="n">
        <v>1</v>
      </c>
      <c r="D332" s="0" t="n">
        <v>0</v>
      </c>
      <c r="E332" s="0" t="n">
        <v>1</v>
      </c>
      <c r="F332" s="0" t="n">
        <v>6</v>
      </c>
      <c r="G332" s="0" t="b">
        <f aca="false">FALSE()</f>
        <v>0</v>
      </c>
      <c r="H332" s="0" t="n">
        <v>6</v>
      </c>
      <c r="I332" s="0" t="n">
        <v>1</v>
      </c>
      <c r="J332" s="0" t="n">
        <v>0.14</v>
      </c>
    </row>
    <row r="333" customFormat="false" ht="15" hidden="false" customHeight="false" outlineLevel="0" collapsed="false">
      <c r="A333" s="0" t="n">
        <v>332</v>
      </c>
      <c r="B333" s="0" t="s">
        <v>91</v>
      </c>
      <c r="C333" s="0" t="n">
        <v>1</v>
      </c>
      <c r="D333" s="0" t="n">
        <v>0</v>
      </c>
      <c r="E333" s="0" t="n">
        <v>1</v>
      </c>
      <c r="F333" s="0" t="n">
        <v>7</v>
      </c>
      <c r="G333" s="0" t="b">
        <f aca="false">FALSE()</f>
        <v>0</v>
      </c>
      <c r="H333" s="0" t="n">
        <v>6</v>
      </c>
      <c r="I333" s="0" t="n">
        <v>1</v>
      </c>
      <c r="J333" s="0" t="n">
        <v>0.14</v>
      </c>
    </row>
    <row r="334" customFormat="false" ht="15" hidden="false" customHeight="false" outlineLevel="0" collapsed="false">
      <c r="A334" s="0" t="n">
        <v>333</v>
      </c>
      <c r="B334" s="0" t="s">
        <v>91</v>
      </c>
      <c r="C334" s="0" t="n">
        <v>1</v>
      </c>
      <c r="D334" s="0" t="n">
        <v>0</v>
      </c>
      <c r="E334" s="0" t="n">
        <v>1</v>
      </c>
      <c r="F334" s="0" t="n">
        <v>8</v>
      </c>
      <c r="G334" s="0" t="b">
        <f aca="false">FALSE()</f>
        <v>0</v>
      </c>
      <c r="H334" s="0" t="n">
        <v>6</v>
      </c>
      <c r="I334" s="0" t="n">
        <v>1</v>
      </c>
      <c r="J334" s="0" t="n">
        <v>0.14</v>
      </c>
    </row>
    <row r="335" customFormat="false" ht="15" hidden="false" customHeight="false" outlineLevel="0" collapsed="false">
      <c r="A335" s="0" t="n">
        <v>334</v>
      </c>
      <c r="B335" s="0" t="s">
        <v>91</v>
      </c>
      <c r="C335" s="0" t="n">
        <v>1</v>
      </c>
      <c r="D335" s="0" t="n">
        <v>0</v>
      </c>
      <c r="E335" s="0" t="n">
        <v>1</v>
      </c>
      <c r="F335" s="0" t="n">
        <v>9</v>
      </c>
      <c r="G335" s="0" t="b">
        <f aca="false">FALSE()</f>
        <v>0</v>
      </c>
      <c r="H335" s="0" t="n">
        <v>6</v>
      </c>
      <c r="I335" s="0" t="n">
        <v>1</v>
      </c>
      <c r="J335" s="0" t="n">
        <v>0.16</v>
      </c>
    </row>
    <row r="336" customFormat="false" ht="15" hidden="false" customHeight="false" outlineLevel="0" collapsed="false">
      <c r="A336" s="0" t="n">
        <v>335</v>
      </c>
      <c r="B336" s="0" t="s">
        <v>91</v>
      </c>
      <c r="C336" s="0" t="n">
        <v>1</v>
      </c>
      <c r="D336" s="0" t="n">
        <v>0</v>
      </c>
      <c r="E336" s="0" t="n">
        <v>1</v>
      </c>
      <c r="F336" s="0" t="n">
        <v>10</v>
      </c>
      <c r="G336" s="0" t="b">
        <f aca="false">FALSE()</f>
        <v>0</v>
      </c>
      <c r="H336" s="0" t="n">
        <v>6</v>
      </c>
      <c r="I336" s="0" t="n">
        <v>1</v>
      </c>
      <c r="J336" s="0" t="n">
        <v>0.18</v>
      </c>
    </row>
    <row r="337" customFormat="false" ht="15" hidden="false" customHeight="false" outlineLevel="0" collapsed="false">
      <c r="A337" s="0" t="n">
        <v>336</v>
      </c>
      <c r="B337" s="0" t="s">
        <v>91</v>
      </c>
      <c r="C337" s="0" t="n">
        <v>1</v>
      </c>
      <c r="D337" s="0" t="n">
        <v>0</v>
      </c>
      <c r="E337" s="0" t="n">
        <v>1</v>
      </c>
      <c r="F337" s="0" t="n">
        <v>11</v>
      </c>
      <c r="G337" s="0" t="b">
        <f aca="false">FALSE()</f>
        <v>0</v>
      </c>
      <c r="H337" s="0" t="n">
        <v>6</v>
      </c>
      <c r="I337" s="0" t="n">
        <v>1</v>
      </c>
      <c r="J337" s="0" t="n">
        <v>0.2</v>
      </c>
    </row>
    <row r="338" customFormat="false" ht="15" hidden="false" customHeight="false" outlineLevel="0" collapsed="false">
      <c r="A338" s="0" t="n">
        <v>337</v>
      </c>
      <c r="B338" s="0" t="s">
        <v>91</v>
      </c>
      <c r="C338" s="0" t="n">
        <v>1</v>
      </c>
      <c r="D338" s="0" t="n">
        <v>0</v>
      </c>
      <c r="E338" s="0" t="n">
        <v>1</v>
      </c>
      <c r="F338" s="0" t="n">
        <v>12</v>
      </c>
      <c r="G338" s="0" t="b">
        <f aca="false">FALSE()</f>
        <v>0</v>
      </c>
      <c r="H338" s="0" t="n">
        <v>6</v>
      </c>
      <c r="I338" s="0" t="n">
        <v>1</v>
      </c>
      <c r="J338" s="0" t="n">
        <v>0.24</v>
      </c>
    </row>
    <row r="339" customFormat="false" ht="15" hidden="false" customHeight="false" outlineLevel="0" collapsed="false">
      <c r="A339" s="0" t="n">
        <v>338</v>
      </c>
      <c r="B339" s="0" t="s">
        <v>91</v>
      </c>
      <c r="C339" s="0" t="n">
        <v>1</v>
      </c>
      <c r="D339" s="0" t="n">
        <v>0</v>
      </c>
      <c r="E339" s="0" t="n">
        <v>1</v>
      </c>
      <c r="F339" s="0" t="n">
        <v>13</v>
      </c>
      <c r="G339" s="0" t="b">
        <f aca="false">FALSE()</f>
        <v>0</v>
      </c>
      <c r="H339" s="0" t="n">
        <v>6</v>
      </c>
      <c r="I339" s="0" t="n">
        <v>1</v>
      </c>
      <c r="J339" s="0" t="n">
        <v>0.28</v>
      </c>
    </row>
    <row r="340" customFormat="false" ht="15" hidden="false" customHeight="false" outlineLevel="0" collapsed="false">
      <c r="A340" s="0" t="n">
        <v>339</v>
      </c>
      <c r="B340" s="0" t="s">
        <v>91</v>
      </c>
      <c r="C340" s="0" t="n">
        <v>1</v>
      </c>
      <c r="D340" s="0" t="n">
        <v>0</v>
      </c>
      <c r="E340" s="0" t="n">
        <v>1</v>
      </c>
      <c r="F340" s="0" t="n">
        <v>14</v>
      </c>
      <c r="G340" s="0" t="b">
        <f aca="false">FALSE()</f>
        <v>0</v>
      </c>
      <c r="H340" s="0" t="n">
        <v>6</v>
      </c>
      <c r="I340" s="0" t="n">
        <v>1</v>
      </c>
      <c r="J340" s="0" t="n">
        <v>0.3</v>
      </c>
    </row>
    <row r="341" customFormat="false" ht="15" hidden="false" customHeight="false" outlineLevel="0" collapsed="false">
      <c r="A341" s="0" t="n">
        <v>340</v>
      </c>
      <c r="B341" s="0" t="s">
        <v>91</v>
      </c>
      <c r="C341" s="0" t="n">
        <v>1</v>
      </c>
      <c r="D341" s="0" t="n">
        <v>0</v>
      </c>
      <c r="E341" s="0" t="n">
        <v>1</v>
      </c>
      <c r="F341" s="0" t="n">
        <v>15</v>
      </c>
      <c r="G341" s="0" t="b">
        <f aca="false">FALSE()</f>
        <v>0</v>
      </c>
      <c r="H341" s="0" t="n">
        <v>6</v>
      </c>
      <c r="I341" s="0" t="n">
        <v>2</v>
      </c>
      <c r="J341" s="0" t="n">
        <v>0.32</v>
      </c>
    </row>
    <row r="342" customFormat="false" ht="15" hidden="false" customHeight="false" outlineLevel="0" collapsed="false">
      <c r="A342" s="0" t="n">
        <v>341</v>
      </c>
      <c r="B342" s="0" t="s">
        <v>91</v>
      </c>
      <c r="C342" s="0" t="n">
        <v>1</v>
      </c>
      <c r="D342" s="0" t="n">
        <v>0</v>
      </c>
      <c r="E342" s="0" t="n">
        <v>1</v>
      </c>
      <c r="F342" s="0" t="n">
        <v>16</v>
      </c>
      <c r="G342" s="0" t="b">
        <f aca="false">FALSE()</f>
        <v>0</v>
      </c>
      <c r="H342" s="0" t="n">
        <v>6</v>
      </c>
      <c r="I342" s="0" t="n">
        <v>2</v>
      </c>
      <c r="J342" s="0" t="n">
        <v>0.34</v>
      </c>
    </row>
    <row r="343" customFormat="false" ht="15" hidden="false" customHeight="false" outlineLevel="0" collapsed="false">
      <c r="A343" s="0" t="n">
        <v>342</v>
      </c>
      <c r="B343" s="0" t="s">
        <v>91</v>
      </c>
      <c r="C343" s="0" t="n">
        <v>1</v>
      </c>
      <c r="D343" s="0" t="n">
        <v>0</v>
      </c>
      <c r="E343" s="0" t="n">
        <v>1</v>
      </c>
      <c r="F343" s="0" t="n">
        <v>17</v>
      </c>
      <c r="G343" s="0" t="b">
        <f aca="false">FALSE()</f>
        <v>0</v>
      </c>
      <c r="H343" s="0" t="n">
        <v>6</v>
      </c>
      <c r="I343" s="0" t="n">
        <v>2</v>
      </c>
      <c r="J343" s="0" t="n">
        <v>0.32</v>
      </c>
    </row>
    <row r="344" customFormat="false" ht="15" hidden="false" customHeight="false" outlineLevel="0" collapsed="false">
      <c r="A344" s="0" t="n">
        <v>343</v>
      </c>
      <c r="B344" s="0" t="s">
        <v>91</v>
      </c>
      <c r="C344" s="0" t="n">
        <v>1</v>
      </c>
      <c r="D344" s="0" t="n">
        <v>0</v>
      </c>
      <c r="E344" s="0" t="n">
        <v>1</v>
      </c>
      <c r="F344" s="0" t="n">
        <v>18</v>
      </c>
      <c r="G344" s="0" t="b">
        <f aca="false">FALSE()</f>
        <v>0</v>
      </c>
      <c r="H344" s="0" t="n">
        <v>6</v>
      </c>
      <c r="I344" s="0" t="n">
        <v>2</v>
      </c>
      <c r="J344" s="0" t="n">
        <v>0.3</v>
      </c>
    </row>
    <row r="345" customFormat="false" ht="15" hidden="false" customHeight="false" outlineLevel="0" collapsed="false">
      <c r="A345" s="0" t="n">
        <v>344</v>
      </c>
      <c r="B345" s="0" t="s">
        <v>91</v>
      </c>
      <c r="C345" s="0" t="n">
        <v>1</v>
      </c>
      <c r="D345" s="0" t="n">
        <v>0</v>
      </c>
      <c r="E345" s="0" t="n">
        <v>1</v>
      </c>
      <c r="F345" s="0" t="n">
        <v>19</v>
      </c>
      <c r="G345" s="0" t="b">
        <f aca="false">FALSE()</f>
        <v>0</v>
      </c>
      <c r="H345" s="0" t="n">
        <v>6</v>
      </c>
      <c r="I345" s="0" t="n">
        <v>2</v>
      </c>
      <c r="J345" s="0" t="n">
        <v>0.32</v>
      </c>
    </row>
    <row r="346" customFormat="false" ht="15" hidden="false" customHeight="false" outlineLevel="0" collapsed="false">
      <c r="A346" s="0" t="n">
        <v>345</v>
      </c>
      <c r="B346" s="0" t="s">
        <v>91</v>
      </c>
      <c r="C346" s="0" t="n">
        <v>1</v>
      </c>
      <c r="D346" s="0" t="n">
        <v>0</v>
      </c>
      <c r="E346" s="0" t="n">
        <v>1</v>
      </c>
      <c r="F346" s="0" t="n">
        <v>20</v>
      </c>
      <c r="G346" s="0" t="b">
        <f aca="false">FALSE()</f>
        <v>0</v>
      </c>
      <c r="H346" s="0" t="n">
        <v>6</v>
      </c>
      <c r="I346" s="0" t="n">
        <v>2</v>
      </c>
      <c r="J346" s="0" t="n">
        <v>0.32</v>
      </c>
    </row>
    <row r="347" customFormat="false" ht="15" hidden="false" customHeight="false" outlineLevel="0" collapsed="false">
      <c r="A347" s="0" t="n">
        <v>346</v>
      </c>
      <c r="B347" s="0" t="s">
        <v>91</v>
      </c>
      <c r="C347" s="0" t="n">
        <v>1</v>
      </c>
      <c r="D347" s="0" t="n">
        <v>0</v>
      </c>
      <c r="E347" s="0" t="n">
        <v>1</v>
      </c>
      <c r="F347" s="0" t="n">
        <v>21</v>
      </c>
      <c r="G347" s="0" t="b">
        <f aca="false">FALSE()</f>
        <v>0</v>
      </c>
      <c r="H347" s="0" t="n">
        <v>6</v>
      </c>
      <c r="I347" s="0" t="n">
        <v>2</v>
      </c>
      <c r="J347" s="0" t="n">
        <v>0.32</v>
      </c>
    </row>
    <row r="348" customFormat="false" ht="15" hidden="false" customHeight="false" outlineLevel="0" collapsed="false">
      <c r="A348" s="0" t="n">
        <v>347</v>
      </c>
      <c r="B348" s="0" t="s">
        <v>91</v>
      </c>
      <c r="C348" s="0" t="n">
        <v>1</v>
      </c>
      <c r="D348" s="0" t="n">
        <v>0</v>
      </c>
      <c r="E348" s="0" t="n">
        <v>1</v>
      </c>
      <c r="F348" s="0" t="n">
        <v>22</v>
      </c>
      <c r="G348" s="0" t="b">
        <f aca="false">FALSE()</f>
        <v>0</v>
      </c>
      <c r="H348" s="0" t="n">
        <v>6</v>
      </c>
      <c r="I348" s="0" t="n">
        <v>2</v>
      </c>
      <c r="J348" s="0" t="n">
        <v>0.3</v>
      </c>
    </row>
    <row r="349" customFormat="false" ht="15" hidden="false" customHeight="false" outlineLevel="0" collapsed="false">
      <c r="A349" s="0" t="n">
        <v>348</v>
      </c>
      <c r="B349" s="0" t="s">
        <v>91</v>
      </c>
      <c r="C349" s="0" t="n">
        <v>1</v>
      </c>
      <c r="D349" s="0" t="n">
        <v>0</v>
      </c>
      <c r="E349" s="0" t="n">
        <v>1</v>
      </c>
      <c r="F349" s="0" t="n">
        <v>23</v>
      </c>
      <c r="G349" s="0" t="b">
        <f aca="false">FALSE()</f>
        <v>0</v>
      </c>
      <c r="H349" s="0" t="n">
        <v>6</v>
      </c>
      <c r="I349" s="0" t="n">
        <v>1</v>
      </c>
      <c r="J349" s="0" t="n">
        <v>0.3</v>
      </c>
    </row>
    <row r="350" customFormat="false" ht="15" hidden="false" customHeight="false" outlineLevel="0" collapsed="false">
      <c r="A350" s="0" t="n">
        <v>349</v>
      </c>
      <c r="B350" s="0" t="s">
        <v>92</v>
      </c>
      <c r="C350" s="0" t="n">
        <v>1</v>
      </c>
      <c r="D350" s="0" t="n">
        <v>0</v>
      </c>
      <c r="E350" s="0" t="n">
        <v>1</v>
      </c>
      <c r="F350" s="0" t="n">
        <v>0</v>
      </c>
      <c r="G350" s="0" t="b">
        <f aca="false">FALSE()</f>
        <v>0</v>
      </c>
      <c r="H350" s="0" t="n">
        <v>0</v>
      </c>
      <c r="I350" s="0" t="n">
        <v>1</v>
      </c>
      <c r="J350" s="0" t="n">
        <v>0.26</v>
      </c>
    </row>
    <row r="351" customFormat="false" ht="15" hidden="false" customHeight="false" outlineLevel="0" collapsed="false">
      <c r="A351" s="0" t="n">
        <v>350</v>
      </c>
      <c r="B351" s="0" t="s">
        <v>92</v>
      </c>
      <c r="C351" s="0" t="n">
        <v>1</v>
      </c>
      <c r="D351" s="0" t="n">
        <v>0</v>
      </c>
      <c r="E351" s="0" t="n">
        <v>1</v>
      </c>
      <c r="F351" s="0" t="n">
        <v>1</v>
      </c>
      <c r="G351" s="0" t="b">
        <f aca="false">FALSE()</f>
        <v>0</v>
      </c>
      <c r="H351" s="0" t="n">
        <v>0</v>
      </c>
      <c r="I351" s="0" t="n">
        <v>1</v>
      </c>
      <c r="J351" s="0" t="n">
        <v>0.26</v>
      </c>
    </row>
    <row r="352" customFormat="false" ht="15" hidden="false" customHeight="false" outlineLevel="0" collapsed="false">
      <c r="A352" s="0" t="n">
        <v>351</v>
      </c>
      <c r="B352" s="0" t="s">
        <v>92</v>
      </c>
      <c r="C352" s="0" t="n">
        <v>1</v>
      </c>
      <c r="D352" s="0" t="n">
        <v>0</v>
      </c>
      <c r="E352" s="0" t="n">
        <v>1</v>
      </c>
      <c r="F352" s="0" t="n">
        <v>2</v>
      </c>
      <c r="G352" s="0" t="b">
        <f aca="false">FALSE()</f>
        <v>0</v>
      </c>
      <c r="H352" s="0" t="n">
        <v>0</v>
      </c>
      <c r="I352" s="0" t="n">
        <v>1</v>
      </c>
      <c r="J352" s="0" t="n">
        <v>0.26</v>
      </c>
    </row>
    <row r="353" customFormat="false" ht="15" hidden="false" customHeight="false" outlineLevel="0" collapsed="false">
      <c r="A353" s="0" t="n">
        <v>352</v>
      </c>
      <c r="B353" s="0" t="s">
        <v>92</v>
      </c>
      <c r="C353" s="0" t="n">
        <v>1</v>
      </c>
      <c r="D353" s="0" t="n">
        <v>0</v>
      </c>
      <c r="E353" s="0" t="n">
        <v>1</v>
      </c>
      <c r="F353" s="0" t="n">
        <v>3</v>
      </c>
      <c r="G353" s="0" t="b">
        <f aca="false">FALSE()</f>
        <v>0</v>
      </c>
      <c r="H353" s="0" t="n">
        <v>0</v>
      </c>
      <c r="I353" s="0" t="n">
        <v>1</v>
      </c>
      <c r="J353" s="0" t="n">
        <v>0.22</v>
      </c>
    </row>
    <row r="354" customFormat="false" ht="15" hidden="false" customHeight="false" outlineLevel="0" collapsed="false">
      <c r="A354" s="0" t="n">
        <v>353</v>
      </c>
      <c r="B354" s="0" t="s">
        <v>92</v>
      </c>
      <c r="C354" s="0" t="n">
        <v>1</v>
      </c>
      <c r="D354" s="0" t="n">
        <v>0</v>
      </c>
      <c r="E354" s="0" t="n">
        <v>1</v>
      </c>
      <c r="F354" s="0" t="n">
        <v>4</v>
      </c>
      <c r="G354" s="0" t="b">
        <f aca="false">FALSE()</f>
        <v>0</v>
      </c>
      <c r="H354" s="0" t="n">
        <v>0</v>
      </c>
      <c r="I354" s="0" t="n">
        <v>1</v>
      </c>
      <c r="J354" s="0" t="n">
        <v>0.26</v>
      </c>
    </row>
    <row r="355" customFormat="false" ht="15" hidden="false" customHeight="false" outlineLevel="0" collapsed="false">
      <c r="A355" s="0" t="n">
        <v>354</v>
      </c>
      <c r="B355" s="0" t="s">
        <v>92</v>
      </c>
      <c r="C355" s="0" t="n">
        <v>1</v>
      </c>
      <c r="D355" s="0" t="n">
        <v>0</v>
      </c>
      <c r="E355" s="0" t="n">
        <v>1</v>
      </c>
      <c r="F355" s="0" t="n">
        <v>5</v>
      </c>
      <c r="G355" s="0" t="b">
        <f aca="false">FALSE()</f>
        <v>0</v>
      </c>
      <c r="H355" s="0" t="n">
        <v>0</v>
      </c>
      <c r="I355" s="0" t="n">
        <v>2</v>
      </c>
      <c r="J355" s="0" t="n">
        <v>0.26</v>
      </c>
    </row>
    <row r="356" customFormat="false" ht="15" hidden="false" customHeight="false" outlineLevel="0" collapsed="false">
      <c r="A356" s="0" t="n">
        <v>355</v>
      </c>
      <c r="B356" s="0" t="s">
        <v>92</v>
      </c>
      <c r="C356" s="0" t="n">
        <v>1</v>
      </c>
      <c r="D356" s="0" t="n">
        <v>0</v>
      </c>
      <c r="E356" s="0" t="n">
        <v>1</v>
      </c>
      <c r="F356" s="0" t="n">
        <v>6</v>
      </c>
      <c r="G356" s="0" t="b">
        <f aca="false">FALSE()</f>
        <v>0</v>
      </c>
      <c r="H356" s="0" t="n">
        <v>0</v>
      </c>
      <c r="I356" s="0" t="n">
        <v>2</v>
      </c>
      <c r="J356" s="0" t="n">
        <v>0.26</v>
      </c>
    </row>
    <row r="357" customFormat="false" ht="15" hidden="false" customHeight="false" outlineLevel="0" collapsed="false">
      <c r="A357" s="0" t="n">
        <v>356</v>
      </c>
      <c r="B357" s="0" t="s">
        <v>92</v>
      </c>
      <c r="C357" s="0" t="n">
        <v>1</v>
      </c>
      <c r="D357" s="0" t="n">
        <v>0</v>
      </c>
      <c r="E357" s="0" t="n">
        <v>1</v>
      </c>
      <c r="F357" s="0" t="n">
        <v>7</v>
      </c>
      <c r="G357" s="0" t="b">
        <f aca="false">FALSE()</f>
        <v>0</v>
      </c>
      <c r="H357" s="0" t="n">
        <v>0</v>
      </c>
      <c r="I357" s="0" t="n">
        <v>2</v>
      </c>
      <c r="J357" s="0" t="n">
        <v>0.24</v>
      </c>
    </row>
    <row r="358" customFormat="false" ht="15" hidden="false" customHeight="false" outlineLevel="0" collapsed="false">
      <c r="A358" s="0" t="n">
        <v>357</v>
      </c>
      <c r="B358" s="0" t="s">
        <v>92</v>
      </c>
      <c r="C358" s="0" t="n">
        <v>1</v>
      </c>
      <c r="D358" s="0" t="n">
        <v>0</v>
      </c>
      <c r="E358" s="0" t="n">
        <v>1</v>
      </c>
      <c r="F358" s="0" t="n">
        <v>8</v>
      </c>
      <c r="G358" s="0" t="b">
        <f aca="false">FALSE()</f>
        <v>0</v>
      </c>
      <c r="H358" s="0" t="n">
        <v>0</v>
      </c>
      <c r="I358" s="0" t="n">
        <v>1</v>
      </c>
      <c r="J358" s="0" t="n">
        <v>0.22</v>
      </c>
    </row>
    <row r="359" customFormat="false" ht="15" hidden="false" customHeight="false" outlineLevel="0" collapsed="false">
      <c r="A359" s="0" t="n">
        <v>358</v>
      </c>
      <c r="B359" s="0" t="s">
        <v>92</v>
      </c>
      <c r="C359" s="0" t="n">
        <v>1</v>
      </c>
      <c r="D359" s="0" t="n">
        <v>0</v>
      </c>
      <c r="E359" s="0" t="n">
        <v>1</v>
      </c>
      <c r="F359" s="0" t="n">
        <v>9</v>
      </c>
      <c r="G359" s="0" t="b">
        <f aca="false">FALSE()</f>
        <v>0</v>
      </c>
      <c r="H359" s="0" t="n">
        <v>0</v>
      </c>
      <c r="I359" s="0" t="n">
        <v>1</v>
      </c>
      <c r="J359" s="0" t="n">
        <v>0.22</v>
      </c>
    </row>
    <row r="360" customFormat="false" ht="15" hidden="false" customHeight="false" outlineLevel="0" collapsed="false">
      <c r="A360" s="0" t="n">
        <v>359</v>
      </c>
      <c r="B360" s="0" t="s">
        <v>92</v>
      </c>
      <c r="C360" s="0" t="n">
        <v>1</v>
      </c>
      <c r="D360" s="0" t="n">
        <v>0</v>
      </c>
      <c r="E360" s="0" t="n">
        <v>1</v>
      </c>
      <c r="F360" s="0" t="n">
        <v>10</v>
      </c>
      <c r="G360" s="0" t="b">
        <f aca="false">FALSE()</f>
        <v>0</v>
      </c>
      <c r="H360" s="0" t="n">
        <v>0</v>
      </c>
      <c r="I360" s="0" t="n">
        <v>1</v>
      </c>
      <c r="J360" s="0" t="n">
        <v>0.22</v>
      </c>
    </row>
    <row r="361" customFormat="false" ht="15" hidden="false" customHeight="false" outlineLevel="0" collapsed="false">
      <c r="A361" s="0" t="n">
        <v>360</v>
      </c>
      <c r="B361" s="0" t="s">
        <v>92</v>
      </c>
      <c r="C361" s="0" t="n">
        <v>1</v>
      </c>
      <c r="D361" s="0" t="n">
        <v>0</v>
      </c>
      <c r="E361" s="0" t="n">
        <v>1</v>
      </c>
      <c r="F361" s="0" t="n">
        <v>11</v>
      </c>
      <c r="G361" s="0" t="b">
        <f aca="false">FALSE()</f>
        <v>0</v>
      </c>
      <c r="H361" s="0" t="n">
        <v>0</v>
      </c>
      <c r="I361" s="0" t="n">
        <v>1</v>
      </c>
      <c r="J361" s="0" t="n">
        <v>0.24</v>
      </c>
    </row>
    <row r="362" customFormat="false" ht="15" hidden="false" customHeight="false" outlineLevel="0" collapsed="false">
      <c r="A362" s="0" t="n">
        <v>361</v>
      </c>
      <c r="B362" s="0" t="s">
        <v>92</v>
      </c>
      <c r="C362" s="0" t="n">
        <v>1</v>
      </c>
      <c r="D362" s="0" t="n">
        <v>0</v>
      </c>
      <c r="E362" s="0" t="n">
        <v>1</v>
      </c>
      <c r="F362" s="0" t="n">
        <v>12</v>
      </c>
      <c r="G362" s="0" t="b">
        <f aca="false">FALSE()</f>
        <v>0</v>
      </c>
      <c r="H362" s="0" t="n">
        <v>0</v>
      </c>
      <c r="I362" s="0" t="n">
        <v>1</v>
      </c>
      <c r="J362" s="0" t="n">
        <v>0.24</v>
      </c>
    </row>
    <row r="363" customFormat="false" ht="15" hidden="false" customHeight="false" outlineLevel="0" collapsed="false">
      <c r="A363" s="0" t="n">
        <v>362</v>
      </c>
      <c r="B363" s="0" t="s">
        <v>92</v>
      </c>
      <c r="C363" s="0" t="n">
        <v>1</v>
      </c>
      <c r="D363" s="0" t="n">
        <v>0</v>
      </c>
      <c r="E363" s="0" t="n">
        <v>1</v>
      </c>
      <c r="F363" s="0" t="n">
        <v>13</v>
      </c>
      <c r="G363" s="0" t="b">
        <f aca="false">FALSE()</f>
        <v>0</v>
      </c>
      <c r="H363" s="0" t="n">
        <v>0</v>
      </c>
      <c r="I363" s="0" t="n">
        <v>1</v>
      </c>
      <c r="J363" s="0" t="n">
        <v>0.26</v>
      </c>
    </row>
    <row r="364" customFormat="false" ht="15" hidden="false" customHeight="false" outlineLevel="0" collapsed="false">
      <c r="A364" s="0" t="n">
        <v>363</v>
      </c>
      <c r="B364" s="0" t="s">
        <v>92</v>
      </c>
      <c r="C364" s="0" t="n">
        <v>1</v>
      </c>
      <c r="D364" s="0" t="n">
        <v>0</v>
      </c>
      <c r="E364" s="0" t="n">
        <v>1</v>
      </c>
      <c r="F364" s="0" t="n">
        <v>14</v>
      </c>
      <c r="G364" s="0" t="b">
        <f aca="false">FALSE()</f>
        <v>0</v>
      </c>
      <c r="H364" s="0" t="n">
        <v>0</v>
      </c>
      <c r="I364" s="0" t="n">
        <v>1</v>
      </c>
      <c r="J364" s="0" t="n">
        <v>0.28</v>
      </c>
    </row>
    <row r="365" customFormat="false" ht="15" hidden="false" customHeight="false" outlineLevel="0" collapsed="false">
      <c r="A365" s="0" t="n">
        <v>364</v>
      </c>
      <c r="B365" s="0" t="s">
        <v>92</v>
      </c>
      <c r="C365" s="0" t="n">
        <v>1</v>
      </c>
      <c r="D365" s="0" t="n">
        <v>0</v>
      </c>
      <c r="E365" s="0" t="n">
        <v>1</v>
      </c>
      <c r="F365" s="0" t="n">
        <v>15</v>
      </c>
      <c r="G365" s="0" t="b">
        <f aca="false">FALSE()</f>
        <v>0</v>
      </c>
      <c r="H365" s="0" t="n">
        <v>0</v>
      </c>
      <c r="I365" s="0" t="n">
        <v>1</v>
      </c>
      <c r="J365" s="0" t="n">
        <v>0.26</v>
      </c>
    </row>
    <row r="366" customFormat="false" ht="15" hidden="false" customHeight="false" outlineLevel="0" collapsed="false">
      <c r="A366" s="0" t="n">
        <v>365</v>
      </c>
      <c r="B366" s="0" t="s">
        <v>92</v>
      </c>
      <c r="C366" s="0" t="n">
        <v>1</v>
      </c>
      <c r="D366" s="0" t="n">
        <v>0</v>
      </c>
      <c r="E366" s="0" t="n">
        <v>1</v>
      </c>
      <c r="F366" s="0" t="n">
        <v>16</v>
      </c>
      <c r="G366" s="0" t="b">
        <f aca="false">FALSE()</f>
        <v>0</v>
      </c>
      <c r="H366" s="0" t="n">
        <v>0</v>
      </c>
      <c r="I366" s="0" t="n">
        <v>1</v>
      </c>
      <c r="J366" s="0" t="n">
        <v>0.24</v>
      </c>
    </row>
    <row r="367" customFormat="false" ht="15" hidden="false" customHeight="false" outlineLevel="0" collapsed="false">
      <c r="A367" s="0" t="n">
        <v>366</v>
      </c>
      <c r="B367" s="0" t="s">
        <v>92</v>
      </c>
      <c r="C367" s="0" t="n">
        <v>1</v>
      </c>
      <c r="D367" s="0" t="n">
        <v>0</v>
      </c>
      <c r="E367" s="0" t="n">
        <v>1</v>
      </c>
      <c r="F367" s="0" t="n">
        <v>17</v>
      </c>
      <c r="G367" s="0" t="b">
        <f aca="false">FALSE()</f>
        <v>0</v>
      </c>
      <c r="H367" s="0" t="n">
        <v>0</v>
      </c>
      <c r="I367" s="0" t="n">
        <v>1</v>
      </c>
      <c r="J367" s="0" t="n">
        <v>0.22</v>
      </c>
    </row>
    <row r="368" customFormat="false" ht="15" hidden="false" customHeight="false" outlineLevel="0" collapsed="false">
      <c r="A368" s="0" t="n">
        <v>367</v>
      </c>
      <c r="B368" s="0" t="s">
        <v>92</v>
      </c>
      <c r="C368" s="0" t="n">
        <v>1</v>
      </c>
      <c r="D368" s="0" t="n">
        <v>0</v>
      </c>
      <c r="E368" s="0" t="n">
        <v>1</v>
      </c>
      <c r="F368" s="0" t="n">
        <v>18</v>
      </c>
      <c r="G368" s="0" t="b">
        <f aca="false">FALSE()</f>
        <v>0</v>
      </c>
      <c r="H368" s="0" t="n">
        <v>0</v>
      </c>
      <c r="I368" s="0" t="n">
        <v>1</v>
      </c>
      <c r="J368" s="0" t="n">
        <v>0.2</v>
      </c>
    </row>
    <row r="369" customFormat="false" ht="15" hidden="false" customHeight="false" outlineLevel="0" collapsed="false">
      <c r="A369" s="0" t="n">
        <v>368</v>
      </c>
      <c r="B369" s="0" t="s">
        <v>92</v>
      </c>
      <c r="C369" s="0" t="n">
        <v>1</v>
      </c>
      <c r="D369" s="0" t="n">
        <v>0</v>
      </c>
      <c r="E369" s="0" t="n">
        <v>1</v>
      </c>
      <c r="F369" s="0" t="n">
        <v>19</v>
      </c>
      <c r="G369" s="0" t="b">
        <f aca="false">FALSE()</f>
        <v>0</v>
      </c>
      <c r="H369" s="0" t="n">
        <v>0</v>
      </c>
      <c r="I369" s="0" t="n">
        <v>1</v>
      </c>
      <c r="J369" s="0" t="n">
        <v>0.18</v>
      </c>
    </row>
    <row r="370" customFormat="false" ht="15" hidden="false" customHeight="false" outlineLevel="0" collapsed="false">
      <c r="A370" s="0" t="n">
        <v>369</v>
      </c>
      <c r="B370" s="0" t="s">
        <v>92</v>
      </c>
      <c r="C370" s="0" t="n">
        <v>1</v>
      </c>
      <c r="D370" s="0" t="n">
        <v>0</v>
      </c>
      <c r="E370" s="0" t="n">
        <v>1</v>
      </c>
      <c r="F370" s="0" t="n">
        <v>20</v>
      </c>
      <c r="G370" s="0" t="b">
        <f aca="false">FALSE()</f>
        <v>0</v>
      </c>
      <c r="H370" s="0" t="n">
        <v>0</v>
      </c>
      <c r="I370" s="0" t="n">
        <v>1</v>
      </c>
      <c r="J370" s="0" t="n">
        <v>0.18</v>
      </c>
    </row>
    <row r="371" customFormat="false" ht="15" hidden="false" customHeight="false" outlineLevel="0" collapsed="false">
      <c r="A371" s="0" t="n">
        <v>370</v>
      </c>
      <c r="B371" s="0" t="s">
        <v>92</v>
      </c>
      <c r="C371" s="0" t="n">
        <v>1</v>
      </c>
      <c r="D371" s="0" t="n">
        <v>0</v>
      </c>
      <c r="E371" s="0" t="n">
        <v>1</v>
      </c>
      <c r="F371" s="0" t="n">
        <v>21</v>
      </c>
      <c r="G371" s="0" t="b">
        <f aca="false">FALSE()</f>
        <v>0</v>
      </c>
      <c r="H371" s="0" t="n">
        <v>0</v>
      </c>
      <c r="I371" s="0" t="n">
        <v>1</v>
      </c>
      <c r="J371" s="0" t="n">
        <v>0.18</v>
      </c>
    </row>
    <row r="372" customFormat="false" ht="15" hidden="false" customHeight="false" outlineLevel="0" collapsed="false">
      <c r="A372" s="0" t="n">
        <v>371</v>
      </c>
      <c r="B372" s="0" t="s">
        <v>92</v>
      </c>
      <c r="C372" s="0" t="n">
        <v>1</v>
      </c>
      <c r="D372" s="0" t="n">
        <v>0</v>
      </c>
      <c r="E372" s="0" t="n">
        <v>1</v>
      </c>
      <c r="F372" s="0" t="n">
        <v>22</v>
      </c>
      <c r="G372" s="0" t="b">
        <f aca="false">FALSE()</f>
        <v>0</v>
      </c>
      <c r="H372" s="0" t="n">
        <v>0</v>
      </c>
      <c r="I372" s="0" t="n">
        <v>2</v>
      </c>
      <c r="J372" s="0" t="n">
        <v>0.2</v>
      </c>
    </row>
    <row r="373" customFormat="false" ht="15" hidden="false" customHeight="false" outlineLevel="0" collapsed="false">
      <c r="A373" s="0" t="n">
        <v>372</v>
      </c>
      <c r="B373" s="0" t="s">
        <v>92</v>
      </c>
      <c r="C373" s="0" t="n">
        <v>1</v>
      </c>
      <c r="D373" s="0" t="n">
        <v>0</v>
      </c>
      <c r="E373" s="0" t="n">
        <v>1</v>
      </c>
      <c r="F373" s="0" t="n">
        <v>23</v>
      </c>
      <c r="G373" s="0" t="b">
        <f aca="false">FALSE()</f>
        <v>0</v>
      </c>
      <c r="H373" s="0" t="n">
        <v>0</v>
      </c>
      <c r="I373" s="0" t="n">
        <v>2</v>
      </c>
      <c r="J373" s="0" t="n">
        <v>0.2</v>
      </c>
    </row>
    <row r="374" customFormat="false" ht="15" hidden="false" customHeight="false" outlineLevel="0" collapsed="false">
      <c r="A374" s="0" t="n">
        <v>373</v>
      </c>
      <c r="B374" s="0" t="s">
        <v>93</v>
      </c>
      <c r="C374" s="0" t="n">
        <v>1</v>
      </c>
      <c r="D374" s="0" t="n">
        <v>0</v>
      </c>
      <c r="E374" s="0" t="n">
        <v>1</v>
      </c>
      <c r="F374" s="0" t="n">
        <v>0</v>
      </c>
      <c r="G374" s="0" t="b">
        <f aca="false">TRUE()</f>
        <v>1</v>
      </c>
      <c r="H374" s="0" t="n">
        <v>1</v>
      </c>
      <c r="I374" s="0" t="n">
        <v>2</v>
      </c>
      <c r="J374" s="0" t="n">
        <v>0.2</v>
      </c>
    </row>
    <row r="375" customFormat="false" ht="15" hidden="false" customHeight="false" outlineLevel="0" collapsed="false">
      <c r="A375" s="0" t="n">
        <v>374</v>
      </c>
      <c r="B375" s="0" t="s">
        <v>93</v>
      </c>
      <c r="C375" s="0" t="n">
        <v>1</v>
      </c>
      <c r="D375" s="0" t="n">
        <v>0</v>
      </c>
      <c r="E375" s="0" t="n">
        <v>1</v>
      </c>
      <c r="F375" s="0" t="n">
        <v>1</v>
      </c>
      <c r="G375" s="0" t="b">
        <f aca="false">TRUE()</f>
        <v>1</v>
      </c>
      <c r="H375" s="0" t="n">
        <v>1</v>
      </c>
      <c r="I375" s="0" t="n">
        <v>2</v>
      </c>
      <c r="J375" s="0" t="n">
        <v>0.2</v>
      </c>
    </row>
    <row r="376" customFormat="false" ht="15" hidden="false" customHeight="false" outlineLevel="0" collapsed="false">
      <c r="A376" s="0" t="n">
        <v>375</v>
      </c>
      <c r="B376" s="0" t="s">
        <v>93</v>
      </c>
      <c r="C376" s="0" t="n">
        <v>1</v>
      </c>
      <c r="D376" s="0" t="n">
        <v>0</v>
      </c>
      <c r="E376" s="0" t="n">
        <v>1</v>
      </c>
      <c r="F376" s="0" t="n">
        <v>2</v>
      </c>
      <c r="G376" s="0" t="b">
        <f aca="false">TRUE()</f>
        <v>1</v>
      </c>
      <c r="H376" s="0" t="n">
        <v>1</v>
      </c>
      <c r="I376" s="0" t="n">
        <v>2</v>
      </c>
      <c r="J376" s="0" t="n">
        <v>0.18</v>
      </c>
    </row>
    <row r="377" customFormat="false" ht="15" hidden="false" customHeight="false" outlineLevel="0" collapsed="false">
      <c r="A377" s="0" t="n">
        <v>376</v>
      </c>
      <c r="B377" s="0" t="s">
        <v>93</v>
      </c>
      <c r="C377" s="0" t="n">
        <v>1</v>
      </c>
      <c r="D377" s="0" t="n">
        <v>0</v>
      </c>
      <c r="E377" s="0" t="n">
        <v>1</v>
      </c>
      <c r="F377" s="0" t="n">
        <v>3</v>
      </c>
      <c r="G377" s="0" t="b">
        <f aca="false">TRUE()</f>
        <v>1</v>
      </c>
      <c r="H377" s="0" t="n">
        <v>1</v>
      </c>
      <c r="I377" s="0" t="n">
        <v>2</v>
      </c>
      <c r="J377" s="0" t="n">
        <v>0.18</v>
      </c>
    </row>
    <row r="378" customFormat="false" ht="15" hidden="false" customHeight="false" outlineLevel="0" collapsed="false">
      <c r="A378" s="0" t="n">
        <v>377</v>
      </c>
      <c r="B378" s="0" t="s">
        <v>93</v>
      </c>
      <c r="C378" s="0" t="n">
        <v>1</v>
      </c>
      <c r="D378" s="0" t="n">
        <v>0</v>
      </c>
      <c r="E378" s="0" t="n">
        <v>1</v>
      </c>
      <c r="F378" s="0" t="n">
        <v>4</v>
      </c>
      <c r="G378" s="0" t="b">
        <f aca="false">TRUE()</f>
        <v>1</v>
      </c>
      <c r="H378" s="0" t="n">
        <v>1</v>
      </c>
      <c r="I378" s="0" t="n">
        <v>2</v>
      </c>
      <c r="J378" s="0" t="n">
        <v>0.18</v>
      </c>
    </row>
    <row r="379" customFormat="false" ht="15" hidden="false" customHeight="false" outlineLevel="0" collapsed="false">
      <c r="A379" s="0" t="n">
        <v>378</v>
      </c>
      <c r="B379" s="0" t="s">
        <v>93</v>
      </c>
      <c r="C379" s="0" t="n">
        <v>1</v>
      </c>
      <c r="D379" s="0" t="n">
        <v>0</v>
      </c>
      <c r="E379" s="0" t="n">
        <v>1</v>
      </c>
      <c r="F379" s="0" t="n">
        <v>5</v>
      </c>
      <c r="G379" s="0" t="b">
        <f aca="false">TRUE()</f>
        <v>1</v>
      </c>
      <c r="H379" s="0" t="n">
        <v>1</v>
      </c>
      <c r="I379" s="0" t="n">
        <v>2</v>
      </c>
      <c r="J379" s="0" t="n">
        <v>0.18</v>
      </c>
    </row>
    <row r="380" customFormat="false" ht="15" hidden="false" customHeight="false" outlineLevel="0" collapsed="false">
      <c r="A380" s="0" t="n">
        <v>379</v>
      </c>
      <c r="B380" s="0" t="s">
        <v>93</v>
      </c>
      <c r="C380" s="0" t="n">
        <v>1</v>
      </c>
      <c r="D380" s="0" t="n">
        <v>0</v>
      </c>
      <c r="E380" s="0" t="n">
        <v>1</v>
      </c>
      <c r="F380" s="0" t="n">
        <v>6</v>
      </c>
      <c r="G380" s="0" t="b">
        <f aca="false">TRUE()</f>
        <v>1</v>
      </c>
      <c r="H380" s="0" t="n">
        <v>1</v>
      </c>
      <c r="I380" s="0" t="n">
        <v>2</v>
      </c>
      <c r="J380" s="0" t="n">
        <v>0.18</v>
      </c>
    </row>
    <row r="381" customFormat="false" ht="15" hidden="false" customHeight="false" outlineLevel="0" collapsed="false">
      <c r="A381" s="0" t="n">
        <v>380</v>
      </c>
      <c r="B381" s="0" t="s">
        <v>93</v>
      </c>
      <c r="C381" s="0" t="n">
        <v>1</v>
      </c>
      <c r="D381" s="0" t="n">
        <v>0</v>
      </c>
      <c r="E381" s="0" t="n">
        <v>1</v>
      </c>
      <c r="F381" s="0" t="n">
        <v>7</v>
      </c>
      <c r="G381" s="0" t="b">
        <f aca="false">TRUE()</f>
        <v>1</v>
      </c>
      <c r="H381" s="0" t="n">
        <v>1</v>
      </c>
      <c r="I381" s="0" t="n">
        <v>2</v>
      </c>
      <c r="J381" s="0" t="n">
        <v>0.16</v>
      </c>
    </row>
    <row r="382" customFormat="false" ht="15" hidden="false" customHeight="false" outlineLevel="0" collapsed="false">
      <c r="A382" s="0" t="n">
        <v>381</v>
      </c>
      <c r="B382" s="0" t="s">
        <v>93</v>
      </c>
      <c r="C382" s="0" t="n">
        <v>1</v>
      </c>
      <c r="D382" s="0" t="n">
        <v>0</v>
      </c>
      <c r="E382" s="0" t="n">
        <v>1</v>
      </c>
      <c r="F382" s="0" t="n">
        <v>8</v>
      </c>
      <c r="G382" s="0" t="b">
        <f aca="false">TRUE()</f>
        <v>1</v>
      </c>
      <c r="H382" s="0" t="n">
        <v>1</v>
      </c>
      <c r="I382" s="0" t="n">
        <v>2</v>
      </c>
      <c r="J382" s="0" t="n">
        <v>0.16</v>
      </c>
    </row>
    <row r="383" customFormat="false" ht="15" hidden="false" customHeight="false" outlineLevel="0" collapsed="false">
      <c r="A383" s="0" t="n">
        <v>382</v>
      </c>
      <c r="B383" s="0" t="s">
        <v>93</v>
      </c>
      <c r="C383" s="0" t="n">
        <v>1</v>
      </c>
      <c r="D383" s="0" t="n">
        <v>0</v>
      </c>
      <c r="E383" s="0" t="n">
        <v>1</v>
      </c>
      <c r="F383" s="0" t="n">
        <v>9</v>
      </c>
      <c r="G383" s="0" t="b">
        <f aca="false">TRUE()</f>
        <v>1</v>
      </c>
      <c r="H383" s="0" t="n">
        <v>1</v>
      </c>
      <c r="I383" s="0" t="n">
        <v>2</v>
      </c>
      <c r="J383" s="0" t="n">
        <v>0.16</v>
      </c>
    </row>
    <row r="384" customFormat="false" ht="15" hidden="false" customHeight="false" outlineLevel="0" collapsed="false">
      <c r="A384" s="0" t="n">
        <v>383</v>
      </c>
      <c r="B384" s="0" t="s">
        <v>93</v>
      </c>
      <c r="C384" s="0" t="n">
        <v>1</v>
      </c>
      <c r="D384" s="0" t="n">
        <v>0</v>
      </c>
      <c r="E384" s="0" t="n">
        <v>1</v>
      </c>
      <c r="F384" s="0" t="n">
        <v>10</v>
      </c>
      <c r="G384" s="0" t="b">
        <f aca="false">TRUE()</f>
        <v>1</v>
      </c>
      <c r="H384" s="0" t="n">
        <v>1</v>
      </c>
      <c r="I384" s="0" t="n">
        <v>2</v>
      </c>
      <c r="J384" s="0" t="n">
        <v>0.16</v>
      </c>
    </row>
    <row r="385" customFormat="false" ht="15" hidden="false" customHeight="false" outlineLevel="0" collapsed="false">
      <c r="A385" s="0" t="n">
        <v>384</v>
      </c>
      <c r="B385" s="0" t="s">
        <v>93</v>
      </c>
      <c r="C385" s="0" t="n">
        <v>1</v>
      </c>
      <c r="D385" s="0" t="n">
        <v>0</v>
      </c>
      <c r="E385" s="0" t="n">
        <v>1</v>
      </c>
      <c r="F385" s="0" t="n">
        <v>11</v>
      </c>
      <c r="G385" s="0" t="b">
        <f aca="false">TRUE()</f>
        <v>1</v>
      </c>
      <c r="H385" s="0" t="n">
        <v>1</v>
      </c>
      <c r="I385" s="0" t="n">
        <v>2</v>
      </c>
      <c r="J385" s="0" t="n">
        <v>0.16</v>
      </c>
    </row>
    <row r="386" customFormat="false" ht="15" hidden="false" customHeight="false" outlineLevel="0" collapsed="false">
      <c r="A386" s="0" t="n">
        <v>385</v>
      </c>
      <c r="B386" s="0" t="s">
        <v>93</v>
      </c>
      <c r="C386" s="0" t="n">
        <v>1</v>
      </c>
      <c r="D386" s="0" t="n">
        <v>0</v>
      </c>
      <c r="E386" s="0" t="n">
        <v>1</v>
      </c>
      <c r="F386" s="0" t="n">
        <v>12</v>
      </c>
      <c r="G386" s="0" t="b">
        <f aca="false">TRUE()</f>
        <v>1</v>
      </c>
      <c r="H386" s="0" t="n">
        <v>1</v>
      </c>
      <c r="I386" s="0" t="n">
        <v>2</v>
      </c>
      <c r="J386" s="0" t="n">
        <v>0.18</v>
      </c>
    </row>
    <row r="387" customFormat="false" ht="15" hidden="false" customHeight="false" outlineLevel="0" collapsed="false">
      <c r="A387" s="0" t="n">
        <v>386</v>
      </c>
      <c r="B387" s="0" t="s">
        <v>93</v>
      </c>
      <c r="C387" s="0" t="n">
        <v>1</v>
      </c>
      <c r="D387" s="0" t="n">
        <v>0</v>
      </c>
      <c r="E387" s="0" t="n">
        <v>1</v>
      </c>
      <c r="F387" s="0" t="n">
        <v>13</v>
      </c>
      <c r="G387" s="0" t="b">
        <f aca="false">TRUE()</f>
        <v>1</v>
      </c>
      <c r="H387" s="0" t="n">
        <v>1</v>
      </c>
      <c r="I387" s="0" t="n">
        <v>2</v>
      </c>
      <c r="J387" s="0" t="n">
        <v>0.18</v>
      </c>
    </row>
    <row r="388" customFormat="false" ht="15" hidden="false" customHeight="false" outlineLevel="0" collapsed="false">
      <c r="A388" s="0" t="n">
        <v>387</v>
      </c>
      <c r="B388" s="0" t="s">
        <v>93</v>
      </c>
      <c r="C388" s="0" t="n">
        <v>1</v>
      </c>
      <c r="D388" s="0" t="n">
        <v>0</v>
      </c>
      <c r="E388" s="0" t="n">
        <v>1</v>
      </c>
      <c r="F388" s="0" t="n">
        <v>14</v>
      </c>
      <c r="G388" s="0" t="b">
        <f aca="false">TRUE()</f>
        <v>1</v>
      </c>
      <c r="H388" s="0" t="n">
        <v>1</v>
      </c>
      <c r="I388" s="0" t="n">
        <v>2</v>
      </c>
      <c r="J388" s="0" t="n">
        <v>0.18</v>
      </c>
    </row>
    <row r="389" customFormat="false" ht="15" hidden="false" customHeight="false" outlineLevel="0" collapsed="false">
      <c r="A389" s="0" t="n">
        <v>388</v>
      </c>
      <c r="B389" s="0" t="s">
        <v>93</v>
      </c>
      <c r="C389" s="0" t="n">
        <v>1</v>
      </c>
      <c r="D389" s="0" t="n">
        <v>0</v>
      </c>
      <c r="E389" s="0" t="n">
        <v>1</v>
      </c>
      <c r="F389" s="0" t="n">
        <v>15</v>
      </c>
      <c r="G389" s="0" t="b">
        <f aca="false">TRUE()</f>
        <v>1</v>
      </c>
      <c r="H389" s="0" t="n">
        <v>1</v>
      </c>
      <c r="I389" s="0" t="n">
        <v>2</v>
      </c>
      <c r="J389" s="0" t="n">
        <v>0.2</v>
      </c>
    </row>
    <row r="390" customFormat="false" ht="15" hidden="false" customHeight="false" outlineLevel="0" collapsed="false">
      <c r="A390" s="0" t="n">
        <v>389</v>
      </c>
      <c r="B390" s="0" t="s">
        <v>93</v>
      </c>
      <c r="C390" s="0" t="n">
        <v>1</v>
      </c>
      <c r="D390" s="0" t="n">
        <v>0</v>
      </c>
      <c r="E390" s="0" t="n">
        <v>1</v>
      </c>
      <c r="F390" s="0" t="n">
        <v>16</v>
      </c>
      <c r="G390" s="0" t="b">
        <f aca="false">TRUE()</f>
        <v>1</v>
      </c>
      <c r="H390" s="0" t="n">
        <v>1</v>
      </c>
      <c r="I390" s="0" t="n">
        <v>2</v>
      </c>
      <c r="J390" s="0" t="n">
        <v>0.2</v>
      </c>
    </row>
    <row r="391" customFormat="false" ht="15" hidden="false" customHeight="false" outlineLevel="0" collapsed="false">
      <c r="A391" s="0" t="n">
        <v>390</v>
      </c>
      <c r="B391" s="0" t="s">
        <v>93</v>
      </c>
      <c r="C391" s="0" t="n">
        <v>1</v>
      </c>
      <c r="D391" s="0" t="n">
        <v>0</v>
      </c>
      <c r="E391" s="0" t="n">
        <v>1</v>
      </c>
      <c r="F391" s="0" t="n">
        <v>17</v>
      </c>
      <c r="G391" s="0" t="b">
        <f aca="false">TRUE()</f>
        <v>1</v>
      </c>
      <c r="H391" s="0" t="n">
        <v>1</v>
      </c>
      <c r="I391" s="0" t="n">
        <v>1</v>
      </c>
      <c r="J391" s="0" t="n">
        <v>0.2</v>
      </c>
    </row>
    <row r="392" customFormat="false" ht="15" hidden="false" customHeight="false" outlineLevel="0" collapsed="false">
      <c r="A392" s="0" t="n">
        <v>391</v>
      </c>
      <c r="B392" s="0" t="s">
        <v>93</v>
      </c>
      <c r="C392" s="0" t="n">
        <v>1</v>
      </c>
      <c r="D392" s="0" t="n">
        <v>0</v>
      </c>
      <c r="E392" s="0" t="n">
        <v>1</v>
      </c>
      <c r="F392" s="0" t="n">
        <v>18</v>
      </c>
      <c r="G392" s="0" t="b">
        <f aca="false">TRUE()</f>
        <v>1</v>
      </c>
      <c r="H392" s="0" t="n">
        <v>1</v>
      </c>
      <c r="I392" s="0" t="n">
        <v>2</v>
      </c>
      <c r="J392" s="0" t="n">
        <v>0.18</v>
      </c>
    </row>
    <row r="393" customFormat="false" ht="15" hidden="false" customHeight="false" outlineLevel="0" collapsed="false">
      <c r="A393" s="0" t="n">
        <v>392</v>
      </c>
      <c r="B393" s="0" t="s">
        <v>93</v>
      </c>
      <c r="C393" s="0" t="n">
        <v>1</v>
      </c>
      <c r="D393" s="0" t="n">
        <v>0</v>
      </c>
      <c r="E393" s="0" t="n">
        <v>1</v>
      </c>
      <c r="F393" s="0" t="n">
        <v>19</v>
      </c>
      <c r="G393" s="0" t="b">
        <f aca="false">TRUE()</f>
        <v>1</v>
      </c>
      <c r="H393" s="0" t="n">
        <v>1</v>
      </c>
      <c r="I393" s="0" t="n">
        <v>3</v>
      </c>
      <c r="J393" s="0" t="n">
        <v>0.18</v>
      </c>
    </row>
    <row r="394" customFormat="false" ht="15" hidden="false" customHeight="false" outlineLevel="0" collapsed="false">
      <c r="A394" s="0" t="n">
        <v>393</v>
      </c>
      <c r="B394" s="0" t="s">
        <v>93</v>
      </c>
      <c r="C394" s="0" t="n">
        <v>1</v>
      </c>
      <c r="D394" s="0" t="n">
        <v>0</v>
      </c>
      <c r="E394" s="0" t="n">
        <v>1</v>
      </c>
      <c r="F394" s="0" t="n">
        <v>20</v>
      </c>
      <c r="G394" s="0" t="b">
        <f aca="false">TRUE()</f>
        <v>1</v>
      </c>
      <c r="H394" s="0" t="n">
        <v>1</v>
      </c>
      <c r="I394" s="0" t="n">
        <v>3</v>
      </c>
      <c r="J394" s="0" t="n">
        <v>0.16</v>
      </c>
    </row>
    <row r="395" customFormat="false" ht="15" hidden="false" customHeight="false" outlineLevel="0" collapsed="false">
      <c r="A395" s="0" t="n">
        <v>394</v>
      </c>
      <c r="B395" s="0" t="s">
        <v>93</v>
      </c>
      <c r="C395" s="0" t="n">
        <v>1</v>
      </c>
      <c r="D395" s="0" t="n">
        <v>0</v>
      </c>
      <c r="E395" s="0" t="n">
        <v>1</v>
      </c>
      <c r="F395" s="0" t="n">
        <v>21</v>
      </c>
      <c r="G395" s="0" t="b">
        <f aca="false">TRUE()</f>
        <v>1</v>
      </c>
      <c r="H395" s="0" t="n">
        <v>1</v>
      </c>
      <c r="I395" s="0" t="n">
        <v>3</v>
      </c>
      <c r="J395" s="0" t="n">
        <v>0.16</v>
      </c>
    </row>
    <row r="396" customFormat="false" ht="15" hidden="false" customHeight="false" outlineLevel="0" collapsed="false">
      <c r="A396" s="0" t="n">
        <v>395</v>
      </c>
      <c r="B396" s="0" t="s">
        <v>93</v>
      </c>
      <c r="C396" s="0" t="n">
        <v>1</v>
      </c>
      <c r="D396" s="0" t="n">
        <v>0</v>
      </c>
      <c r="E396" s="0" t="n">
        <v>1</v>
      </c>
      <c r="F396" s="0" t="n">
        <v>22</v>
      </c>
      <c r="G396" s="0" t="b">
        <f aca="false">TRUE()</f>
        <v>1</v>
      </c>
      <c r="H396" s="0" t="n">
        <v>1</v>
      </c>
      <c r="I396" s="0" t="n">
        <v>3</v>
      </c>
      <c r="J396" s="0" t="n">
        <v>0.14</v>
      </c>
    </row>
    <row r="397" customFormat="false" ht="15" hidden="false" customHeight="false" outlineLevel="0" collapsed="false">
      <c r="A397" s="0" t="n">
        <v>396</v>
      </c>
      <c r="B397" s="0" t="s">
        <v>93</v>
      </c>
      <c r="C397" s="0" t="n">
        <v>1</v>
      </c>
      <c r="D397" s="0" t="n">
        <v>0</v>
      </c>
      <c r="E397" s="0" t="n">
        <v>1</v>
      </c>
      <c r="F397" s="0" t="n">
        <v>23</v>
      </c>
      <c r="G397" s="0" t="b">
        <f aca="false">TRUE()</f>
        <v>1</v>
      </c>
      <c r="H397" s="0" t="n">
        <v>1</v>
      </c>
      <c r="I397" s="0" t="n">
        <v>3</v>
      </c>
      <c r="J397" s="0" t="n">
        <v>0.16</v>
      </c>
    </row>
    <row r="398" customFormat="false" ht="15" hidden="false" customHeight="false" outlineLevel="0" collapsed="false">
      <c r="A398" s="0" t="n">
        <v>397</v>
      </c>
      <c r="B398" s="0" t="s">
        <v>94</v>
      </c>
      <c r="C398" s="0" t="n">
        <v>1</v>
      </c>
      <c r="D398" s="0" t="n">
        <v>0</v>
      </c>
      <c r="E398" s="0" t="n">
        <v>1</v>
      </c>
      <c r="F398" s="0" t="n">
        <v>12</v>
      </c>
      <c r="G398" s="0" t="b">
        <f aca="false">FALSE()</f>
        <v>0</v>
      </c>
      <c r="H398" s="0" t="n">
        <v>2</v>
      </c>
      <c r="I398" s="0" t="n">
        <v>2</v>
      </c>
      <c r="J398" s="0" t="n">
        <v>0.2</v>
      </c>
    </row>
    <row r="399" customFormat="false" ht="15" hidden="false" customHeight="false" outlineLevel="0" collapsed="false">
      <c r="A399" s="0" t="n">
        <v>398</v>
      </c>
      <c r="B399" s="0" t="s">
        <v>94</v>
      </c>
      <c r="C399" s="0" t="n">
        <v>1</v>
      </c>
      <c r="D399" s="0" t="n">
        <v>0</v>
      </c>
      <c r="E399" s="0" t="n">
        <v>1</v>
      </c>
      <c r="F399" s="0" t="n">
        <v>13</v>
      </c>
      <c r="G399" s="0" t="b">
        <f aca="false">FALSE()</f>
        <v>0</v>
      </c>
      <c r="H399" s="0" t="n">
        <v>2</v>
      </c>
      <c r="I399" s="0" t="n">
        <v>2</v>
      </c>
      <c r="J399" s="0" t="n">
        <v>0.2</v>
      </c>
    </row>
    <row r="400" customFormat="false" ht="15" hidden="false" customHeight="false" outlineLevel="0" collapsed="false">
      <c r="A400" s="0" t="n">
        <v>399</v>
      </c>
      <c r="B400" s="0" t="s">
        <v>94</v>
      </c>
      <c r="C400" s="0" t="n">
        <v>1</v>
      </c>
      <c r="D400" s="0" t="n">
        <v>0</v>
      </c>
      <c r="E400" s="0" t="n">
        <v>1</v>
      </c>
      <c r="F400" s="0" t="n">
        <v>14</v>
      </c>
      <c r="G400" s="0" t="b">
        <f aca="false">FALSE()</f>
        <v>0</v>
      </c>
      <c r="H400" s="0" t="n">
        <v>2</v>
      </c>
      <c r="I400" s="0" t="n">
        <v>2</v>
      </c>
      <c r="J400" s="0" t="n">
        <v>0.22</v>
      </c>
    </row>
    <row r="401" customFormat="false" ht="15" hidden="false" customHeight="false" outlineLevel="0" collapsed="false">
      <c r="A401" s="0" t="n">
        <v>400</v>
      </c>
      <c r="B401" s="0" t="s">
        <v>94</v>
      </c>
      <c r="C401" s="0" t="n">
        <v>1</v>
      </c>
      <c r="D401" s="0" t="n">
        <v>0</v>
      </c>
      <c r="E401" s="0" t="n">
        <v>1</v>
      </c>
      <c r="F401" s="0" t="n">
        <v>15</v>
      </c>
      <c r="G401" s="0" t="b">
        <f aca="false">FALSE()</f>
        <v>0</v>
      </c>
      <c r="H401" s="0" t="n">
        <v>2</v>
      </c>
      <c r="I401" s="0" t="n">
        <v>2</v>
      </c>
      <c r="J401" s="0" t="n">
        <v>0.22</v>
      </c>
    </row>
    <row r="402" customFormat="false" ht="15" hidden="false" customHeight="false" outlineLevel="0" collapsed="false">
      <c r="A402" s="0" t="n">
        <v>401</v>
      </c>
      <c r="B402" s="0" t="s">
        <v>94</v>
      </c>
      <c r="C402" s="0" t="n">
        <v>1</v>
      </c>
      <c r="D402" s="0" t="n">
        <v>0</v>
      </c>
      <c r="E402" s="0" t="n">
        <v>1</v>
      </c>
      <c r="F402" s="0" t="n">
        <v>16</v>
      </c>
      <c r="G402" s="0" t="b">
        <f aca="false">FALSE()</f>
        <v>0</v>
      </c>
      <c r="H402" s="0" t="n">
        <v>2</v>
      </c>
      <c r="I402" s="0" t="n">
        <v>2</v>
      </c>
      <c r="J402" s="0" t="n">
        <v>0.22</v>
      </c>
    </row>
    <row r="403" customFormat="false" ht="15" hidden="false" customHeight="false" outlineLevel="0" collapsed="false">
      <c r="A403" s="0" t="n">
        <v>402</v>
      </c>
      <c r="B403" s="0" t="s">
        <v>94</v>
      </c>
      <c r="C403" s="0" t="n">
        <v>1</v>
      </c>
      <c r="D403" s="0" t="n">
        <v>0</v>
      </c>
      <c r="E403" s="0" t="n">
        <v>1</v>
      </c>
      <c r="F403" s="0" t="n">
        <v>17</v>
      </c>
      <c r="G403" s="0" t="b">
        <f aca="false">FALSE()</f>
        <v>0</v>
      </c>
      <c r="H403" s="0" t="n">
        <v>2</v>
      </c>
      <c r="I403" s="0" t="n">
        <v>2</v>
      </c>
      <c r="J403" s="0" t="n">
        <v>0.22</v>
      </c>
    </row>
    <row r="404" customFormat="false" ht="15" hidden="false" customHeight="false" outlineLevel="0" collapsed="false">
      <c r="A404" s="0" t="n">
        <v>403</v>
      </c>
      <c r="B404" s="0" t="s">
        <v>94</v>
      </c>
      <c r="C404" s="0" t="n">
        <v>1</v>
      </c>
      <c r="D404" s="0" t="n">
        <v>0</v>
      </c>
      <c r="E404" s="0" t="n">
        <v>1</v>
      </c>
      <c r="F404" s="0" t="n">
        <v>18</v>
      </c>
      <c r="G404" s="0" t="b">
        <f aca="false">FALSE()</f>
        <v>0</v>
      </c>
      <c r="H404" s="0" t="n">
        <v>2</v>
      </c>
      <c r="I404" s="0" t="n">
        <v>2</v>
      </c>
      <c r="J404" s="0" t="n">
        <v>0.22</v>
      </c>
    </row>
    <row r="405" customFormat="false" ht="15" hidden="false" customHeight="false" outlineLevel="0" collapsed="false">
      <c r="A405" s="0" t="n">
        <v>404</v>
      </c>
      <c r="B405" s="0" t="s">
        <v>94</v>
      </c>
      <c r="C405" s="0" t="n">
        <v>1</v>
      </c>
      <c r="D405" s="0" t="n">
        <v>0</v>
      </c>
      <c r="E405" s="0" t="n">
        <v>1</v>
      </c>
      <c r="F405" s="0" t="n">
        <v>19</v>
      </c>
      <c r="G405" s="0" t="b">
        <f aca="false">FALSE()</f>
        <v>0</v>
      </c>
      <c r="H405" s="0" t="n">
        <v>2</v>
      </c>
      <c r="I405" s="0" t="n">
        <v>2</v>
      </c>
      <c r="J405" s="0" t="n">
        <v>0.22</v>
      </c>
    </row>
    <row r="406" customFormat="false" ht="15" hidden="false" customHeight="false" outlineLevel="0" collapsed="false">
      <c r="A406" s="0" t="n">
        <v>405</v>
      </c>
      <c r="B406" s="0" t="s">
        <v>94</v>
      </c>
      <c r="C406" s="0" t="n">
        <v>1</v>
      </c>
      <c r="D406" s="0" t="n">
        <v>0</v>
      </c>
      <c r="E406" s="0" t="n">
        <v>1</v>
      </c>
      <c r="F406" s="0" t="n">
        <v>20</v>
      </c>
      <c r="G406" s="0" t="b">
        <f aca="false">FALSE()</f>
        <v>0</v>
      </c>
      <c r="H406" s="0" t="n">
        <v>2</v>
      </c>
      <c r="I406" s="0" t="n">
        <v>2</v>
      </c>
      <c r="J406" s="0" t="n">
        <v>0.22</v>
      </c>
    </row>
    <row r="407" customFormat="false" ht="15" hidden="false" customHeight="false" outlineLevel="0" collapsed="false">
      <c r="A407" s="0" t="n">
        <v>406</v>
      </c>
      <c r="B407" s="0" t="s">
        <v>94</v>
      </c>
      <c r="C407" s="0" t="n">
        <v>1</v>
      </c>
      <c r="D407" s="0" t="n">
        <v>0</v>
      </c>
      <c r="E407" s="0" t="n">
        <v>1</v>
      </c>
      <c r="F407" s="0" t="n">
        <v>21</v>
      </c>
      <c r="G407" s="0" t="b">
        <f aca="false">FALSE()</f>
        <v>0</v>
      </c>
      <c r="H407" s="0" t="n">
        <v>2</v>
      </c>
      <c r="I407" s="0" t="n">
        <v>2</v>
      </c>
      <c r="J407" s="0" t="n">
        <v>0.22</v>
      </c>
    </row>
    <row r="408" customFormat="false" ht="15" hidden="false" customHeight="false" outlineLevel="0" collapsed="false">
      <c r="A408" s="0" t="n">
        <v>407</v>
      </c>
      <c r="B408" s="0" t="s">
        <v>94</v>
      </c>
      <c r="C408" s="0" t="n">
        <v>1</v>
      </c>
      <c r="D408" s="0" t="n">
        <v>0</v>
      </c>
      <c r="E408" s="0" t="n">
        <v>1</v>
      </c>
      <c r="F408" s="0" t="n">
        <v>22</v>
      </c>
      <c r="G408" s="0" t="b">
        <f aca="false">FALSE()</f>
        <v>0</v>
      </c>
      <c r="H408" s="0" t="n">
        <v>2</v>
      </c>
      <c r="I408" s="0" t="n">
        <v>2</v>
      </c>
      <c r="J408" s="0" t="n">
        <v>0.22</v>
      </c>
    </row>
    <row r="409" customFormat="false" ht="15" hidden="false" customHeight="false" outlineLevel="0" collapsed="false">
      <c r="A409" s="0" t="n">
        <v>408</v>
      </c>
      <c r="B409" s="0" t="s">
        <v>94</v>
      </c>
      <c r="C409" s="0" t="n">
        <v>1</v>
      </c>
      <c r="D409" s="0" t="n">
        <v>0</v>
      </c>
      <c r="E409" s="0" t="n">
        <v>1</v>
      </c>
      <c r="F409" s="0" t="n">
        <v>23</v>
      </c>
      <c r="G409" s="0" t="b">
        <f aca="false">FALSE()</f>
        <v>0</v>
      </c>
      <c r="H409" s="0" t="n">
        <v>2</v>
      </c>
      <c r="I409" s="0" t="n">
        <v>2</v>
      </c>
      <c r="J409" s="0" t="n">
        <v>0.22</v>
      </c>
    </row>
    <row r="410" customFormat="false" ht="15" hidden="false" customHeight="false" outlineLevel="0" collapsed="false">
      <c r="A410" s="0" t="n">
        <v>409</v>
      </c>
      <c r="B410" s="0" t="s">
        <v>95</v>
      </c>
      <c r="C410" s="0" t="n">
        <v>1</v>
      </c>
      <c r="D410" s="0" t="n">
        <v>0</v>
      </c>
      <c r="E410" s="0" t="n">
        <v>1</v>
      </c>
      <c r="F410" s="0" t="n">
        <v>0</v>
      </c>
      <c r="G410" s="0" t="b">
        <f aca="false">FALSE()</f>
        <v>0</v>
      </c>
      <c r="H410" s="0" t="n">
        <v>3</v>
      </c>
      <c r="I410" s="0" t="n">
        <v>2</v>
      </c>
      <c r="J410" s="0" t="n">
        <v>0.22</v>
      </c>
    </row>
    <row r="411" customFormat="false" ht="15" hidden="false" customHeight="false" outlineLevel="0" collapsed="false">
      <c r="A411" s="0" t="n">
        <v>410</v>
      </c>
      <c r="B411" s="0" t="s">
        <v>95</v>
      </c>
      <c r="C411" s="0" t="n">
        <v>1</v>
      </c>
      <c r="D411" s="0" t="n">
        <v>0</v>
      </c>
      <c r="E411" s="0" t="n">
        <v>1</v>
      </c>
      <c r="F411" s="0" t="n">
        <v>1</v>
      </c>
      <c r="G411" s="0" t="b">
        <f aca="false">FALSE()</f>
        <v>0</v>
      </c>
      <c r="H411" s="0" t="n">
        <v>3</v>
      </c>
      <c r="I411" s="0" t="n">
        <v>3</v>
      </c>
      <c r="J411" s="0" t="n">
        <v>0.22</v>
      </c>
    </row>
    <row r="412" customFormat="false" ht="15" hidden="false" customHeight="false" outlineLevel="0" collapsed="false">
      <c r="A412" s="0" t="n">
        <v>411</v>
      </c>
      <c r="B412" s="0" t="s">
        <v>95</v>
      </c>
      <c r="C412" s="0" t="n">
        <v>1</v>
      </c>
      <c r="D412" s="0" t="n">
        <v>0</v>
      </c>
      <c r="E412" s="0" t="n">
        <v>1</v>
      </c>
      <c r="F412" s="0" t="n">
        <v>2</v>
      </c>
      <c r="G412" s="0" t="b">
        <f aca="false">FALSE()</f>
        <v>0</v>
      </c>
      <c r="H412" s="0" t="n">
        <v>3</v>
      </c>
      <c r="I412" s="0" t="n">
        <v>3</v>
      </c>
      <c r="J412" s="0" t="n">
        <v>0.22</v>
      </c>
    </row>
    <row r="413" customFormat="false" ht="15" hidden="false" customHeight="false" outlineLevel="0" collapsed="false">
      <c r="A413" s="0" t="n">
        <v>412</v>
      </c>
      <c r="B413" s="0" t="s">
        <v>95</v>
      </c>
      <c r="C413" s="0" t="n">
        <v>1</v>
      </c>
      <c r="D413" s="0" t="n">
        <v>0</v>
      </c>
      <c r="E413" s="0" t="n">
        <v>1</v>
      </c>
      <c r="F413" s="0" t="n">
        <v>4</v>
      </c>
      <c r="G413" s="0" t="b">
        <f aca="false">FALSE()</f>
        <v>0</v>
      </c>
      <c r="H413" s="0" t="n">
        <v>3</v>
      </c>
      <c r="I413" s="0" t="n">
        <v>3</v>
      </c>
      <c r="J413" s="0" t="n">
        <v>0.22</v>
      </c>
    </row>
    <row r="414" customFormat="false" ht="15" hidden="false" customHeight="false" outlineLevel="0" collapsed="false">
      <c r="A414" s="0" t="n">
        <v>413</v>
      </c>
      <c r="B414" s="0" t="s">
        <v>95</v>
      </c>
      <c r="C414" s="0" t="n">
        <v>1</v>
      </c>
      <c r="D414" s="0" t="n">
        <v>0</v>
      </c>
      <c r="E414" s="0" t="n">
        <v>1</v>
      </c>
      <c r="F414" s="0" t="n">
        <v>5</v>
      </c>
      <c r="G414" s="0" t="b">
        <f aca="false">FALSE()</f>
        <v>0</v>
      </c>
      <c r="H414" s="0" t="n">
        <v>3</v>
      </c>
      <c r="I414" s="0" t="n">
        <v>2</v>
      </c>
      <c r="J414" s="0" t="n">
        <v>0.22</v>
      </c>
    </row>
    <row r="415" customFormat="false" ht="15" hidden="false" customHeight="false" outlineLevel="0" collapsed="false">
      <c r="A415" s="0" t="n">
        <v>414</v>
      </c>
      <c r="B415" s="0" t="s">
        <v>95</v>
      </c>
      <c r="C415" s="0" t="n">
        <v>1</v>
      </c>
      <c r="D415" s="0" t="n">
        <v>0</v>
      </c>
      <c r="E415" s="0" t="n">
        <v>1</v>
      </c>
      <c r="F415" s="0" t="n">
        <v>6</v>
      </c>
      <c r="G415" s="0" t="b">
        <f aca="false">FALSE()</f>
        <v>0</v>
      </c>
      <c r="H415" s="0" t="n">
        <v>3</v>
      </c>
      <c r="I415" s="0" t="n">
        <v>2</v>
      </c>
      <c r="J415" s="0" t="n">
        <v>0.22</v>
      </c>
    </row>
    <row r="416" customFormat="false" ht="15" hidden="false" customHeight="false" outlineLevel="0" collapsed="false">
      <c r="A416" s="0" t="n">
        <v>415</v>
      </c>
      <c r="B416" s="0" t="s">
        <v>95</v>
      </c>
      <c r="C416" s="0" t="n">
        <v>1</v>
      </c>
      <c r="D416" s="0" t="n">
        <v>0</v>
      </c>
      <c r="E416" s="0" t="n">
        <v>1</v>
      </c>
      <c r="F416" s="0" t="n">
        <v>7</v>
      </c>
      <c r="G416" s="0" t="b">
        <f aca="false">FALSE()</f>
        <v>0</v>
      </c>
      <c r="H416" s="0" t="n">
        <v>3</v>
      </c>
      <c r="I416" s="0" t="n">
        <v>2</v>
      </c>
      <c r="J416" s="0" t="n">
        <v>0.24</v>
      </c>
    </row>
    <row r="417" customFormat="false" ht="15" hidden="false" customHeight="false" outlineLevel="0" collapsed="false">
      <c r="A417" s="0" t="n">
        <v>416</v>
      </c>
      <c r="B417" s="0" t="s">
        <v>95</v>
      </c>
      <c r="C417" s="0" t="n">
        <v>1</v>
      </c>
      <c r="D417" s="0" t="n">
        <v>0</v>
      </c>
      <c r="E417" s="0" t="n">
        <v>1</v>
      </c>
      <c r="F417" s="0" t="n">
        <v>8</v>
      </c>
      <c r="G417" s="0" t="b">
        <f aca="false">FALSE()</f>
        <v>0</v>
      </c>
      <c r="H417" s="0" t="n">
        <v>3</v>
      </c>
      <c r="I417" s="0" t="n">
        <v>2</v>
      </c>
      <c r="J417" s="0" t="n">
        <v>0.24</v>
      </c>
    </row>
    <row r="418" customFormat="false" ht="15" hidden="false" customHeight="false" outlineLevel="0" collapsed="false">
      <c r="A418" s="0" t="n">
        <v>417</v>
      </c>
      <c r="B418" s="0" t="s">
        <v>95</v>
      </c>
      <c r="C418" s="0" t="n">
        <v>1</v>
      </c>
      <c r="D418" s="0" t="n">
        <v>0</v>
      </c>
      <c r="E418" s="0" t="n">
        <v>1</v>
      </c>
      <c r="F418" s="0" t="n">
        <v>9</v>
      </c>
      <c r="G418" s="0" t="b">
        <f aca="false">FALSE()</f>
        <v>0</v>
      </c>
      <c r="H418" s="0" t="n">
        <v>3</v>
      </c>
      <c r="I418" s="0" t="n">
        <v>2</v>
      </c>
      <c r="J418" s="0" t="n">
        <v>0.24</v>
      </c>
    </row>
    <row r="419" customFormat="false" ht="15" hidden="false" customHeight="false" outlineLevel="0" collapsed="false">
      <c r="A419" s="0" t="n">
        <v>418</v>
      </c>
      <c r="B419" s="0" t="s">
        <v>95</v>
      </c>
      <c r="C419" s="0" t="n">
        <v>1</v>
      </c>
      <c r="D419" s="0" t="n">
        <v>0</v>
      </c>
      <c r="E419" s="0" t="n">
        <v>1</v>
      </c>
      <c r="F419" s="0" t="n">
        <v>10</v>
      </c>
      <c r="G419" s="0" t="b">
        <f aca="false">FALSE()</f>
        <v>0</v>
      </c>
      <c r="H419" s="0" t="n">
        <v>3</v>
      </c>
      <c r="I419" s="0" t="n">
        <v>2</v>
      </c>
      <c r="J419" s="0" t="n">
        <v>0.26</v>
      </c>
    </row>
    <row r="420" customFormat="false" ht="15" hidden="false" customHeight="false" outlineLevel="0" collapsed="false">
      <c r="A420" s="0" t="n">
        <v>419</v>
      </c>
      <c r="B420" s="0" t="s">
        <v>95</v>
      </c>
      <c r="C420" s="0" t="n">
        <v>1</v>
      </c>
      <c r="D420" s="0" t="n">
        <v>0</v>
      </c>
      <c r="E420" s="0" t="n">
        <v>1</v>
      </c>
      <c r="F420" s="0" t="n">
        <v>11</v>
      </c>
      <c r="G420" s="0" t="b">
        <f aca="false">FALSE()</f>
        <v>0</v>
      </c>
      <c r="H420" s="0" t="n">
        <v>3</v>
      </c>
      <c r="I420" s="0" t="n">
        <v>2</v>
      </c>
      <c r="J420" s="0" t="n">
        <v>0.28</v>
      </c>
    </row>
    <row r="421" customFormat="false" ht="15" hidden="false" customHeight="false" outlineLevel="0" collapsed="false">
      <c r="A421" s="0" t="n">
        <v>420</v>
      </c>
      <c r="B421" s="0" t="s">
        <v>95</v>
      </c>
      <c r="C421" s="0" t="n">
        <v>1</v>
      </c>
      <c r="D421" s="0" t="n">
        <v>0</v>
      </c>
      <c r="E421" s="0" t="n">
        <v>1</v>
      </c>
      <c r="F421" s="0" t="n">
        <v>12</v>
      </c>
      <c r="G421" s="0" t="b">
        <f aca="false">FALSE()</f>
        <v>0</v>
      </c>
      <c r="H421" s="0" t="n">
        <v>3</v>
      </c>
      <c r="I421" s="0" t="n">
        <v>2</v>
      </c>
      <c r="J421" s="0" t="n">
        <v>0.3</v>
      </c>
    </row>
    <row r="422" customFormat="false" ht="15" hidden="false" customHeight="false" outlineLevel="0" collapsed="false">
      <c r="A422" s="0" t="n">
        <v>421</v>
      </c>
      <c r="B422" s="0" t="s">
        <v>95</v>
      </c>
      <c r="C422" s="0" t="n">
        <v>1</v>
      </c>
      <c r="D422" s="0" t="n">
        <v>0</v>
      </c>
      <c r="E422" s="0" t="n">
        <v>1</v>
      </c>
      <c r="F422" s="0" t="n">
        <v>13</v>
      </c>
      <c r="G422" s="0" t="b">
        <f aca="false">FALSE()</f>
        <v>0</v>
      </c>
      <c r="H422" s="0" t="n">
        <v>3</v>
      </c>
      <c r="I422" s="0" t="n">
        <v>1</v>
      </c>
      <c r="J422" s="0" t="n">
        <v>0.4</v>
      </c>
    </row>
    <row r="423" customFormat="false" ht="15" hidden="false" customHeight="false" outlineLevel="0" collapsed="false">
      <c r="A423" s="0" t="n">
        <v>422</v>
      </c>
      <c r="B423" s="0" t="s">
        <v>95</v>
      </c>
      <c r="C423" s="0" t="n">
        <v>1</v>
      </c>
      <c r="D423" s="0" t="n">
        <v>0</v>
      </c>
      <c r="E423" s="0" t="n">
        <v>1</v>
      </c>
      <c r="F423" s="0" t="n">
        <v>14</v>
      </c>
      <c r="G423" s="0" t="b">
        <f aca="false">FALSE()</f>
        <v>0</v>
      </c>
      <c r="H423" s="0" t="n">
        <v>3</v>
      </c>
      <c r="I423" s="0" t="n">
        <v>1</v>
      </c>
      <c r="J423" s="0" t="n">
        <v>0.4</v>
      </c>
    </row>
    <row r="424" customFormat="false" ht="15" hidden="false" customHeight="false" outlineLevel="0" collapsed="false">
      <c r="A424" s="0" t="n">
        <v>423</v>
      </c>
      <c r="B424" s="0" t="s">
        <v>95</v>
      </c>
      <c r="C424" s="0" t="n">
        <v>1</v>
      </c>
      <c r="D424" s="0" t="n">
        <v>0</v>
      </c>
      <c r="E424" s="0" t="n">
        <v>1</v>
      </c>
      <c r="F424" s="0" t="n">
        <v>15</v>
      </c>
      <c r="G424" s="0" t="b">
        <f aca="false">FALSE()</f>
        <v>0</v>
      </c>
      <c r="H424" s="0" t="n">
        <v>3</v>
      </c>
      <c r="I424" s="0" t="n">
        <v>1</v>
      </c>
      <c r="J424" s="0" t="n">
        <v>0.4</v>
      </c>
    </row>
    <row r="425" customFormat="false" ht="15" hidden="false" customHeight="false" outlineLevel="0" collapsed="false">
      <c r="A425" s="0" t="n">
        <v>424</v>
      </c>
      <c r="B425" s="0" t="s">
        <v>95</v>
      </c>
      <c r="C425" s="0" t="n">
        <v>1</v>
      </c>
      <c r="D425" s="0" t="n">
        <v>0</v>
      </c>
      <c r="E425" s="0" t="n">
        <v>1</v>
      </c>
      <c r="F425" s="0" t="n">
        <v>16</v>
      </c>
      <c r="G425" s="0" t="b">
        <f aca="false">FALSE()</f>
        <v>0</v>
      </c>
      <c r="H425" s="0" t="n">
        <v>3</v>
      </c>
      <c r="I425" s="0" t="n">
        <v>1</v>
      </c>
      <c r="J425" s="0" t="n">
        <v>0.38</v>
      </c>
    </row>
    <row r="426" customFormat="false" ht="15" hidden="false" customHeight="false" outlineLevel="0" collapsed="false">
      <c r="A426" s="0" t="n">
        <v>425</v>
      </c>
      <c r="B426" s="0" t="s">
        <v>95</v>
      </c>
      <c r="C426" s="0" t="n">
        <v>1</v>
      </c>
      <c r="D426" s="0" t="n">
        <v>0</v>
      </c>
      <c r="E426" s="0" t="n">
        <v>1</v>
      </c>
      <c r="F426" s="0" t="n">
        <v>17</v>
      </c>
      <c r="G426" s="0" t="b">
        <f aca="false">FALSE()</f>
        <v>0</v>
      </c>
      <c r="H426" s="0" t="n">
        <v>3</v>
      </c>
      <c r="I426" s="0" t="n">
        <v>1</v>
      </c>
      <c r="J426" s="0" t="n">
        <v>0.36</v>
      </c>
    </row>
    <row r="427" customFormat="false" ht="15" hidden="false" customHeight="false" outlineLevel="0" collapsed="false">
      <c r="A427" s="0" t="n">
        <v>426</v>
      </c>
      <c r="B427" s="0" t="s">
        <v>95</v>
      </c>
      <c r="C427" s="0" t="n">
        <v>1</v>
      </c>
      <c r="D427" s="0" t="n">
        <v>0</v>
      </c>
      <c r="E427" s="0" t="n">
        <v>1</v>
      </c>
      <c r="F427" s="0" t="n">
        <v>18</v>
      </c>
      <c r="G427" s="0" t="b">
        <f aca="false">FALSE()</f>
        <v>0</v>
      </c>
      <c r="H427" s="0" t="n">
        <v>3</v>
      </c>
      <c r="I427" s="0" t="n">
        <v>1</v>
      </c>
      <c r="J427" s="0" t="n">
        <v>0.34</v>
      </c>
    </row>
    <row r="428" customFormat="false" ht="15" hidden="false" customHeight="false" outlineLevel="0" collapsed="false">
      <c r="A428" s="0" t="n">
        <v>427</v>
      </c>
      <c r="B428" s="0" t="s">
        <v>95</v>
      </c>
      <c r="C428" s="0" t="n">
        <v>1</v>
      </c>
      <c r="D428" s="0" t="n">
        <v>0</v>
      </c>
      <c r="E428" s="0" t="n">
        <v>1</v>
      </c>
      <c r="F428" s="0" t="n">
        <v>19</v>
      </c>
      <c r="G428" s="0" t="b">
        <f aca="false">FALSE()</f>
        <v>0</v>
      </c>
      <c r="H428" s="0" t="n">
        <v>3</v>
      </c>
      <c r="I428" s="0" t="n">
        <v>1</v>
      </c>
      <c r="J428" s="0" t="n">
        <v>0.32</v>
      </c>
    </row>
    <row r="429" customFormat="false" ht="15" hidden="false" customHeight="false" outlineLevel="0" collapsed="false">
      <c r="A429" s="0" t="n">
        <v>428</v>
      </c>
      <c r="B429" s="0" t="s">
        <v>95</v>
      </c>
      <c r="C429" s="0" t="n">
        <v>1</v>
      </c>
      <c r="D429" s="0" t="n">
        <v>0</v>
      </c>
      <c r="E429" s="0" t="n">
        <v>1</v>
      </c>
      <c r="F429" s="0" t="n">
        <v>20</v>
      </c>
      <c r="G429" s="0" t="b">
        <f aca="false">FALSE()</f>
        <v>0</v>
      </c>
      <c r="H429" s="0" t="n">
        <v>3</v>
      </c>
      <c r="I429" s="0" t="n">
        <v>1</v>
      </c>
      <c r="J429" s="0" t="n">
        <v>0.32</v>
      </c>
    </row>
    <row r="430" customFormat="false" ht="15" hidden="false" customHeight="false" outlineLevel="0" collapsed="false">
      <c r="A430" s="0" t="n">
        <v>429</v>
      </c>
      <c r="B430" s="0" t="s">
        <v>95</v>
      </c>
      <c r="C430" s="0" t="n">
        <v>1</v>
      </c>
      <c r="D430" s="0" t="n">
        <v>0</v>
      </c>
      <c r="E430" s="0" t="n">
        <v>1</v>
      </c>
      <c r="F430" s="0" t="n">
        <v>21</v>
      </c>
      <c r="G430" s="0" t="b">
        <f aca="false">FALSE()</f>
        <v>0</v>
      </c>
      <c r="H430" s="0" t="n">
        <v>3</v>
      </c>
      <c r="I430" s="0" t="n">
        <v>1</v>
      </c>
      <c r="J430" s="0" t="n">
        <v>0.32</v>
      </c>
    </row>
    <row r="431" customFormat="false" ht="15" hidden="false" customHeight="false" outlineLevel="0" collapsed="false">
      <c r="A431" s="0" t="n">
        <v>430</v>
      </c>
      <c r="B431" s="0" t="s">
        <v>95</v>
      </c>
      <c r="C431" s="0" t="n">
        <v>1</v>
      </c>
      <c r="D431" s="0" t="n">
        <v>0</v>
      </c>
      <c r="E431" s="0" t="n">
        <v>1</v>
      </c>
      <c r="F431" s="0" t="n">
        <v>22</v>
      </c>
      <c r="G431" s="0" t="b">
        <f aca="false">FALSE()</f>
        <v>0</v>
      </c>
      <c r="H431" s="0" t="n">
        <v>3</v>
      </c>
      <c r="I431" s="0" t="n">
        <v>1</v>
      </c>
      <c r="J431" s="0" t="n">
        <v>0.3</v>
      </c>
    </row>
    <row r="432" customFormat="false" ht="15" hidden="false" customHeight="false" outlineLevel="0" collapsed="false">
      <c r="A432" s="0" t="n">
        <v>431</v>
      </c>
      <c r="B432" s="0" t="s">
        <v>95</v>
      </c>
      <c r="C432" s="0" t="n">
        <v>1</v>
      </c>
      <c r="D432" s="0" t="n">
        <v>0</v>
      </c>
      <c r="E432" s="0" t="n">
        <v>1</v>
      </c>
      <c r="F432" s="0" t="n">
        <v>23</v>
      </c>
      <c r="G432" s="0" t="b">
        <f aca="false">FALSE()</f>
        <v>0</v>
      </c>
      <c r="H432" s="0" t="n">
        <v>3</v>
      </c>
      <c r="I432" s="0" t="n">
        <v>1</v>
      </c>
      <c r="J432" s="0" t="n">
        <v>0.3</v>
      </c>
    </row>
    <row r="433" customFormat="false" ht="15" hidden="false" customHeight="false" outlineLevel="0" collapsed="false">
      <c r="A433" s="0" t="n">
        <v>432</v>
      </c>
      <c r="B433" s="0" t="s">
        <v>96</v>
      </c>
      <c r="C433" s="0" t="n">
        <v>1</v>
      </c>
      <c r="D433" s="0" t="n">
        <v>0</v>
      </c>
      <c r="E433" s="0" t="n">
        <v>1</v>
      </c>
      <c r="F433" s="0" t="n">
        <v>0</v>
      </c>
      <c r="G433" s="0" t="b">
        <f aca="false">FALSE()</f>
        <v>0</v>
      </c>
      <c r="H433" s="0" t="n">
        <v>4</v>
      </c>
      <c r="I433" s="0" t="n">
        <v>1</v>
      </c>
      <c r="J433" s="0" t="n">
        <v>0.26</v>
      </c>
    </row>
    <row r="434" customFormat="false" ht="15" hidden="false" customHeight="false" outlineLevel="0" collapsed="false">
      <c r="A434" s="0" t="n">
        <v>433</v>
      </c>
      <c r="B434" s="0" t="s">
        <v>96</v>
      </c>
      <c r="C434" s="0" t="n">
        <v>1</v>
      </c>
      <c r="D434" s="0" t="n">
        <v>0</v>
      </c>
      <c r="E434" s="0" t="n">
        <v>1</v>
      </c>
      <c r="F434" s="0" t="n">
        <v>1</v>
      </c>
      <c r="G434" s="0" t="b">
        <f aca="false">FALSE()</f>
        <v>0</v>
      </c>
      <c r="H434" s="0" t="n">
        <v>4</v>
      </c>
      <c r="I434" s="0" t="n">
        <v>1</v>
      </c>
      <c r="J434" s="0" t="n">
        <v>0.26</v>
      </c>
    </row>
    <row r="435" customFormat="false" ht="15" hidden="false" customHeight="false" outlineLevel="0" collapsed="false">
      <c r="A435" s="0" t="n">
        <v>434</v>
      </c>
      <c r="B435" s="0" t="s">
        <v>96</v>
      </c>
      <c r="C435" s="0" t="n">
        <v>1</v>
      </c>
      <c r="D435" s="0" t="n">
        <v>0</v>
      </c>
      <c r="E435" s="0" t="n">
        <v>1</v>
      </c>
      <c r="F435" s="0" t="n">
        <v>2</v>
      </c>
      <c r="G435" s="0" t="b">
        <f aca="false">FALSE()</f>
        <v>0</v>
      </c>
      <c r="H435" s="0" t="n">
        <v>4</v>
      </c>
      <c r="I435" s="0" t="n">
        <v>1</v>
      </c>
      <c r="J435" s="0" t="n">
        <v>0.26</v>
      </c>
    </row>
    <row r="436" customFormat="false" ht="15" hidden="false" customHeight="false" outlineLevel="0" collapsed="false">
      <c r="A436" s="0" t="n">
        <v>435</v>
      </c>
      <c r="B436" s="0" t="s">
        <v>96</v>
      </c>
      <c r="C436" s="0" t="n">
        <v>1</v>
      </c>
      <c r="D436" s="0" t="n">
        <v>0</v>
      </c>
      <c r="E436" s="0" t="n">
        <v>1</v>
      </c>
      <c r="F436" s="0" t="n">
        <v>3</v>
      </c>
      <c r="G436" s="0" t="b">
        <f aca="false">FALSE()</f>
        <v>0</v>
      </c>
      <c r="H436" s="0" t="n">
        <v>4</v>
      </c>
      <c r="I436" s="0" t="n">
        <v>1</v>
      </c>
      <c r="J436" s="0" t="n">
        <v>0.26</v>
      </c>
    </row>
    <row r="437" customFormat="false" ht="15" hidden="false" customHeight="false" outlineLevel="0" collapsed="false">
      <c r="A437" s="0" t="n">
        <v>436</v>
      </c>
      <c r="B437" s="0" t="s">
        <v>96</v>
      </c>
      <c r="C437" s="0" t="n">
        <v>1</v>
      </c>
      <c r="D437" s="0" t="n">
        <v>0</v>
      </c>
      <c r="E437" s="0" t="n">
        <v>1</v>
      </c>
      <c r="F437" s="0" t="n">
        <v>4</v>
      </c>
      <c r="G437" s="0" t="b">
        <f aca="false">FALSE()</f>
        <v>0</v>
      </c>
      <c r="H437" s="0" t="n">
        <v>4</v>
      </c>
      <c r="I437" s="0" t="n">
        <v>1</v>
      </c>
      <c r="J437" s="0" t="n">
        <v>0.26</v>
      </c>
    </row>
    <row r="438" customFormat="false" ht="15" hidden="false" customHeight="false" outlineLevel="0" collapsed="false">
      <c r="A438" s="0" t="n">
        <v>437</v>
      </c>
      <c r="B438" s="0" t="s">
        <v>96</v>
      </c>
      <c r="C438" s="0" t="n">
        <v>1</v>
      </c>
      <c r="D438" s="0" t="n">
        <v>0</v>
      </c>
      <c r="E438" s="0" t="n">
        <v>1</v>
      </c>
      <c r="F438" s="0" t="n">
        <v>5</v>
      </c>
      <c r="G438" s="0" t="b">
        <f aca="false">FALSE()</f>
        <v>0</v>
      </c>
      <c r="H438" s="0" t="n">
        <v>4</v>
      </c>
      <c r="I438" s="0" t="n">
        <v>1</v>
      </c>
      <c r="J438" s="0" t="n">
        <v>0.24</v>
      </c>
    </row>
    <row r="439" customFormat="false" ht="15" hidden="false" customHeight="false" outlineLevel="0" collapsed="false">
      <c r="A439" s="0" t="n">
        <v>438</v>
      </c>
      <c r="B439" s="0" t="s">
        <v>96</v>
      </c>
      <c r="C439" s="0" t="n">
        <v>1</v>
      </c>
      <c r="D439" s="0" t="n">
        <v>0</v>
      </c>
      <c r="E439" s="0" t="n">
        <v>1</v>
      </c>
      <c r="F439" s="0" t="n">
        <v>6</v>
      </c>
      <c r="G439" s="0" t="b">
        <f aca="false">FALSE()</f>
        <v>0</v>
      </c>
      <c r="H439" s="0" t="n">
        <v>4</v>
      </c>
      <c r="I439" s="0" t="n">
        <v>1</v>
      </c>
      <c r="J439" s="0" t="n">
        <v>0.22</v>
      </c>
    </row>
    <row r="440" customFormat="false" ht="15" hidden="false" customHeight="false" outlineLevel="0" collapsed="false">
      <c r="A440" s="0" t="n">
        <v>439</v>
      </c>
      <c r="B440" s="0" t="s">
        <v>96</v>
      </c>
      <c r="C440" s="0" t="n">
        <v>1</v>
      </c>
      <c r="D440" s="0" t="n">
        <v>0</v>
      </c>
      <c r="E440" s="0" t="n">
        <v>1</v>
      </c>
      <c r="F440" s="0" t="n">
        <v>7</v>
      </c>
      <c r="G440" s="0" t="b">
        <f aca="false">FALSE()</f>
        <v>0</v>
      </c>
      <c r="H440" s="0" t="n">
        <v>4</v>
      </c>
      <c r="I440" s="0" t="n">
        <v>1</v>
      </c>
      <c r="J440" s="0" t="n">
        <v>0.22</v>
      </c>
    </row>
    <row r="441" customFormat="false" ht="15" hidden="false" customHeight="false" outlineLevel="0" collapsed="false">
      <c r="A441" s="0" t="n">
        <v>440</v>
      </c>
      <c r="B441" s="0" t="s">
        <v>96</v>
      </c>
      <c r="C441" s="0" t="n">
        <v>1</v>
      </c>
      <c r="D441" s="0" t="n">
        <v>0</v>
      </c>
      <c r="E441" s="0" t="n">
        <v>1</v>
      </c>
      <c r="F441" s="0" t="n">
        <v>8</v>
      </c>
      <c r="G441" s="0" t="b">
        <f aca="false">FALSE()</f>
        <v>0</v>
      </c>
      <c r="H441" s="0" t="n">
        <v>4</v>
      </c>
      <c r="I441" s="0" t="n">
        <v>1</v>
      </c>
      <c r="J441" s="0" t="n">
        <v>0.22</v>
      </c>
    </row>
    <row r="442" customFormat="false" ht="15" hidden="false" customHeight="false" outlineLevel="0" collapsed="false">
      <c r="A442" s="0" t="n">
        <v>441</v>
      </c>
      <c r="B442" s="0" t="s">
        <v>96</v>
      </c>
      <c r="C442" s="0" t="n">
        <v>1</v>
      </c>
      <c r="D442" s="0" t="n">
        <v>0</v>
      </c>
      <c r="E442" s="0" t="n">
        <v>1</v>
      </c>
      <c r="F442" s="0" t="n">
        <v>9</v>
      </c>
      <c r="G442" s="0" t="b">
        <f aca="false">FALSE()</f>
        <v>0</v>
      </c>
      <c r="H442" s="0" t="n">
        <v>4</v>
      </c>
      <c r="I442" s="0" t="n">
        <v>2</v>
      </c>
      <c r="J442" s="0" t="n">
        <v>0.24</v>
      </c>
    </row>
    <row r="443" customFormat="false" ht="15" hidden="false" customHeight="false" outlineLevel="0" collapsed="false">
      <c r="A443" s="0" t="n">
        <v>442</v>
      </c>
      <c r="B443" s="0" t="s">
        <v>96</v>
      </c>
      <c r="C443" s="0" t="n">
        <v>1</v>
      </c>
      <c r="D443" s="0" t="n">
        <v>0</v>
      </c>
      <c r="E443" s="0" t="n">
        <v>1</v>
      </c>
      <c r="F443" s="0" t="n">
        <v>10</v>
      </c>
      <c r="G443" s="0" t="b">
        <f aca="false">FALSE()</f>
        <v>0</v>
      </c>
      <c r="H443" s="0" t="n">
        <v>4</v>
      </c>
      <c r="I443" s="0" t="n">
        <v>1</v>
      </c>
      <c r="J443" s="0" t="n">
        <v>0.26</v>
      </c>
    </row>
    <row r="444" customFormat="false" ht="15" hidden="false" customHeight="false" outlineLevel="0" collapsed="false">
      <c r="A444" s="0" t="n">
        <v>443</v>
      </c>
      <c r="B444" s="0" t="s">
        <v>96</v>
      </c>
      <c r="C444" s="0" t="n">
        <v>1</v>
      </c>
      <c r="D444" s="0" t="n">
        <v>0</v>
      </c>
      <c r="E444" s="0" t="n">
        <v>1</v>
      </c>
      <c r="F444" s="0" t="n">
        <v>11</v>
      </c>
      <c r="G444" s="0" t="b">
        <f aca="false">FALSE()</f>
        <v>0</v>
      </c>
      <c r="H444" s="0" t="n">
        <v>4</v>
      </c>
      <c r="I444" s="0" t="n">
        <v>2</v>
      </c>
      <c r="J444" s="0" t="n">
        <v>0.28</v>
      </c>
    </row>
    <row r="445" customFormat="false" ht="15" hidden="false" customHeight="false" outlineLevel="0" collapsed="false">
      <c r="A445" s="0" t="n">
        <v>444</v>
      </c>
      <c r="B445" s="0" t="s">
        <v>96</v>
      </c>
      <c r="C445" s="0" t="n">
        <v>1</v>
      </c>
      <c r="D445" s="0" t="n">
        <v>0</v>
      </c>
      <c r="E445" s="0" t="n">
        <v>1</v>
      </c>
      <c r="F445" s="0" t="n">
        <v>12</v>
      </c>
      <c r="G445" s="0" t="b">
        <f aca="false">FALSE()</f>
        <v>0</v>
      </c>
      <c r="H445" s="0" t="n">
        <v>4</v>
      </c>
      <c r="I445" s="0" t="n">
        <v>2</v>
      </c>
      <c r="J445" s="0" t="n">
        <v>0.3</v>
      </c>
    </row>
    <row r="446" customFormat="false" ht="15" hidden="false" customHeight="false" outlineLevel="0" collapsed="false">
      <c r="A446" s="0" t="n">
        <v>445</v>
      </c>
      <c r="B446" s="0" t="s">
        <v>96</v>
      </c>
      <c r="C446" s="0" t="n">
        <v>1</v>
      </c>
      <c r="D446" s="0" t="n">
        <v>0</v>
      </c>
      <c r="E446" s="0" t="n">
        <v>1</v>
      </c>
      <c r="F446" s="0" t="n">
        <v>13</v>
      </c>
      <c r="G446" s="0" t="b">
        <f aca="false">FALSE()</f>
        <v>0</v>
      </c>
      <c r="H446" s="0" t="n">
        <v>4</v>
      </c>
      <c r="I446" s="0" t="n">
        <v>2</v>
      </c>
      <c r="J446" s="0" t="n">
        <v>0.28</v>
      </c>
    </row>
    <row r="447" customFormat="false" ht="15" hidden="false" customHeight="false" outlineLevel="0" collapsed="false">
      <c r="A447" s="0" t="n">
        <v>446</v>
      </c>
      <c r="B447" s="0" t="s">
        <v>96</v>
      </c>
      <c r="C447" s="0" t="n">
        <v>1</v>
      </c>
      <c r="D447" s="0" t="n">
        <v>0</v>
      </c>
      <c r="E447" s="0" t="n">
        <v>1</v>
      </c>
      <c r="F447" s="0" t="n">
        <v>14</v>
      </c>
      <c r="G447" s="0" t="b">
        <f aca="false">FALSE()</f>
        <v>0</v>
      </c>
      <c r="H447" s="0" t="n">
        <v>4</v>
      </c>
      <c r="I447" s="0" t="n">
        <v>2</v>
      </c>
      <c r="J447" s="0" t="n">
        <v>0.3</v>
      </c>
    </row>
    <row r="448" customFormat="false" ht="15" hidden="false" customHeight="false" outlineLevel="0" collapsed="false">
      <c r="A448" s="0" t="n">
        <v>447</v>
      </c>
      <c r="B448" s="0" t="s">
        <v>96</v>
      </c>
      <c r="C448" s="0" t="n">
        <v>1</v>
      </c>
      <c r="D448" s="0" t="n">
        <v>0</v>
      </c>
      <c r="E448" s="0" t="n">
        <v>1</v>
      </c>
      <c r="F448" s="0" t="n">
        <v>15</v>
      </c>
      <c r="G448" s="0" t="b">
        <f aca="false">FALSE()</f>
        <v>0</v>
      </c>
      <c r="H448" s="0" t="n">
        <v>4</v>
      </c>
      <c r="I448" s="0" t="n">
        <v>2</v>
      </c>
      <c r="J448" s="0" t="n">
        <v>0.32</v>
      </c>
    </row>
    <row r="449" customFormat="false" ht="15" hidden="false" customHeight="false" outlineLevel="0" collapsed="false">
      <c r="A449" s="0" t="n">
        <v>448</v>
      </c>
      <c r="B449" s="0" t="s">
        <v>96</v>
      </c>
      <c r="C449" s="0" t="n">
        <v>1</v>
      </c>
      <c r="D449" s="0" t="n">
        <v>0</v>
      </c>
      <c r="E449" s="0" t="n">
        <v>1</v>
      </c>
      <c r="F449" s="0" t="n">
        <v>16</v>
      </c>
      <c r="G449" s="0" t="b">
        <f aca="false">FALSE()</f>
        <v>0</v>
      </c>
      <c r="H449" s="0" t="n">
        <v>4</v>
      </c>
      <c r="I449" s="0" t="n">
        <v>2</v>
      </c>
      <c r="J449" s="0" t="n">
        <v>0.3</v>
      </c>
    </row>
    <row r="450" customFormat="false" ht="15" hidden="false" customHeight="false" outlineLevel="0" collapsed="false">
      <c r="A450" s="0" t="n">
        <v>449</v>
      </c>
      <c r="B450" s="0" t="s">
        <v>96</v>
      </c>
      <c r="C450" s="0" t="n">
        <v>1</v>
      </c>
      <c r="D450" s="0" t="n">
        <v>0</v>
      </c>
      <c r="E450" s="0" t="n">
        <v>1</v>
      </c>
      <c r="F450" s="0" t="n">
        <v>17</v>
      </c>
      <c r="G450" s="0" t="b">
        <f aca="false">FALSE()</f>
        <v>0</v>
      </c>
      <c r="H450" s="0" t="n">
        <v>4</v>
      </c>
      <c r="I450" s="0" t="n">
        <v>2</v>
      </c>
      <c r="J450" s="0" t="n">
        <v>0.3</v>
      </c>
    </row>
    <row r="451" customFormat="false" ht="15" hidden="false" customHeight="false" outlineLevel="0" collapsed="false">
      <c r="A451" s="0" t="n">
        <v>450</v>
      </c>
      <c r="B451" s="0" t="s">
        <v>96</v>
      </c>
      <c r="C451" s="0" t="n">
        <v>1</v>
      </c>
      <c r="D451" s="0" t="n">
        <v>0</v>
      </c>
      <c r="E451" s="0" t="n">
        <v>1</v>
      </c>
      <c r="F451" s="0" t="n">
        <v>18</v>
      </c>
      <c r="G451" s="0" t="b">
        <f aca="false">FALSE()</f>
        <v>0</v>
      </c>
      <c r="H451" s="0" t="n">
        <v>4</v>
      </c>
      <c r="I451" s="0" t="n">
        <v>2</v>
      </c>
      <c r="J451" s="0" t="n">
        <v>0.26</v>
      </c>
    </row>
    <row r="452" customFormat="false" ht="15" hidden="false" customHeight="false" outlineLevel="0" collapsed="false">
      <c r="A452" s="0" t="n">
        <v>451</v>
      </c>
      <c r="B452" s="0" t="s">
        <v>96</v>
      </c>
      <c r="C452" s="0" t="n">
        <v>1</v>
      </c>
      <c r="D452" s="0" t="n">
        <v>0</v>
      </c>
      <c r="E452" s="0" t="n">
        <v>1</v>
      </c>
      <c r="F452" s="0" t="n">
        <v>19</v>
      </c>
      <c r="G452" s="0" t="b">
        <f aca="false">FALSE()</f>
        <v>0</v>
      </c>
      <c r="H452" s="0" t="n">
        <v>4</v>
      </c>
      <c r="I452" s="0" t="n">
        <v>1</v>
      </c>
      <c r="J452" s="0" t="n">
        <v>0.26</v>
      </c>
    </row>
    <row r="453" customFormat="false" ht="15" hidden="false" customHeight="false" outlineLevel="0" collapsed="false">
      <c r="A453" s="0" t="n">
        <v>452</v>
      </c>
      <c r="B453" s="0" t="s">
        <v>96</v>
      </c>
      <c r="C453" s="0" t="n">
        <v>1</v>
      </c>
      <c r="D453" s="0" t="n">
        <v>0</v>
      </c>
      <c r="E453" s="0" t="n">
        <v>1</v>
      </c>
      <c r="F453" s="0" t="n">
        <v>20</v>
      </c>
      <c r="G453" s="0" t="b">
        <f aca="false">FALSE()</f>
        <v>0</v>
      </c>
      <c r="H453" s="0" t="n">
        <v>4</v>
      </c>
      <c r="I453" s="0" t="n">
        <v>2</v>
      </c>
      <c r="J453" s="0" t="n">
        <v>0.26</v>
      </c>
    </row>
    <row r="454" customFormat="false" ht="15" hidden="false" customHeight="false" outlineLevel="0" collapsed="false">
      <c r="A454" s="0" t="n">
        <v>453</v>
      </c>
      <c r="B454" s="0" t="s">
        <v>96</v>
      </c>
      <c r="C454" s="0" t="n">
        <v>1</v>
      </c>
      <c r="D454" s="0" t="n">
        <v>0</v>
      </c>
      <c r="E454" s="0" t="n">
        <v>1</v>
      </c>
      <c r="F454" s="0" t="n">
        <v>21</v>
      </c>
      <c r="G454" s="0" t="b">
        <f aca="false">FALSE()</f>
        <v>0</v>
      </c>
      <c r="H454" s="0" t="n">
        <v>4</v>
      </c>
      <c r="I454" s="0" t="n">
        <v>2</v>
      </c>
      <c r="J454" s="0" t="n">
        <v>0.24</v>
      </c>
    </row>
    <row r="455" customFormat="false" ht="15" hidden="false" customHeight="false" outlineLevel="0" collapsed="false">
      <c r="A455" s="0" t="n">
        <v>454</v>
      </c>
      <c r="B455" s="0" t="s">
        <v>96</v>
      </c>
      <c r="C455" s="0" t="n">
        <v>1</v>
      </c>
      <c r="D455" s="0" t="n">
        <v>0</v>
      </c>
      <c r="E455" s="0" t="n">
        <v>1</v>
      </c>
      <c r="F455" s="0" t="n">
        <v>22</v>
      </c>
      <c r="G455" s="0" t="b">
        <f aca="false">FALSE()</f>
        <v>0</v>
      </c>
      <c r="H455" s="0" t="n">
        <v>4</v>
      </c>
      <c r="I455" s="0" t="n">
        <v>2</v>
      </c>
      <c r="J455" s="0" t="n">
        <v>0.24</v>
      </c>
    </row>
    <row r="456" customFormat="false" ht="15" hidden="false" customHeight="false" outlineLevel="0" collapsed="false">
      <c r="A456" s="0" t="n">
        <v>455</v>
      </c>
      <c r="B456" s="0" t="s">
        <v>96</v>
      </c>
      <c r="C456" s="0" t="n">
        <v>1</v>
      </c>
      <c r="D456" s="0" t="n">
        <v>0</v>
      </c>
      <c r="E456" s="0" t="n">
        <v>1</v>
      </c>
      <c r="F456" s="0" t="n">
        <v>23</v>
      </c>
      <c r="G456" s="0" t="b">
        <f aca="false">FALSE()</f>
        <v>0</v>
      </c>
      <c r="H456" s="0" t="n">
        <v>4</v>
      </c>
      <c r="I456" s="0" t="n">
        <v>2</v>
      </c>
      <c r="J456" s="0" t="n">
        <v>0.24</v>
      </c>
    </row>
    <row r="457" customFormat="false" ht="15" hidden="false" customHeight="false" outlineLevel="0" collapsed="false">
      <c r="A457" s="0" t="n">
        <v>456</v>
      </c>
      <c r="B457" s="0" t="s">
        <v>97</v>
      </c>
      <c r="C457" s="0" t="n">
        <v>1</v>
      </c>
      <c r="D457" s="0" t="n">
        <v>0</v>
      </c>
      <c r="E457" s="0" t="n">
        <v>1</v>
      </c>
      <c r="F457" s="0" t="n">
        <v>0</v>
      </c>
      <c r="G457" s="0" t="b">
        <f aca="false">FALSE()</f>
        <v>0</v>
      </c>
      <c r="H457" s="0" t="n">
        <v>5</v>
      </c>
      <c r="I457" s="0" t="n">
        <v>2</v>
      </c>
      <c r="J457" s="0" t="n">
        <v>0.24</v>
      </c>
    </row>
    <row r="458" customFormat="false" ht="15" hidden="false" customHeight="false" outlineLevel="0" collapsed="false">
      <c r="A458" s="0" t="n">
        <v>457</v>
      </c>
      <c r="B458" s="0" t="s">
        <v>97</v>
      </c>
      <c r="C458" s="0" t="n">
        <v>1</v>
      </c>
      <c r="D458" s="0" t="n">
        <v>0</v>
      </c>
      <c r="E458" s="0" t="n">
        <v>1</v>
      </c>
      <c r="F458" s="0" t="n">
        <v>1</v>
      </c>
      <c r="G458" s="0" t="b">
        <f aca="false">FALSE()</f>
        <v>0</v>
      </c>
      <c r="H458" s="0" t="n">
        <v>5</v>
      </c>
      <c r="I458" s="0" t="n">
        <v>2</v>
      </c>
      <c r="J458" s="0" t="n">
        <v>0.24</v>
      </c>
    </row>
    <row r="459" customFormat="false" ht="15" hidden="false" customHeight="false" outlineLevel="0" collapsed="false">
      <c r="A459" s="0" t="n">
        <v>458</v>
      </c>
      <c r="B459" s="0" t="s">
        <v>97</v>
      </c>
      <c r="C459" s="0" t="n">
        <v>1</v>
      </c>
      <c r="D459" s="0" t="n">
        <v>0</v>
      </c>
      <c r="E459" s="0" t="n">
        <v>1</v>
      </c>
      <c r="F459" s="0" t="n">
        <v>2</v>
      </c>
      <c r="G459" s="0" t="b">
        <f aca="false">FALSE()</f>
        <v>0</v>
      </c>
      <c r="H459" s="0" t="n">
        <v>5</v>
      </c>
      <c r="I459" s="0" t="n">
        <v>3</v>
      </c>
      <c r="J459" s="0" t="n">
        <v>0.24</v>
      </c>
    </row>
    <row r="460" customFormat="false" ht="15" hidden="false" customHeight="false" outlineLevel="0" collapsed="false">
      <c r="A460" s="0" t="n">
        <v>459</v>
      </c>
      <c r="B460" s="0" t="s">
        <v>97</v>
      </c>
      <c r="C460" s="0" t="n">
        <v>1</v>
      </c>
      <c r="D460" s="0" t="n">
        <v>0</v>
      </c>
      <c r="E460" s="0" t="n">
        <v>1</v>
      </c>
      <c r="F460" s="0" t="n">
        <v>3</v>
      </c>
      <c r="G460" s="0" t="b">
        <f aca="false">FALSE()</f>
        <v>0</v>
      </c>
      <c r="H460" s="0" t="n">
        <v>5</v>
      </c>
      <c r="I460" s="0" t="n">
        <v>3</v>
      </c>
      <c r="J460" s="0" t="n">
        <v>0.22</v>
      </c>
    </row>
    <row r="461" customFormat="false" ht="15" hidden="false" customHeight="false" outlineLevel="0" collapsed="false">
      <c r="A461" s="0" t="n">
        <v>460</v>
      </c>
      <c r="B461" s="0" t="s">
        <v>97</v>
      </c>
      <c r="C461" s="0" t="n">
        <v>1</v>
      </c>
      <c r="D461" s="0" t="n">
        <v>0</v>
      </c>
      <c r="E461" s="0" t="n">
        <v>1</v>
      </c>
      <c r="F461" s="0" t="n">
        <v>4</v>
      </c>
      <c r="G461" s="0" t="b">
        <f aca="false">FALSE()</f>
        <v>0</v>
      </c>
      <c r="H461" s="0" t="n">
        <v>5</v>
      </c>
      <c r="I461" s="0" t="n">
        <v>2</v>
      </c>
      <c r="J461" s="0" t="n">
        <v>0.22</v>
      </c>
    </row>
    <row r="462" customFormat="false" ht="15" hidden="false" customHeight="false" outlineLevel="0" collapsed="false">
      <c r="A462" s="0" t="n">
        <v>461</v>
      </c>
      <c r="B462" s="0" t="s">
        <v>97</v>
      </c>
      <c r="C462" s="0" t="n">
        <v>1</v>
      </c>
      <c r="D462" s="0" t="n">
        <v>0</v>
      </c>
      <c r="E462" s="0" t="n">
        <v>1</v>
      </c>
      <c r="F462" s="0" t="n">
        <v>5</v>
      </c>
      <c r="G462" s="0" t="b">
        <f aca="false">FALSE()</f>
        <v>0</v>
      </c>
      <c r="H462" s="0" t="n">
        <v>5</v>
      </c>
      <c r="I462" s="0" t="n">
        <v>1</v>
      </c>
      <c r="J462" s="0" t="n">
        <v>0.24</v>
      </c>
    </row>
    <row r="463" customFormat="false" ht="15" hidden="false" customHeight="false" outlineLevel="0" collapsed="false">
      <c r="A463" s="0" t="n">
        <v>462</v>
      </c>
      <c r="B463" s="0" t="s">
        <v>97</v>
      </c>
      <c r="C463" s="0" t="n">
        <v>1</v>
      </c>
      <c r="D463" s="0" t="n">
        <v>0</v>
      </c>
      <c r="E463" s="0" t="n">
        <v>1</v>
      </c>
      <c r="F463" s="0" t="n">
        <v>6</v>
      </c>
      <c r="G463" s="0" t="b">
        <f aca="false">FALSE()</f>
        <v>0</v>
      </c>
      <c r="H463" s="0" t="n">
        <v>5</v>
      </c>
      <c r="I463" s="0" t="n">
        <v>1</v>
      </c>
      <c r="J463" s="0" t="n">
        <v>0.22</v>
      </c>
    </row>
    <row r="464" customFormat="false" ht="15" hidden="false" customHeight="false" outlineLevel="0" collapsed="false">
      <c r="A464" s="0" t="n">
        <v>463</v>
      </c>
      <c r="B464" s="0" t="s">
        <v>97</v>
      </c>
      <c r="C464" s="0" t="n">
        <v>1</v>
      </c>
      <c r="D464" s="0" t="n">
        <v>0</v>
      </c>
      <c r="E464" s="0" t="n">
        <v>1</v>
      </c>
      <c r="F464" s="0" t="n">
        <v>7</v>
      </c>
      <c r="G464" s="0" t="b">
        <f aca="false">FALSE()</f>
        <v>0</v>
      </c>
      <c r="H464" s="0" t="n">
        <v>5</v>
      </c>
      <c r="I464" s="0" t="n">
        <v>1</v>
      </c>
      <c r="J464" s="0" t="n">
        <v>0.2</v>
      </c>
    </row>
    <row r="465" customFormat="false" ht="15" hidden="false" customHeight="false" outlineLevel="0" collapsed="false">
      <c r="A465" s="0" t="n">
        <v>464</v>
      </c>
      <c r="B465" s="0" t="s">
        <v>97</v>
      </c>
      <c r="C465" s="0" t="n">
        <v>1</v>
      </c>
      <c r="D465" s="0" t="n">
        <v>0</v>
      </c>
      <c r="E465" s="0" t="n">
        <v>1</v>
      </c>
      <c r="F465" s="0" t="n">
        <v>8</v>
      </c>
      <c r="G465" s="0" t="b">
        <f aca="false">FALSE()</f>
        <v>0</v>
      </c>
      <c r="H465" s="0" t="n">
        <v>5</v>
      </c>
      <c r="I465" s="0" t="n">
        <v>1</v>
      </c>
      <c r="J465" s="0" t="n">
        <v>0.2</v>
      </c>
    </row>
    <row r="466" customFormat="false" ht="15" hidden="false" customHeight="false" outlineLevel="0" collapsed="false">
      <c r="A466" s="0" t="n">
        <v>465</v>
      </c>
      <c r="B466" s="0" t="s">
        <v>97</v>
      </c>
      <c r="C466" s="0" t="n">
        <v>1</v>
      </c>
      <c r="D466" s="0" t="n">
        <v>0</v>
      </c>
      <c r="E466" s="0" t="n">
        <v>1</v>
      </c>
      <c r="F466" s="0" t="n">
        <v>9</v>
      </c>
      <c r="G466" s="0" t="b">
        <f aca="false">FALSE()</f>
        <v>0</v>
      </c>
      <c r="H466" s="0" t="n">
        <v>5</v>
      </c>
      <c r="I466" s="0" t="n">
        <v>1</v>
      </c>
      <c r="J466" s="0" t="n">
        <v>0.2</v>
      </c>
    </row>
    <row r="467" customFormat="false" ht="15" hidden="false" customHeight="false" outlineLevel="0" collapsed="false">
      <c r="A467" s="0" t="n">
        <v>466</v>
      </c>
      <c r="B467" s="0" t="s">
        <v>97</v>
      </c>
      <c r="C467" s="0" t="n">
        <v>1</v>
      </c>
      <c r="D467" s="0" t="n">
        <v>0</v>
      </c>
      <c r="E467" s="0" t="n">
        <v>1</v>
      </c>
      <c r="F467" s="0" t="n">
        <v>10</v>
      </c>
      <c r="G467" s="0" t="b">
        <f aca="false">FALSE()</f>
        <v>0</v>
      </c>
      <c r="H467" s="0" t="n">
        <v>5</v>
      </c>
      <c r="I467" s="0" t="n">
        <v>1</v>
      </c>
      <c r="J467" s="0" t="n">
        <v>0.2</v>
      </c>
    </row>
    <row r="468" customFormat="false" ht="15" hidden="false" customHeight="false" outlineLevel="0" collapsed="false">
      <c r="A468" s="0" t="n">
        <v>467</v>
      </c>
      <c r="B468" s="0" t="s">
        <v>97</v>
      </c>
      <c r="C468" s="0" t="n">
        <v>1</v>
      </c>
      <c r="D468" s="0" t="n">
        <v>0</v>
      </c>
      <c r="E468" s="0" t="n">
        <v>1</v>
      </c>
      <c r="F468" s="0" t="n">
        <v>11</v>
      </c>
      <c r="G468" s="0" t="b">
        <f aca="false">FALSE()</f>
        <v>0</v>
      </c>
      <c r="H468" s="0" t="n">
        <v>5</v>
      </c>
      <c r="I468" s="0" t="n">
        <v>1</v>
      </c>
      <c r="J468" s="0" t="n">
        <v>0.22</v>
      </c>
    </row>
    <row r="469" customFormat="false" ht="15" hidden="false" customHeight="false" outlineLevel="0" collapsed="false">
      <c r="A469" s="0" t="n">
        <v>468</v>
      </c>
      <c r="B469" s="0" t="s">
        <v>97</v>
      </c>
      <c r="C469" s="0" t="n">
        <v>1</v>
      </c>
      <c r="D469" s="0" t="n">
        <v>0</v>
      </c>
      <c r="E469" s="0" t="n">
        <v>1</v>
      </c>
      <c r="F469" s="0" t="n">
        <v>12</v>
      </c>
      <c r="G469" s="0" t="b">
        <f aca="false">FALSE()</f>
        <v>0</v>
      </c>
      <c r="H469" s="0" t="n">
        <v>5</v>
      </c>
      <c r="I469" s="0" t="n">
        <v>1</v>
      </c>
      <c r="J469" s="0" t="n">
        <v>0.22</v>
      </c>
    </row>
    <row r="470" customFormat="false" ht="15" hidden="false" customHeight="false" outlineLevel="0" collapsed="false">
      <c r="A470" s="0" t="n">
        <v>469</v>
      </c>
      <c r="B470" s="0" t="s">
        <v>97</v>
      </c>
      <c r="C470" s="0" t="n">
        <v>1</v>
      </c>
      <c r="D470" s="0" t="n">
        <v>0</v>
      </c>
      <c r="E470" s="0" t="n">
        <v>1</v>
      </c>
      <c r="F470" s="0" t="n">
        <v>13</v>
      </c>
      <c r="G470" s="0" t="b">
        <f aca="false">FALSE()</f>
        <v>0</v>
      </c>
      <c r="H470" s="0" t="n">
        <v>5</v>
      </c>
      <c r="I470" s="0" t="n">
        <v>1</v>
      </c>
      <c r="J470" s="0" t="n">
        <v>0.2</v>
      </c>
    </row>
    <row r="471" customFormat="false" ht="15" hidden="false" customHeight="false" outlineLevel="0" collapsed="false">
      <c r="A471" s="0" t="n">
        <v>470</v>
      </c>
      <c r="B471" s="0" t="s">
        <v>97</v>
      </c>
      <c r="C471" s="0" t="n">
        <v>1</v>
      </c>
      <c r="D471" s="0" t="n">
        <v>0</v>
      </c>
      <c r="E471" s="0" t="n">
        <v>1</v>
      </c>
      <c r="F471" s="0" t="n">
        <v>14</v>
      </c>
      <c r="G471" s="0" t="b">
        <f aca="false">FALSE()</f>
        <v>0</v>
      </c>
      <c r="H471" s="0" t="n">
        <v>5</v>
      </c>
      <c r="I471" s="0" t="n">
        <v>1</v>
      </c>
      <c r="J471" s="0" t="n">
        <v>0.2</v>
      </c>
    </row>
    <row r="472" customFormat="false" ht="15" hidden="false" customHeight="false" outlineLevel="0" collapsed="false">
      <c r="A472" s="0" t="n">
        <v>471</v>
      </c>
      <c r="B472" s="0" t="s">
        <v>97</v>
      </c>
      <c r="C472" s="0" t="n">
        <v>1</v>
      </c>
      <c r="D472" s="0" t="n">
        <v>0</v>
      </c>
      <c r="E472" s="0" t="n">
        <v>1</v>
      </c>
      <c r="F472" s="0" t="n">
        <v>15</v>
      </c>
      <c r="G472" s="0" t="b">
        <f aca="false">FALSE()</f>
        <v>0</v>
      </c>
      <c r="H472" s="0" t="n">
        <v>5</v>
      </c>
      <c r="I472" s="0" t="n">
        <v>1</v>
      </c>
      <c r="J472" s="0" t="n">
        <v>0.16</v>
      </c>
    </row>
    <row r="473" customFormat="false" ht="15" hidden="false" customHeight="false" outlineLevel="0" collapsed="false">
      <c r="A473" s="0" t="n">
        <v>472</v>
      </c>
      <c r="B473" s="0" t="s">
        <v>97</v>
      </c>
      <c r="C473" s="0" t="n">
        <v>1</v>
      </c>
      <c r="D473" s="0" t="n">
        <v>0</v>
      </c>
      <c r="E473" s="0" t="n">
        <v>1</v>
      </c>
      <c r="F473" s="0" t="n">
        <v>16</v>
      </c>
      <c r="G473" s="0" t="b">
        <f aca="false">FALSE()</f>
        <v>0</v>
      </c>
      <c r="H473" s="0" t="n">
        <v>5</v>
      </c>
      <c r="I473" s="0" t="n">
        <v>1</v>
      </c>
      <c r="J473" s="0" t="n">
        <v>0.16</v>
      </c>
    </row>
    <row r="474" customFormat="false" ht="15" hidden="false" customHeight="false" outlineLevel="0" collapsed="false">
      <c r="A474" s="0" t="n">
        <v>473</v>
      </c>
      <c r="B474" s="0" t="s">
        <v>97</v>
      </c>
      <c r="C474" s="0" t="n">
        <v>1</v>
      </c>
      <c r="D474" s="0" t="n">
        <v>0</v>
      </c>
      <c r="E474" s="0" t="n">
        <v>1</v>
      </c>
      <c r="F474" s="0" t="n">
        <v>17</v>
      </c>
      <c r="G474" s="0" t="b">
        <f aca="false">FALSE()</f>
        <v>0</v>
      </c>
      <c r="H474" s="0" t="n">
        <v>5</v>
      </c>
      <c r="I474" s="0" t="n">
        <v>1</v>
      </c>
      <c r="J474" s="0" t="n">
        <v>0.14</v>
      </c>
    </row>
    <row r="475" customFormat="false" ht="15" hidden="false" customHeight="false" outlineLevel="0" collapsed="false">
      <c r="A475" s="0" t="n">
        <v>474</v>
      </c>
      <c r="B475" s="0" t="s">
        <v>97</v>
      </c>
      <c r="C475" s="0" t="n">
        <v>1</v>
      </c>
      <c r="D475" s="0" t="n">
        <v>0</v>
      </c>
      <c r="E475" s="0" t="n">
        <v>1</v>
      </c>
      <c r="F475" s="0" t="n">
        <v>18</v>
      </c>
      <c r="G475" s="0" t="b">
        <f aca="false">FALSE()</f>
        <v>0</v>
      </c>
      <c r="H475" s="0" t="n">
        <v>5</v>
      </c>
      <c r="I475" s="0" t="n">
        <v>1</v>
      </c>
      <c r="J475" s="0" t="n">
        <v>0.12</v>
      </c>
    </row>
    <row r="476" customFormat="false" ht="15" hidden="false" customHeight="false" outlineLevel="0" collapsed="false">
      <c r="A476" s="0" t="n">
        <v>475</v>
      </c>
      <c r="B476" s="0" t="s">
        <v>97</v>
      </c>
      <c r="C476" s="0" t="n">
        <v>1</v>
      </c>
      <c r="D476" s="0" t="n">
        <v>0</v>
      </c>
      <c r="E476" s="0" t="n">
        <v>1</v>
      </c>
      <c r="F476" s="0" t="n">
        <v>19</v>
      </c>
      <c r="G476" s="0" t="b">
        <f aca="false">FALSE()</f>
        <v>0</v>
      </c>
      <c r="H476" s="0" t="n">
        <v>5</v>
      </c>
      <c r="I476" s="0" t="n">
        <v>1</v>
      </c>
      <c r="J476" s="0" t="n">
        <v>0.12</v>
      </c>
    </row>
    <row r="477" customFormat="false" ht="15" hidden="false" customHeight="false" outlineLevel="0" collapsed="false">
      <c r="A477" s="0" t="n">
        <v>476</v>
      </c>
      <c r="B477" s="0" t="s">
        <v>97</v>
      </c>
      <c r="C477" s="0" t="n">
        <v>1</v>
      </c>
      <c r="D477" s="0" t="n">
        <v>0</v>
      </c>
      <c r="E477" s="0" t="n">
        <v>1</v>
      </c>
      <c r="F477" s="0" t="n">
        <v>20</v>
      </c>
      <c r="G477" s="0" t="b">
        <f aca="false">FALSE()</f>
        <v>0</v>
      </c>
      <c r="H477" s="0" t="n">
        <v>5</v>
      </c>
      <c r="I477" s="0" t="n">
        <v>1</v>
      </c>
      <c r="J477" s="0" t="n">
        <v>0.1</v>
      </c>
    </row>
    <row r="478" customFormat="false" ht="15" hidden="false" customHeight="false" outlineLevel="0" collapsed="false">
      <c r="A478" s="0" t="n">
        <v>477</v>
      </c>
      <c r="B478" s="0" t="s">
        <v>97</v>
      </c>
      <c r="C478" s="0" t="n">
        <v>1</v>
      </c>
      <c r="D478" s="0" t="n">
        <v>0</v>
      </c>
      <c r="E478" s="0" t="n">
        <v>1</v>
      </c>
      <c r="F478" s="0" t="n">
        <v>21</v>
      </c>
      <c r="G478" s="0" t="b">
        <f aca="false">FALSE()</f>
        <v>0</v>
      </c>
      <c r="H478" s="0" t="n">
        <v>5</v>
      </c>
      <c r="I478" s="0" t="n">
        <v>1</v>
      </c>
      <c r="J478" s="0" t="n">
        <v>0.08</v>
      </c>
    </row>
    <row r="479" customFormat="false" ht="15" hidden="false" customHeight="false" outlineLevel="0" collapsed="false">
      <c r="A479" s="0" t="n">
        <v>478</v>
      </c>
      <c r="B479" s="0" t="s">
        <v>97</v>
      </c>
      <c r="C479" s="0" t="n">
        <v>1</v>
      </c>
      <c r="D479" s="0" t="n">
        <v>0</v>
      </c>
      <c r="E479" s="0" t="n">
        <v>1</v>
      </c>
      <c r="F479" s="0" t="n">
        <v>22</v>
      </c>
      <c r="G479" s="0" t="b">
        <f aca="false">FALSE()</f>
        <v>0</v>
      </c>
      <c r="H479" s="0" t="n">
        <v>5</v>
      </c>
      <c r="I479" s="0" t="n">
        <v>1</v>
      </c>
      <c r="J479" s="0" t="n">
        <v>0.06</v>
      </c>
    </row>
    <row r="480" customFormat="false" ht="15" hidden="false" customHeight="false" outlineLevel="0" collapsed="false">
      <c r="A480" s="0" t="n">
        <v>479</v>
      </c>
      <c r="B480" s="0" t="s">
        <v>97</v>
      </c>
      <c r="C480" s="0" t="n">
        <v>1</v>
      </c>
      <c r="D480" s="0" t="n">
        <v>0</v>
      </c>
      <c r="E480" s="0" t="n">
        <v>1</v>
      </c>
      <c r="F480" s="0" t="n">
        <v>23</v>
      </c>
      <c r="G480" s="0" t="b">
        <f aca="false">FALSE()</f>
        <v>0</v>
      </c>
      <c r="H480" s="0" t="n">
        <v>5</v>
      </c>
      <c r="I480" s="0" t="n">
        <v>1</v>
      </c>
      <c r="J480" s="0" t="n">
        <v>0.06</v>
      </c>
    </row>
    <row r="481" customFormat="false" ht="15" hidden="false" customHeight="false" outlineLevel="0" collapsed="false">
      <c r="A481" s="0" t="n">
        <v>480</v>
      </c>
      <c r="B481" s="0" t="s">
        <v>98</v>
      </c>
      <c r="C481" s="0" t="n">
        <v>1</v>
      </c>
      <c r="D481" s="0" t="n">
        <v>0</v>
      </c>
      <c r="E481" s="0" t="n">
        <v>1</v>
      </c>
      <c r="F481" s="0" t="n">
        <v>0</v>
      </c>
      <c r="G481" s="0" t="b">
        <f aca="false">FALSE()</f>
        <v>0</v>
      </c>
      <c r="H481" s="0" t="n">
        <v>6</v>
      </c>
      <c r="I481" s="0" t="n">
        <v>1</v>
      </c>
      <c r="J481" s="0" t="n">
        <v>0.04</v>
      </c>
    </row>
    <row r="482" customFormat="false" ht="15" hidden="false" customHeight="false" outlineLevel="0" collapsed="false">
      <c r="A482" s="0" t="n">
        <v>481</v>
      </c>
      <c r="B482" s="0" t="s">
        <v>98</v>
      </c>
      <c r="C482" s="0" t="n">
        <v>1</v>
      </c>
      <c r="D482" s="0" t="n">
        <v>0</v>
      </c>
      <c r="E482" s="0" t="n">
        <v>1</v>
      </c>
      <c r="F482" s="0" t="n">
        <v>1</v>
      </c>
      <c r="G482" s="0" t="b">
        <f aca="false">FALSE()</f>
        <v>0</v>
      </c>
      <c r="H482" s="0" t="n">
        <v>6</v>
      </c>
      <c r="I482" s="0" t="n">
        <v>2</v>
      </c>
      <c r="J482" s="0" t="n">
        <v>0.04</v>
      </c>
    </row>
    <row r="483" customFormat="false" ht="15" hidden="false" customHeight="false" outlineLevel="0" collapsed="false">
      <c r="A483" s="0" t="n">
        <v>482</v>
      </c>
      <c r="B483" s="0" t="s">
        <v>98</v>
      </c>
      <c r="C483" s="0" t="n">
        <v>1</v>
      </c>
      <c r="D483" s="0" t="n">
        <v>0</v>
      </c>
      <c r="E483" s="0" t="n">
        <v>1</v>
      </c>
      <c r="F483" s="0" t="n">
        <v>2</v>
      </c>
      <c r="G483" s="0" t="b">
        <f aca="false">FALSE()</f>
        <v>0</v>
      </c>
      <c r="H483" s="0" t="n">
        <v>6</v>
      </c>
      <c r="I483" s="0" t="n">
        <v>2</v>
      </c>
      <c r="J483" s="0" t="n">
        <v>0.04</v>
      </c>
    </row>
    <row r="484" customFormat="false" ht="15" hidden="false" customHeight="false" outlineLevel="0" collapsed="false">
      <c r="A484" s="0" t="n">
        <v>483</v>
      </c>
      <c r="B484" s="0" t="s">
        <v>98</v>
      </c>
      <c r="C484" s="0" t="n">
        <v>1</v>
      </c>
      <c r="D484" s="0" t="n">
        <v>0</v>
      </c>
      <c r="E484" s="0" t="n">
        <v>1</v>
      </c>
      <c r="F484" s="0" t="n">
        <v>3</v>
      </c>
      <c r="G484" s="0" t="b">
        <f aca="false">FALSE()</f>
        <v>0</v>
      </c>
      <c r="H484" s="0" t="n">
        <v>6</v>
      </c>
      <c r="I484" s="0" t="n">
        <v>2</v>
      </c>
      <c r="J484" s="0" t="n">
        <v>0.04</v>
      </c>
    </row>
    <row r="485" customFormat="false" ht="15" hidden="false" customHeight="false" outlineLevel="0" collapsed="false">
      <c r="A485" s="0" t="n">
        <v>484</v>
      </c>
      <c r="B485" s="0" t="s">
        <v>98</v>
      </c>
      <c r="C485" s="0" t="n">
        <v>1</v>
      </c>
      <c r="D485" s="0" t="n">
        <v>0</v>
      </c>
      <c r="E485" s="0" t="n">
        <v>1</v>
      </c>
      <c r="F485" s="0" t="n">
        <v>4</v>
      </c>
      <c r="G485" s="0" t="b">
        <f aca="false">FALSE()</f>
        <v>0</v>
      </c>
      <c r="H485" s="0" t="n">
        <v>6</v>
      </c>
      <c r="I485" s="0" t="n">
        <v>2</v>
      </c>
      <c r="J485" s="0" t="n">
        <v>0.02</v>
      </c>
    </row>
    <row r="486" customFormat="false" ht="15" hidden="false" customHeight="false" outlineLevel="0" collapsed="false">
      <c r="A486" s="0" t="n">
        <v>485</v>
      </c>
      <c r="B486" s="0" t="s">
        <v>98</v>
      </c>
      <c r="C486" s="0" t="n">
        <v>1</v>
      </c>
      <c r="D486" s="0" t="n">
        <v>0</v>
      </c>
      <c r="E486" s="0" t="n">
        <v>1</v>
      </c>
      <c r="F486" s="0" t="n">
        <v>6</v>
      </c>
      <c r="G486" s="0" t="b">
        <f aca="false">FALSE()</f>
        <v>0</v>
      </c>
      <c r="H486" s="0" t="n">
        <v>6</v>
      </c>
      <c r="I486" s="0" t="n">
        <v>2</v>
      </c>
      <c r="J486" s="0" t="n">
        <v>0.02</v>
      </c>
    </row>
    <row r="487" customFormat="false" ht="15" hidden="false" customHeight="false" outlineLevel="0" collapsed="false">
      <c r="A487" s="0" t="n">
        <v>486</v>
      </c>
      <c r="B487" s="0" t="s">
        <v>98</v>
      </c>
      <c r="C487" s="0" t="n">
        <v>1</v>
      </c>
      <c r="D487" s="0" t="n">
        <v>0</v>
      </c>
      <c r="E487" s="0" t="n">
        <v>1</v>
      </c>
      <c r="F487" s="0" t="n">
        <v>7</v>
      </c>
      <c r="G487" s="0" t="b">
        <f aca="false">FALSE()</f>
        <v>0</v>
      </c>
      <c r="H487" s="0" t="n">
        <v>6</v>
      </c>
      <c r="I487" s="0" t="n">
        <v>1</v>
      </c>
      <c r="J487" s="0" t="n">
        <v>0.02</v>
      </c>
    </row>
    <row r="488" customFormat="false" ht="15" hidden="false" customHeight="false" outlineLevel="0" collapsed="false">
      <c r="A488" s="0" t="n">
        <v>487</v>
      </c>
      <c r="B488" s="0" t="s">
        <v>98</v>
      </c>
      <c r="C488" s="0" t="n">
        <v>1</v>
      </c>
      <c r="D488" s="0" t="n">
        <v>0</v>
      </c>
      <c r="E488" s="0" t="n">
        <v>1</v>
      </c>
      <c r="F488" s="0" t="n">
        <v>8</v>
      </c>
      <c r="G488" s="0" t="b">
        <f aca="false">FALSE()</f>
        <v>0</v>
      </c>
      <c r="H488" s="0" t="n">
        <v>6</v>
      </c>
      <c r="I488" s="0" t="n">
        <v>1</v>
      </c>
      <c r="J488" s="0" t="n">
        <v>0.02</v>
      </c>
    </row>
    <row r="489" customFormat="false" ht="15" hidden="false" customHeight="false" outlineLevel="0" collapsed="false">
      <c r="A489" s="0" t="n">
        <v>488</v>
      </c>
      <c r="B489" s="0" t="s">
        <v>98</v>
      </c>
      <c r="C489" s="0" t="n">
        <v>1</v>
      </c>
      <c r="D489" s="0" t="n">
        <v>0</v>
      </c>
      <c r="E489" s="0" t="n">
        <v>1</v>
      </c>
      <c r="F489" s="0" t="n">
        <v>9</v>
      </c>
      <c r="G489" s="0" t="b">
        <f aca="false">FALSE()</f>
        <v>0</v>
      </c>
      <c r="H489" s="0" t="n">
        <v>6</v>
      </c>
      <c r="I489" s="0" t="n">
        <v>1</v>
      </c>
      <c r="J489" s="0" t="n">
        <v>0.04</v>
      </c>
    </row>
    <row r="490" customFormat="false" ht="15" hidden="false" customHeight="false" outlineLevel="0" collapsed="false">
      <c r="A490" s="0" t="n">
        <v>489</v>
      </c>
      <c r="B490" s="0" t="s">
        <v>98</v>
      </c>
      <c r="C490" s="0" t="n">
        <v>1</v>
      </c>
      <c r="D490" s="0" t="n">
        <v>0</v>
      </c>
      <c r="E490" s="0" t="n">
        <v>1</v>
      </c>
      <c r="F490" s="0" t="n">
        <v>10</v>
      </c>
      <c r="G490" s="0" t="b">
        <f aca="false">FALSE()</f>
        <v>0</v>
      </c>
      <c r="H490" s="0" t="n">
        <v>6</v>
      </c>
      <c r="I490" s="0" t="n">
        <v>2</v>
      </c>
      <c r="J490" s="0" t="n">
        <v>0.04</v>
      </c>
    </row>
    <row r="491" customFormat="false" ht="15" hidden="false" customHeight="false" outlineLevel="0" collapsed="false">
      <c r="A491" s="0" t="n">
        <v>490</v>
      </c>
      <c r="B491" s="0" t="s">
        <v>98</v>
      </c>
      <c r="C491" s="0" t="n">
        <v>1</v>
      </c>
      <c r="D491" s="0" t="n">
        <v>0</v>
      </c>
      <c r="E491" s="0" t="n">
        <v>1</v>
      </c>
      <c r="F491" s="0" t="n">
        <v>11</v>
      </c>
      <c r="G491" s="0" t="b">
        <f aca="false">FALSE()</f>
        <v>0</v>
      </c>
      <c r="H491" s="0" t="n">
        <v>6</v>
      </c>
      <c r="I491" s="0" t="n">
        <v>2</v>
      </c>
      <c r="J491" s="0" t="n">
        <v>0.06</v>
      </c>
    </row>
    <row r="492" customFormat="false" ht="15" hidden="false" customHeight="false" outlineLevel="0" collapsed="false">
      <c r="A492" s="0" t="n">
        <v>491</v>
      </c>
      <c r="B492" s="0" t="s">
        <v>98</v>
      </c>
      <c r="C492" s="0" t="n">
        <v>1</v>
      </c>
      <c r="D492" s="0" t="n">
        <v>0</v>
      </c>
      <c r="E492" s="0" t="n">
        <v>1</v>
      </c>
      <c r="F492" s="0" t="n">
        <v>12</v>
      </c>
      <c r="G492" s="0" t="b">
        <f aca="false">FALSE()</f>
        <v>0</v>
      </c>
      <c r="H492" s="0" t="n">
        <v>6</v>
      </c>
      <c r="I492" s="0" t="n">
        <v>2</v>
      </c>
      <c r="J492" s="0" t="n">
        <v>0.06</v>
      </c>
    </row>
    <row r="493" customFormat="false" ht="15" hidden="false" customHeight="false" outlineLevel="0" collapsed="false">
      <c r="A493" s="0" t="n">
        <v>492</v>
      </c>
      <c r="B493" s="0" t="s">
        <v>98</v>
      </c>
      <c r="C493" s="0" t="n">
        <v>1</v>
      </c>
      <c r="D493" s="0" t="n">
        <v>0</v>
      </c>
      <c r="E493" s="0" t="n">
        <v>1</v>
      </c>
      <c r="F493" s="0" t="n">
        <v>13</v>
      </c>
      <c r="G493" s="0" t="b">
        <f aca="false">FALSE()</f>
        <v>0</v>
      </c>
      <c r="H493" s="0" t="n">
        <v>6</v>
      </c>
      <c r="I493" s="0" t="n">
        <v>1</v>
      </c>
      <c r="J493" s="0" t="n">
        <v>0.08</v>
      </c>
    </row>
    <row r="494" customFormat="false" ht="15" hidden="false" customHeight="false" outlineLevel="0" collapsed="false">
      <c r="A494" s="0" t="n">
        <v>493</v>
      </c>
      <c r="B494" s="0" t="s">
        <v>98</v>
      </c>
      <c r="C494" s="0" t="n">
        <v>1</v>
      </c>
      <c r="D494" s="0" t="n">
        <v>0</v>
      </c>
      <c r="E494" s="0" t="n">
        <v>1</v>
      </c>
      <c r="F494" s="0" t="n">
        <v>14</v>
      </c>
      <c r="G494" s="0" t="b">
        <f aca="false">FALSE()</f>
        <v>0</v>
      </c>
      <c r="H494" s="0" t="n">
        <v>6</v>
      </c>
      <c r="I494" s="0" t="n">
        <v>1</v>
      </c>
      <c r="J494" s="0" t="n">
        <v>0.1</v>
      </c>
    </row>
    <row r="495" customFormat="false" ht="15" hidden="false" customHeight="false" outlineLevel="0" collapsed="false">
      <c r="A495" s="0" t="n">
        <v>494</v>
      </c>
      <c r="B495" s="0" t="s">
        <v>98</v>
      </c>
      <c r="C495" s="0" t="n">
        <v>1</v>
      </c>
      <c r="D495" s="0" t="n">
        <v>0</v>
      </c>
      <c r="E495" s="0" t="n">
        <v>1</v>
      </c>
      <c r="F495" s="0" t="n">
        <v>15</v>
      </c>
      <c r="G495" s="0" t="b">
        <f aca="false">FALSE()</f>
        <v>0</v>
      </c>
      <c r="H495" s="0" t="n">
        <v>6</v>
      </c>
      <c r="I495" s="0" t="n">
        <v>1</v>
      </c>
      <c r="J495" s="0" t="n">
        <v>0.12</v>
      </c>
    </row>
    <row r="496" customFormat="false" ht="15" hidden="false" customHeight="false" outlineLevel="0" collapsed="false">
      <c r="A496" s="0" t="n">
        <v>495</v>
      </c>
      <c r="B496" s="0" t="s">
        <v>98</v>
      </c>
      <c r="C496" s="0" t="n">
        <v>1</v>
      </c>
      <c r="D496" s="0" t="n">
        <v>0</v>
      </c>
      <c r="E496" s="0" t="n">
        <v>1</v>
      </c>
      <c r="F496" s="0" t="n">
        <v>16</v>
      </c>
      <c r="G496" s="0" t="b">
        <f aca="false">FALSE()</f>
        <v>0</v>
      </c>
      <c r="H496" s="0" t="n">
        <v>6</v>
      </c>
      <c r="I496" s="0" t="n">
        <v>1</v>
      </c>
      <c r="J496" s="0" t="n">
        <v>0.12</v>
      </c>
    </row>
    <row r="497" customFormat="false" ht="15" hidden="false" customHeight="false" outlineLevel="0" collapsed="false">
      <c r="A497" s="0" t="n">
        <v>496</v>
      </c>
      <c r="B497" s="0" t="s">
        <v>98</v>
      </c>
      <c r="C497" s="0" t="n">
        <v>1</v>
      </c>
      <c r="D497" s="0" t="n">
        <v>0</v>
      </c>
      <c r="E497" s="0" t="n">
        <v>1</v>
      </c>
      <c r="F497" s="0" t="n">
        <v>17</v>
      </c>
      <c r="G497" s="0" t="b">
        <f aca="false">FALSE()</f>
        <v>0</v>
      </c>
      <c r="H497" s="0" t="n">
        <v>6</v>
      </c>
      <c r="I497" s="0" t="n">
        <v>1</v>
      </c>
      <c r="J497" s="0" t="n">
        <v>0.12</v>
      </c>
    </row>
    <row r="498" customFormat="false" ht="15" hidden="false" customHeight="false" outlineLevel="0" collapsed="false">
      <c r="A498" s="0" t="n">
        <v>497</v>
      </c>
      <c r="B498" s="0" t="s">
        <v>98</v>
      </c>
      <c r="C498" s="0" t="n">
        <v>1</v>
      </c>
      <c r="D498" s="0" t="n">
        <v>0</v>
      </c>
      <c r="E498" s="0" t="n">
        <v>1</v>
      </c>
      <c r="F498" s="0" t="n">
        <v>18</v>
      </c>
      <c r="G498" s="0" t="b">
        <f aca="false">FALSE()</f>
        <v>0</v>
      </c>
      <c r="H498" s="0" t="n">
        <v>6</v>
      </c>
      <c r="I498" s="0" t="n">
        <v>1</v>
      </c>
      <c r="J498" s="0" t="n">
        <v>0.08</v>
      </c>
    </row>
    <row r="499" customFormat="false" ht="15" hidden="false" customHeight="false" outlineLevel="0" collapsed="false">
      <c r="A499" s="0" t="n">
        <v>498</v>
      </c>
      <c r="B499" s="0" t="s">
        <v>98</v>
      </c>
      <c r="C499" s="0" t="n">
        <v>1</v>
      </c>
      <c r="D499" s="0" t="n">
        <v>0</v>
      </c>
      <c r="E499" s="0" t="n">
        <v>1</v>
      </c>
      <c r="F499" s="0" t="n">
        <v>19</v>
      </c>
      <c r="G499" s="0" t="b">
        <f aca="false">FALSE()</f>
        <v>0</v>
      </c>
      <c r="H499" s="0" t="n">
        <v>6</v>
      </c>
      <c r="I499" s="0" t="n">
        <v>1</v>
      </c>
      <c r="J499" s="0" t="n">
        <v>0.08</v>
      </c>
    </row>
    <row r="500" customFormat="false" ht="15" hidden="false" customHeight="false" outlineLevel="0" collapsed="false">
      <c r="A500" s="0" t="n">
        <v>499</v>
      </c>
      <c r="B500" s="0" t="s">
        <v>98</v>
      </c>
      <c r="C500" s="0" t="n">
        <v>1</v>
      </c>
      <c r="D500" s="0" t="n">
        <v>0</v>
      </c>
      <c r="E500" s="0" t="n">
        <v>1</v>
      </c>
      <c r="F500" s="0" t="n">
        <v>20</v>
      </c>
      <c r="G500" s="0" t="b">
        <f aca="false">FALSE()</f>
        <v>0</v>
      </c>
      <c r="H500" s="0" t="n">
        <v>6</v>
      </c>
      <c r="I500" s="0" t="n">
        <v>1</v>
      </c>
      <c r="J500" s="0" t="n">
        <v>0.06</v>
      </c>
    </row>
    <row r="501" customFormat="false" ht="15" hidden="false" customHeight="false" outlineLevel="0" collapsed="false">
      <c r="A501" s="0" t="n">
        <v>500</v>
      </c>
      <c r="B501" s="0" t="s">
        <v>98</v>
      </c>
      <c r="C501" s="0" t="n">
        <v>1</v>
      </c>
      <c r="D501" s="0" t="n">
        <v>0</v>
      </c>
      <c r="E501" s="0" t="n">
        <v>1</v>
      </c>
      <c r="F501" s="0" t="n">
        <v>21</v>
      </c>
      <c r="G501" s="0" t="b">
        <f aca="false">FALSE()</f>
        <v>0</v>
      </c>
      <c r="H501" s="0" t="n">
        <v>6</v>
      </c>
      <c r="I501" s="0" t="n">
        <v>1</v>
      </c>
      <c r="J501" s="0" t="n">
        <v>0.06</v>
      </c>
    </row>
    <row r="502" customFormat="false" ht="15" hidden="false" customHeight="false" outlineLevel="0" collapsed="false">
      <c r="A502" s="0" t="n">
        <v>501</v>
      </c>
      <c r="B502" s="0" t="s">
        <v>98</v>
      </c>
      <c r="C502" s="0" t="n">
        <v>1</v>
      </c>
      <c r="D502" s="0" t="n">
        <v>0</v>
      </c>
      <c r="E502" s="0" t="n">
        <v>1</v>
      </c>
      <c r="F502" s="0" t="n">
        <v>22</v>
      </c>
      <c r="G502" s="0" t="b">
        <f aca="false">FALSE()</f>
        <v>0</v>
      </c>
      <c r="H502" s="0" t="n">
        <v>6</v>
      </c>
      <c r="I502" s="0" t="n">
        <v>1</v>
      </c>
      <c r="J502" s="0" t="n">
        <v>0.06</v>
      </c>
    </row>
    <row r="503" customFormat="false" ht="15" hidden="false" customHeight="false" outlineLevel="0" collapsed="false">
      <c r="A503" s="0" t="n">
        <v>502</v>
      </c>
      <c r="B503" s="0" t="s">
        <v>98</v>
      </c>
      <c r="C503" s="0" t="n">
        <v>1</v>
      </c>
      <c r="D503" s="0" t="n">
        <v>0</v>
      </c>
      <c r="E503" s="0" t="n">
        <v>1</v>
      </c>
      <c r="F503" s="0" t="n">
        <v>23</v>
      </c>
      <c r="G503" s="0" t="b">
        <f aca="false">FALSE()</f>
        <v>0</v>
      </c>
      <c r="H503" s="0" t="n">
        <v>6</v>
      </c>
      <c r="I503" s="0" t="n">
        <v>1</v>
      </c>
      <c r="J503" s="0" t="n">
        <v>0.04</v>
      </c>
    </row>
    <row r="504" customFormat="false" ht="15" hidden="false" customHeight="false" outlineLevel="0" collapsed="false">
      <c r="A504" s="0" t="n">
        <v>503</v>
      </c>
      <c r="B504" s="0" t="s">
        <v>99</v>
      </c>
      <c r="C504" s="0" t="n">
        <v>1</v>
      </c>
      <c r="D504" s="0" t="n">
        <v>0</v>
      </c>
      <c r="E504" s="0" t="n">
        <v>1</v>
      </c>
      <c r="F504" s="0" t="n">
        <v>0</v>
      </c>
      <c r="G504" s="0" t="b">
        <f aca="false">FALSE()</f>
        <v>0</v>
      </c>
      <c r="H504" s="0" t="n">
        <v>0</v>
      </c>
      <c r="I504" s="0" t="n">
        <v>1</v>
      </c>
      <c r="J504" s="0" t="n">
        <v>0.04</v>
      </c>
    </row>
    <row r="505" customFormat="false" ht="15" hidden="false" customHeight="false" outlineLevel="0" collapsed="false">
      <c r="A505" s="0" t="n">
        <v>504</v>
      </c>
      <c r="B505" s="0" t="s">
        <v>99</v>
      </c>
      <c r="C505" s="0" t="n">
        <v>1</v>
      </c>
      <c r="D505" s="0" t="n">
        <v>0</v>
      </c>
      <c r="E505" s="0" t="n">
        <v>1</v>
      </c>
      <c r="F505" s="0" t="n">
        <v>1</v>
      </c>
      <c r="G505" s="0" t="b">
        <f aca="false">FALSE()</f>
        <v>0</v>
      </c>
      <c r="H505" s="0" t="n">
        <v>0</v>
      </c>
      <c r="I505" s="0" t="n">
        <v>1</v>
      </c>
      <c r="J505" s="0" t="n">
        <v>0.04</v>
      </c>
    </row>
    <row r="506" customFormat="false" ht="15" hidden="false" customHeight="false" outlineLevel="0" collapsed="false">
      <c r="A506" s="0" t="n">
        <v>505</v>
      </c>
      <c r="B506" s="0" t="s">
        <v>99</v>
      </c>
      <c r="C506" s="0" t="n">
        <v>1</v>
      </c>
      <c r="D506" s="0" t="n">
        <v>0</v>
      </c>
      <c r="E506" s="0" t="n">
        <v>1</v>
      </c>
      <c r="F506" s="0" t="n">
        <v>2</v>
      </c>
      <c r="G506" s="0" t="b">
        <f aca="false">FALSE()</f>
        <v>0</v>
      </c>
      <c r="H506" s="0" t="n">
        <v>0</v>
      </c>
      <c r="I506" s="0" t="n">
        <v>1</v>
      </c>
      <c r="J506" s="0" t="n">
        <v>0.02</v>
      </c>
    </row>
    <row r="507" customFormat="false" ht="15" hidden="false" customHeight="false" outlineLevel="0" collapsed="false">
      <c r="A507" s="0" t="n">
        <v>506</v>
      </c>
      <c r="B507" s="0" t="s">
        <v>99</v>
      </c>
      <c r="C507" s="0" t="n">
        <v>1</v>
      </c>
      <c r="D507" s="0" t="n">
        <v>0</v>
      </c>
      <c r="E507" s="0" t="n">
        <v>1</v>
      </c>
      <c r="F507" s="0" t="n">
        <v>3</v>
      </c>
      <c r="G507" s="0" t="b">
        <f aca="false">FALSE()</f>
        <v>0</v>
      </c>
      <c r="H507" s="0" t="n">
        <v>0</v>
      </c>
      <c r="I507" s="0" t="n">
        <v>1</v>
      </c>
      <c r="J507" s="0" t="n">
        <v>0.02</v>
      </c>
    </row>
    <row r="508" customFormat="false" ht="15" hidden="false" customHeight="false" outlineLevel="0" collapsed="false">
      <c r="A508" s="0" t="n">
        <v>507</v>
      </c>
      <c r="B508" s="0" t="s">
        <v>99</v>
      </c>
      <c r="C508" s="0" t="n">
        <v>1</v>
      </c>
      <c r="D508" s="0" t="n">
        <v>0</v>
      </c>
      <c r="E508" s="0" t="n">
        <v>1</v>
      </c>
      <c r="F508" s="0" t="n">
        <v>5</v>
      </c>
      <c r="G508" s="0" t="b">
        <f aca="false">FALSE()</f>
        <v>0</v>
      </c>
      <c r="H508" s="0" t="n">
        <v>0</v>
      </c>
      <c r="I508" s="0" t="n">
        <v>2</v>
      </c>
      <c r="J508" s="0" t="n">
        <v>0.04</v>
      </c>
    </row>
    <row r="509" customFormat="false" ht="15" hidden="false" customHeight="false" outlineLevel="0" collapsed="false">
      <c r="A509" s="0" t="n">
        <v>508</v>
      </c>
      <c r="B509" s="0" t="s">
        <v>99</v>
      </c>
      <c r="C509" s="0" t="n">
        <v>1</v>
      </c>
      <c r="D509" s="0" t="n">
        <v>0</v>
      </c>
      <c r="E509" s="0" t="n">
        <v>1</v>
      </c>
      <c r="F509" s="0" t="n">
        <v>6</v>
      </c>
      <c r="G509" s="0" t="b">
        <f aca="false">FALSE()</f>
        <v>0</v>
      </c>
      <c r="H509" s="0" t="n">
        <v>0</v>
      </c>
      <c r="I509" s="0" t="n">
        <v>2</v>
      </c>
      <c r="J509" s="0" t="n">
        <v>0.04</v>
      </c>
    </row>
    <row r="510" customFormat="false" ht="15" hidden="false" customHeight="false" outlineLevel="0" collapsed="false">
      <c r="A510" s="0" t="n">
        <v>509</v>
      </c>
      <c r="B510" s="0" t="s">
        <v>99</v>
      </c>
      <c r="C510" s="0" t="n">
        <v>1</v>
      </c>
      <c r="D510" s="0" t="n">
        <v>0</v>
      </c>
      <c r="E510" s="0" t="n">
        <v>1</v>
      </c>
      <c r="F510" s="0" t="n">
        <v>7</v>
      </c>
      <c r="G510" s="0" t="b">
        <f aca="false">FALSE()</f>
        <v>0</v>
      </c>
      <c r="H510" s="0" t="n">
        <v>0</v>
      </c>
      <c r="I510" s="0" t="n">
        <v>1</v>
      </c>
      <c r="J510" s="0" t="n">
        <v>0.08</v>
      </c>
    </row>
    <row r="511" customFormat="false" ht="15" hidden="false" customHeight="false" outlineLevel="0" collapsed="false">
      <c r="A511" s="0" t="n">
        <v>510</v>
      </c>
      <c r="B511" s="0" t="s">
        <v>99</v>
      </c>
      <c r="C511" s="0" t="n">
        <v>1</v>
      </c>
      <c r="D511" s="0" t="n">
        <v>0</v>
      </c>
      <c r="E511" s="0" t="n">
        <v>1</v>
      </c>
      <c r="F511" s="0" t="n">
        <v>8</v>
      </c>
      <c r="G511" s="0" t="b">
        <f aca="false">FALSE()</f>
        <v>0</v>
      </c>
      <c r="H511" s="0" t="n">
        <v>0</v>
      </c>
      <c r="I511" s="0" t="n">
        <v>1</v>
      </c>
      <c r="J511" s="0" t="n">
        <v>0.06</v>
      </c>
    </row>
    <row r="512" customFormat="false" ht="15" hidden="false" customHeight="false" outlineLevel="0" collapsed="false">
      <c r="A512" s="0" t="n">
        <v>511</v>
      </c>
      <c r="B512" s="0" t="s">
        <v>99</v>
      </c>
      <c r="C512" s="0" t="n">
        <v>1</v>
      </c>
      <c r="D512" s="0" t="n">
        <v>0</v>
      </c>
      <c r="E512" s="0" t="n">
        <v>1</v>
      </c>
      <c r="F512" s="0" t="n">
        <v>9</v>
      </c>
      <c r="G512" s="0" t="b">
        <f aca="false">FALSE()</f>
        <v>0</v>
      </c>
      <c r="H512" s="0" t="n">
        <v>0</v>
      </c>
      <c r="I512" s="0" t="n">
        <v>1</v>
      </c>
      <c r="J512" s="0" t="n">
        <v>0.1</v>
      </c>
    </row>
    <row r="513" customFormat="false" ht="15" hidden="false" customHeight="false" outlineLevel="0" collapsed="false">
      <c r="A513" s="0" t="n">
        <v>512</v>
      </c>
      <c r="B513" s="0" t="s">
        <v>99</v>
      </c>
      <c r="C513" s="0" t="n">
        <v>1</v>
      </c>
      <c r="D513" s="0" t="n">
        <v>0</v>
      </c>
      <c r="E513" s="0" t="n">
        <v>1</v>
      </c>
      <c r="F513" s="0" t="n">
        <v>10</v>
      </c>
      <c r="G513" s="0" t="b">
        <f aca="false">FALSE()</f>
        <v>0</v>
      </c>
      <c r="H513" s="0" t="n">
        <v>0</v>
      </c>
      <c r="I513" s="0" t="n">
        <v>1</v>
      </c>
      <c r="J513" s="0" t="n">
        <v>0.14</v>
      </c>
    </row>
    <row r="514" customFormat="false" ht="15" hidden="false" customHeight="false" outlineLevel="0" collapsed="false">
      <c r="A514" s="0" t="n">
        <v>513</v>
      </c>
      <c r="B514" s="0" t="s">
        <v>99</v>
      </c>
      <c r="C514" s="0" t="n">
        <v>1</v>
      </c>
      <c r="D514" s="0" t="n">
        <v>0</v>
      </c>
      <c r="E514" s="0" t="n">
        <v>1</v>
      </c>
      <c r="F514" s="0" t="n">
        <v>11</v>
      </c>
      <c r="G514" s="0" t="b">
        <f aca="false">FALSE()</f>
        <v>0</v>
      </c>
      <c r="H514" s="0" t="n">
        <v>0</v>
      </c>
      <c r="I514" s="0" t="n">
        <v>1</v>
      </c>
      <c r="J514" s="0" t="n">
        <v>0.14</v>
      </c>
    </row>
    <row r="515" customFormat="false" ht="15" hidden="false" customHeight="false" outlineLevel="0" collapsed="false">
      <c r="A515" s="0" t="n">
        <v>514</v>
      </c>
      <c r="B515" s="0" t="s">
        <v>99</v>
      </c>
      <c r="C515" s="0" t="n">
        <v>1</v>
      </c>
      <c r="D515" s="0" t="n">
        <v>0</v>
      </c>
      <c r="E515" s="0" t="n">
        <v>1</v>
      </c>
      <c r="F515" s="0" t="n">
        <v>12</v>
      </c>
      <c r="G515" s="0" t="b">
        <f aca="false">FALSE()</f>
        <v>0</v>
      </c>
      <c r="H515" s="0" t="n">
        <v>0</v>
      </c>
      <c r="I515" s="0" t="n">
        <v>1</v>
      </c>
      <c r="J515" s="0" t="n">
        <v>0.16</v>
      </c>
    </row>
    <row r="516" customFormat="false" ht="15" hidden="false" customHeight="false" outlineLevel="0" collapsed="false">
      <c r="A516" s="0" t="n">
        <v>515</v>
      </c>
      <c r="B516" s="0" t="s">
        <v>99</v>
      </c>
      <c r="C516" s="0" t="n">
        <v>1</v>
      </c>
      <c r="D516" s="0" t="n">
        <v>0</v>
      </c>
      <c r="E516" s="0" t="n">
        <v>1</v>
      </c>
      <c r="F516" s="0" t="n">
        <v>13</v>
      </c>
      <c r="G516" s="0" t="b">
        <f aca="false">FALSE()</f>
        <v>0</v>
      </c>
      <c r="H516" s="0" t="n">
        <v>0</v>
      </c>
      <c r="I516" s="0" t="n">
        <v>1</v>
      </c>
      <c r="J516" s="0" t="n">
        <v>0.14</v>
      </c>
    </row>
    <row r="517" customFormat="false" ht="15" hidden="false" customHeight="false" outlineLevel="0" collapsed="false">
      <c r="A517" s="0" t="n">
        <v>516</v>
      </c>
      <c r="B517" s="0" t="s">
        <v>99</v>
      </c>
      <c r="C517" s="0" t="n">
        <v>1</v>
      </c>
      <c r="D517" s="0" t="n">
        <v>0</v>
      </c>
      <c r="E517" s="0" t="n">
        <v>1</v>
      </c>
      <c r="F517" s="0" t="n">
        <v>14</v>
      </c>
      <c r="G517" s="0" t="b">
        <f aca="false">FALSE()</f>
        <v>0</v>
      </c>
      <c r="H517" s="0" t="n">
        <v>0</v>
      </c>
      <c r="I517" s="0" t="n">
        <v>1</v>
      </c>
      <c r="J517" s="0" t="n">
        <v>0.16</v>
      </c>
    </row>
    <row r="518" customFormat="false" ht="15" hidden="false" customHeight="false" outlineLevel="0" collapsed="false">
      <c r="A518" s="0" t="n">
        <v>517</v>
      </c>
      <c r="B518" s="0" t="s">
        <v>99</v>
      </c>
      <c r="C518" s="0" t="n">
        <v>1</v>
      </c>
      <c r="D518" s="0" t="n">
        <v>0</v>
      </c>
      <c r="E518" s="0" t="n">
        <v>1</v>
      </c>
      <c r="F518" s="0" t="n">
        <v>15</v>
      </c>
      <c r="G518" s="0" t="b">
        <f aca="false">FALSE()</f>
        <v>0</v>
      </c>
      <c r="H518" s="0" t="n">
        <v>0</v>
      </c>
      <c r="I518" s="0" t="n">
        <v>1</v>
      </c>
      <c r="J518" s="0" t="n">
        <v>0.16</v>
      </c>
    </row>
    <row r="519" customFormat="false" ht="15" hidden="false" customHeight="false" outlineLevel="0" collapsed="false">
      <c r="A519" s="0" t="n">
        <v>518</v>
      </c>
      <c r="B519" s="0" t="s">
        <v>99</v>
      </c>
      <c r="C519" s="0" t="n">
        <v>1</v>
      </c>
      <c r="D519" s="0" t="n">
        <v>0</v>
      </c>
      <c r="E519" s="0" t="n">
        <v>1</v>
      </c>
      <c r="F519" s="0" t="n">
        <v>16</v>
      </c>
      <c r="G519" s="0" t="b">
        <f aca="false">FALSE()</f>
        <v>0</v>
      </c>
      <c r="H519" s="0" t="n">
        <v>0</v>
      </c>
      <c r="I519" s="0" t="n">
        <v>1</v>
      </c>
      <c r="J519" s="0" t="n">
        <v>0.16</v>
      </c>
    </row>
    <row r="520" customFormat="false" ht="15" hidden="false" customHeight="false" outlineLevel="0" collapsed="false">
      <c r="A520" s="0" t="n">
        <v>519</v>
      </c>
      <c r="B520" s="0" t="s">
        <v>99</v>
      </c>
      <c r="C520" s="0" t="n">
        <v>1</v>
      </c>
      <c r="D520" s="0" t="n">
        <v>0</v>
      </c>
      <c r="E520" s="0" t="n">
        <v>1</v>
      </c>
      <c r="F520" s="0" t="n">
        <v>17</v>
      </c>
      <c r="G520" s="0" t="b">
        <f aca="false">FALSE()</f>
        <v>0</v>
      </c>
      <c r="H520" s="0" t="n">
        <v>0</v>
      </c>
      <c r="I520" s="0" t="n">
        <v>1</v>
      </c>
      <c r="J520" s="0" t="n">
        <v>0.14</v>
      </c>
    </row>
    <row r="521" customFormat="false" ht="15" hidden="false" customHeight="false" outlineLevel="0" collapsed="false">
      <c r="A521" s="0" t="n">
        <v>520</v>
      </c>
      <c r="B521" s="0" t="s">
        <v>99</v>
      </c>
      <c r="C521" s="0" t="n">
        <v>1</v>
      </c>
      <c r="D521" s="0" t="n">
        <v>0</v>
      </c>
      <c r="E521" s="0" t="n">
        <v>1</v>
      </c>
      <c r="F521" s="0" t="n">
        <v>18</v>
      </c>
      <c r="G521" s="0" t="b">
        <f aca="false">FALSE()</f>
        <v>0</v>
      </c>
      <c r="H521" s="0" t="n">
        <v>0</v>
      </c>
      <c r="I521" s="0" t="n">
        <v>1</v>
      </c>
      <c r="J521" s="0" t="n">
        <v>0.12</v>
      </c>
    </row>
    <row r="522" customFormat="false" ht="15" hidden="false" customHeight="false" outlineLevel="0" collapsed="false">
      <c r="A522" s="0" t="n">
        <v>521</v>
      </c>
      <c r="B522" s="0" t="s">
        <v>99</v>
      </c>
      <c r="C522" s="0" t="n">
        <v>1</v>
      </c>
      <c r="D522" s="0" t="n">
        <v>0</v>
      </c>
      <c r="E522" s="0" t="n">
        <v>1</v>
      </c>
      <c r="F522" s="0" t="n">
        <v>19</v>
      </c>
      <c r="G522" s="0" t="b">
        <f aca="false">FALSE()</f>
        <v>0</v>
      </c>
      <c r="H522" s="0" t="n">
        <v>0</v>
      </c>
      <c r="I522" s="0" t="n">
        <v>1</v>
      </c>
      <c r="J522" s="0" t="n">
        <v>0.12</v>
      </c>
    </row>
    <row r="523" customFormat="false" ht="15" hidden="false" customHeight="false" outlineLevel="0" collapsed="false">
      <c r="A523" s="0" t="n">
        <v>522</v>
      </c>
      <c r="B523" s="0" t="s">
        <v>99</v>
      </c>
      <c r="C523" s="0" t="n">
        <v>1</v>
      </c>
      <c r="D523" s="0" t="n">
        <v>0</v>
      </c>
      <c r="E523" s="0" t="n">
        <v>1</v>
      </c>
      <c r="F523" s="0" t="n">
        <v>20</v>
      </c>
      <c r="G523" s="0" t="b">
        <f aca="false">FALSE()</f>
        <v>0</v>
      </c>
      <c r="H523" s="0" t="n">
        <v>0</v>
      </c>
      <c r="I523" s="0" t="n">
        <v>1</v>
      </c>
      <c r="J523" s="0" t="n">
        <v>0.1</v>
      </c>
    </row>
    <row r="524" customFormat="false" ht="15" hidden="false" customHeight="false" outlineLevel="0" collapsed="false">
      <c r="A524" s="0" t="n">
        <v>523</v>
      </c>
      <c r="B524" s="0" t="s">
        <v>99</v>
      </c>
      <c r="C524" s="0" t="n">
        <v>1</v>
      </c>
      <c r="D524" s="0" t="n">
        <v>0</v>
      </c>
      <c r="E524" s="0" t="n">
        <v>1</v>
      </c>
      <c r="F524" s="0" t="n">
        <v>21</v>
      </c>
      <c r="G524" s="0" t="b">
        <f aca="false">FALSE()</f>
        <v>0</v>
      </c>
      <c r="H524" s="0" t="n">
        <v>0</v>
      </c>
      <c r="I524" s="0" t="n">
        <v>1</v>
      </c>
      <c r="J524" s="0" t="n">
        <v>0.1</v>
      </c>
    </row>
    <row r="525" customFormat="false" ht="15" hidden="false" customHeight="false" outlineLevel="0" collapsed="false">
      <c r="A525" s="0" t="n">
        <v>524</v>
      </c>
      <c r="B525" s="0" t="s">
        <v>99</v>
      </c>
      <c r="C525" s="0" t="n">
        <v>1</v>
      </c>
      <c r="D525" s="0" t="n">
        <v>0</v>
      </c>
      <c r="E525" s="0" t="n">
        <v>1</v>
      </c>
      <c r="F525" s="0" t="n">
        <v>22</v>
      </c>
      <c r="G525" s="0" t="b">
        <f aca="false">FALSE()</f>
        <v>0</v>
      </c>
      <c r="H525" s="0" t="n">
        <v>0</v>
      </c>
      <c r="I525" s="0" t="n">
        <v>1</v>
      </c>
      <c r="J525" s="0" t="n">
        <v>0.08</v>
      </c>
    </row>
    <row r="526" customFormat="false" ht="15" hidden="false" customHeight="false" outlineLevel="0" collapsed="false">
      <c r="A526" s="0" t="n">
        <v>525</v>
      </c>
      <c r="B526" s="0" t="s">
        <v>99</v>
      </c>
      <c r="C526" s="0" t="n">
        <v>1</v>
      </c>
      <c r="D526" s="0" t="n">
        <v>0</v>
      </c>
      <c r="E526" s="0" t="n">
        <v>1</v>
      </c>
      <c r="F526" s="0" t="n">
        <v>23</v>
      </c>
      <c r="G526" s="0" t="b">
        <f aca="false">FALSE()</f>
        <v>0</v>
      </c>
      <c r="H526" s="0" t="n">
        <v>0</v>
      </c>
      <c r="I526" s="0" t="n">
        <v>1</v>
      </c>
      <c r="J526" s="0" t="n">
        <v>0.06</v>
      </c>
    </row>
    <row r="527" customFormat="false" ht="15" hidden="false" customHeight="false" outlineLevel="0" collapsed="false">
      <c r="A527" s="0" t="n">
        <v>526</v>
      </c>
      <c r="B527" s="0" t="s">
        <v>100</v>
      </c>
      <c r="C527" s="0" t="n">
        <v>1</v>
      </c>
      <c r="D527" s="0" t="n">
        <v>0</v>
      </c>
      <c r="E527" s="0" t="n">
        <v>1</v>
      </c>
      <c r="F527" s="0" t="n">
        <v>0</v>
      </c>
      <c r="G527" s="0" t="b">
        <f aca="false">FALSE()</f>
        <v>0</v>
      </c>
      <c r="H527" s="0" t="n">
        <v>1</v>
      </c>
      <c r="I527" s="0" t="n">
        <v>1</v>
      </c>
      <c r="J527" s="0" t="n">
        <v>0.06</v>
      </c>
    </row>
    <row r="528" customFormat="false" ht="15" hidden="false" customHeight="false" outlineLevel="0" collapsed="false">
      <c r="A528" s="0" t="n">
        <v>527</v>
      </c>
      <c r="B528" s="0" t="s">
        <v>100</v>
      </c>
      <c r="C528" s="0" t="n">
        <v>1</v>
      </c>
      <c r="D528" s="0" t="n">
        <v>0</v>
      </c>
      <c r="E528" s="0" t="n">
        <v>1</v>
      </c>
      <c r="F528" s="0" t="n">
        <v>1</v>
      </c>
      <c r="G528" s="0" t="b">
        <f aca="false">FALSE()</f>
        <v>0</v>
      </c>
      <c r="H528" s="0" t="n">
        <v>1</v>
      </c>
      <c r="I528" s="0" t="n">
        <v>1</v>
      </c>
      <c r="J528" s="0" t="n">
        <v>0.04</v>
      </c>
    </row>
    <row r="529" customFormat="false" ht="15" hidden="false" customHeight="false" outlineLevel="0" collapsed="false">
      <c r="A529" s="0" t="n">
        <v>528</v>
      </c>
      <c r="B529" s="0" t="s">
        <v>100</v>
      </c>
      <c r="C529" s="0" t="n">
        <v>1</v>
      </c>
      <c r="D529" s="0" t="n">
        <v>0</v>
      </c>
      <c r="E529" s="0" t="n">
        <v>1</v>
      </c>
      <c r="F529" s="0" t="n">
        <v>3</v>
      </c>
      <c r="G529" s="0" t="b">
        <f aca="false">FALSE()</f>
        <v>0</v>
      </c>
      <c r="H529" s="0" t="n">
        <v>1</v>
      </c>
      <c r="I529" s="0" t="n">
        <v>1</v>
      </c>
      <c r="J529" s="0" t="n">
        <v>0.04</v>
      </c>
    </row>
    <row r="530" customFormat="false" ht="15" hidden="false" customHeight="false" outlineLevel="0" collapsed="false">
      <c r="A530" s="0" t="n">
        <v>529</v>
      </c>
      <c r="B530" s="0" t="s">
        <v>100</v>
      </c>
      <c r="C530" s="0" t="n">
        <v>1</v>
      </c>
      <c r="D530" s="0" t="n">
        <v>0</v>
      </c>
      <c r="E530" s="0" t="n">
        <v>1</v>
      </c>
      <c r="F530" s="0" t="n">
        <v>4</v>
      </c>
      <c r="G530" s="0" t="b">
        <f aca="false">FALSE()</f>
        <v>0</v>
      </c>
      <c r="H530" s="0" t="n">
        <v>1</v>
      </c>
      <c r="I530" s="0" t="n">
        <v>1</v>
      </c>
      <c r="J530" s="0" t="n">
        <v>0.02</v>
      </c>
    </row>
    <row r="531" customFormat="false" ht="15" hidden="false" customHeight="false" outlineLevel="0" collapsed="false">
      <c r="A531" s="0" t="n">
        <v>530</v>
      </c>
      <c r="B531" s="0" t="s">
        <v>100</v>
      </c>
      <c r="C531" s="0" t="n">
        <v>1</v>
      </c>
      <c r="D531" s="0" t="n">
        <v>0</v>
      </c>
      <c r="E531" s="0" t="n">
        <v>1</v>
      </c>
      <c r="F531" s="0" t="n">
        <v>5</v>
      </c>
      <c r="G531" s="0" t="b">
        <f aca="false">FALSE()</f>
        <v>0</v>
      </c>
      <c r="H531" s="0" t="n">
        <v>1</v>
      </c>
      <c r="I531" s="0" t="n">
        <v>1</v>
      </c>
      <c r="J531" s="0" t="n">
        <v>0.02</v>
      </c>
    </row>
    <row r="532" customFormat="false" ht="15" hidden="false" customHeight="false" outlineLevel="0" collapsed="false">
      <c r="A532" s="0" t="n">
        <v>531</v>
      </c>
      <c r="B532" s="0" t="s">
        <v>100</v>
      </c>
      <c r="C532" s="0" t="n">
        <v>1</v>
      </c>
      <c r="D532" s="0" t="n">
        <v>0</v>
      </c>
      <c r="E532" s="0" t="n">
        <v>1</v>
      </c>
      <c r="F532" s="0" t="n">
        <v>6</v>
      </c>
      <c r="G532" s="0" t="b">
        <f aca="false">FALSE()</f>
        <v>0</v>
      </c>
      <c r="H532" s="0" t="n">
        <v>1</v>
      </c>
      <c r="I532" s="0" t="n">
        <v>1</v>
      </c>
      <c r="J532" s="0" t="n">
        <v>0.02</v>
      </c>
    </row>
    <row r="533" customFormat="false" ht="15" hidden="false" customHeight="false" outlineLevel="0" collapsed="false">
      <c r="A533" s="0" t="n">
        <v>532</v>
      </c>
      <c r="B533" s="0" t="s">
        <v>100</v>
      </c>
      <c r="C533" s="0" t="n">
        <v>1</v>
      </c>
      <c r="D533" s="0" t="n">
        <v>0</v>
      </c>
      <c r="E533" s="0" t="n">
        <v>1</v>
      </c>
      <c r="F533" s="0" t="n">
        <v>7</v>
      </c>
      <c r="G533" s="0" t="b">
        <f aca="false">FALSE()</f>
        <v>0</v>
      </c>
      <c r="H533" s="0" t="n">
        <v>1</v>
      </c>
      <c r="I533" s="0" t="n">
        <v>1</v>
      </c>
      <c r="J533" s="0" t="n">
        <v>0.02</v>
      </c>
    </row>
    <row r="534" customFormat="false" ht="15" hidden="false" customHeight="false" outlineLevel="0" collapsed="false">
      <c r="A534" s="0" t="n">
        <v>533</v>
      </c>
      <c r="B534" s="0" t="s">
        <v>100</v>
      </c>
      <c r="C534" s="0" t="n">
        <v>1</v>
      </c>
      <c r="D534" s="0" t="n">
        <v>0</v>
      </c>
      <c r="E534" s="0" t="n">
        <v>1</v>
      </c>
      <c r="F534" s="0" t="n">
        <v>8</v>
      </c>
      <c r="G534" s="0" t="b">
        <f aca="false">FALSE()</f>
        <v>0</v>
      </c>
      <c r="H534" s="0" t="n">
        <v>1</v>
      </c>
      <c r="I534" s="0" t="n">
        <v>1</v>
      </c>
      <c r="J534" s="0" t="n">
        <v>0.04</v>
      </c>
    </row>
    <row r="535" customFormat="false" ht="15" hidden="false" customHeight="false" outlineLevel="0" collapsed="false">
      <c r="A535" s="0" t="n">
        <v>534</v>
      </c>
      <c r="B535" s="0" t="s">
        <v>100</v>
      </c>
      <c r="C535" s="0" t="n">
        <v>1</v>
      </c>
      <c r="D535" s="0" t="n">
        <v>0</v>
      </c>
      <c r="E535" s="0" t="n">
        <v>1</v>
      </c>
      <c r="F535" s="0" t="n">
        <v>9</v>
      </c>
      <c r="G535" s="0" t="b">
        <f aca="false">FALSE()</f>
        <v>0</v>
      </c>
      <c r="H535" s="0" t="n">
        <v>1</v>
      </c>
      <c r="I535" s="0" t="n">
        <v>1</v>
      </c>
      <c r="J535" s="0" t="n">
        <v>0.06</v>
      </c>
    </row>
    <row r="536" customFormat="false" ht="15" hidden="false" customHeight="false" outlineLevel="0" collapsed="false">
      <c r="A536" s="0" t="n">
        <v>535</v>
      </c>
      <c r="B536" s="0" t="s">
        <v>100</v>
      </c>
      <c r="C536" s="0" t="n">
        <v>1</v>
      </c>
      <c r="D536" s="0" t="n">
        <v>0</v>
      </c>
      <c r="E536" s="0" t="n">
        <v>1</v>
      </c>
      <c r="F536" s="0" t="n">
        <v>10</v>
      </c>
      <c r="G536" s="0" t="b">
        <f aca="false">FALSE()</f>
        <v>0</v>
      </c>
      <c r="H536" s="0" t="n">
        <v>1</v>
      </c>
      <c r="I536" s="0" t="n">
        <v>1</v>
      </c>
      <c r="J536" s="0" t="n">
        <v>0.1</v>
      </c>
    </row>
    <row r="537" customFormat="false" ht="15" hidden="false" customHeight="false" outlineLevel="0" collapsed="false">
      <c r="A537" s="0" t="n">
        <v>536</v>
      </c>
      <c r="B537" s="0" t="s">
        <v>100</v>
      </c>
      <c r="C537" s="0" t="n">
        <v>1</v>
      </c>
      <c r="D537" s="0" t="n">
        <v>0</v>
      </c>
      <c r="E537" s="0" t="n">
        <v>1</v>
      </c>
      <c r="F537" s="0" t="n">
        <v>11</v>
      </c>
      <c r="G537" s="0" t="b">
        <f aca="false">FALSE()</f>
        <v>0</v>
      </c>
      <c r="H537" s="0" t="n">
        <v>1</v>
      </c>
      <c r="I537" s="0" t="n">
        <v>1</v>
      </c>
      <c r="J537" s="0" t="n">
        <v>0.1</v>
      </c>
    </row>
    <row r="538" customFormat="false" ht="15" hidden="false" customHeight="false" outlineLevel="0" collapsed="false">
      <c r="A538" s="0" t="n">
        <v>537</v>
      </c>
      <c r="B538" s="0" t="s">
        <v>100</v>
      </c>
      <c r="C538" s="0" t="n">
        <v>1</v>
      </c>
      <c r="D538" s="0" t="n">
        <v>0</v>
      </c>
      <c r="E538" s="0" t="n">
        <v>1</v>
      </c>
      <c r="F538" s="0" t="n">
        <v>12</v>
      </c>
      <c r="G538" s="0" t="b">
        <f aca="false">FALSE()</f>
        <v>0</v>
      </c>
      <c r="H538" s="0" t="n">
        <v>1</v>
      </c>
      <c r="I538" s="0" t="n">
        <v>2</v>
      </c>
      <c r="J538" s="0" t="n">
        <v>0.12</v>
      </c>
    </row>
    <row r="539" customFormat="false" ht="15" hidden="false" customHeight="false" outlineLevel="0" collapsed="false">
      <c r="A539" s="0" t="n">
        <v>538</v>
      </c>
      <c r="B539" s="0" t="s">
        <v>100</v>
      </c>
      <c r="C539" s="0" t="n">
        <v>1</v>
      </c>
      <c r="D539" s="0" t="n">
        <v>0</v>
      </c>
      <c r="E539" s="0" t="n">
        <v>1</v>
      </c>
      <c r="F539" s="0" t="n">
        <v>13</v>
      </c>
      <c r="G539" s="0" t="b">
        <f aca="false">FALSE()</f>
        <v>0</v>
      </c>
      <c r="H539" s="0" t="n">
        <v>1</v>
      </c>
      <c r="I539" s="0" t="n">
        <v>2</v>
      </c>
      <c r="J539" s="0" t="n">
        <v>0.14</v>
      </c>
    </row>
    <row r="540" customFormat="false" ht="15" hidden="false" customHeight="false" outlineLevel="0" collapsed="false">
      <c r="A540" s="0" t="n">
        <v>539</v>
      </c>
      <c r="B540" s="0" t="s">
        <v>100</v>
      </c>
      <c r="C540" s="0" t="n">
        <v>1</v>
      </c>
      <c r="D540" s="0" t="n">
        <v>0</v>
      </c>
      <c r="E540" s="0" t="n">
        <v>1</v>
      </c>
      <c r="F540" s="0" t="n">
        <v>14</v>
      </c>
      <c r="G540" s="0" t="b">
        <f aca="false">FALSE()</f>
        <v>0</v>
      </c>
      <c r="H540" s="0" t="n">
        <v>1</v>
      </c>
      <c r="I540" s="0" t="n">
        <v>2</v>
      </c>
      <c r="J540" s="0" t="n">
        <v>0.14</v>
      </c>
    </row>
    <row r="541" customFormat="false" ht="15" hidden="false" customHeight="false" outlineLevel="0" collapsed="false">
      <c r="A541" s="0" t="n">
        <v>540</v>
      </c>
      <c r="B541" s="0" t="s">
        <v>100</v>
      </c>
      <c r="C541" s="0" t="n">
        <v>1</v>
      </c>
      <c r="D541" s="0" t="n">
        <v>0</v>
      </c>
      <c r="E541" s="0" t="n">
        <v>1</v>
      </c>
      <c r="F541" s="0" t="n">
        <v>15</v>
      </c>
      <c r="G541" s="0" t="b">
        <f aca="false">FALSE()</f>
        <v>0</v>
      </c>
      <c r="H541" s="0" t="n">
        <v>1</v>
      </c>
      <c r="I541" s="0" t="n">
        <v>1</v>
      </c>
      <c r="J541" s="0" t="n">
        <v>0.16</v>
      </c>
    </row>
    <row r="542" customFormat="false" ht="15" hidden="false" customHeight="false" outlineLevel="0" collapsed="false">
      <c r="A542" s="0" t="n">
        <v>541</v>
      </c>
      <c r="B542" s="0" t="s">
        <v>100</v>
      </c>
      <c r="C542" s="0" t="n">
        <v>1</v>
      </c>
      <c r="D542" s="0" t="n">
        <v>0</v>
      </c>
      <c r="E542" s="0" t="n">
        <v>1</v>
      </c>
      <c r="F542" s="0" t="n">
        <v>16</v>
      </c>
      <c r="G542" s="0" t="b">
        <f aca="false">FALSE()</f>
        <v>0</v>
      </c>
      <c r="H542" s="0" t="n">
        <v>1</v>
      </c>
      <c r="I542" s="0" t="n">
        <v>1</v>
      </c>
      <c r="J542" s="0" t="n">
        <v>0.16</v>
      </c>
    </row>
    <row r="543" customFormat="false" ht="15" hidden="false" customHeight="false" outlineLevel="0" collapsed="false">
      <c r="A543" s="0" t="n">
        <v>542</v>
      </c>
      <c r="B543" s="0" t="s">
        <v>100</v>
      </c>
      <c r="C543" s="0" t="n">
        <v>1</v>
      </c>
      <c r="D543" s="0" t="n">
        <v>0</v>
      </c>
      <c r="E543" s="0" t="n">
        <v>1</v>
      </c>
      <c r="F543" s="0" t="n">
        <v>17</v>
      </c>
      <c r="G543" s="0" t="b">
        <f aca="false">FALSE()</f>
        <v>0</v>
      </c>
      <c r="H543" s="0" t="n">
        <v>1</v>
      </c>
      <c r="I543" s="0" t="n">
        <v>1</v>
      </c>
      <c r="J543" s="0" t="n">
        <v>0.14</v>
      </c>
    </row>
    <row r="544" customFormat="false" ht="15" hidden="false" customHeight="false" outlineLevel="0" collapsed="false">
      <c r="A544" s="0" t="n">
        <v>543</v>
      </c>
      <c r="B544" s="0" t="s">
        <v>100</v>
      </c>
      <c r="C544" s="0" t="n">
        <v>1</v>
      </c>
      <c r="D544" s="0" t="n">
        <v>0</v>
      </c>
      <c r="E544" s="0" t="n">
        <v>1</v>
      </c>
      <c r="F544" s="0" t="n">
        <v>18</v>
      </c>
      <c r="G544" s="0" t="b">
        <f aca="false">FALSE()</f>
        <v>0</v>
      </c>
      <c r="H544" s="0" t="n">
        <v>1</v>
      </c>
      <c r="I544" s="0" t="n">
        <v>1</v>
      </c>
      <c r="J544" s="0" t="n">
        <v>0.14</v>
      </c>
    </row>
    <row r="545" customFormat="false" ht="15" hidden="false" customHeight="false" outlineLevel="0" collapsed="false">
      <c r="A545" s="0" t="n">
        <v>544</v>
      </c>
      <c r="B545" s="0" t="s">
        <v>100</v>
      </c>
      <c r="C545" s="0" t="n">
        <v>1</v>
      </c>
      <c r="D545" s="0" t="n">
        <v>0</v>
      </c>
      <c r="E545" s="0" t="n">
        <v>1</v>
      </c>
      <c r="F545" s="0" t="n">
        <v>19</v>
      </c>
      <c r="G545" s="0" t="b">
        <f aca="false">FALSE()</f>
        <v>0</v>
      </c>
      <c r="H545" s="0" t="n">
        <v>1</v>
      </c>
      <c r="I545" s="0" t="n">
        <v>1</v>
      </c>
      <c r="J545" s="0" t="n">
        <v>0.14</v>
      </c>
    </row>
    <row r="546" customFormat="false" ht="15" hidden="false" customHeight="false" outlineLevel="0" collapsed="false">
      <c r="A546" s="0" t="n">
        <v>545</v>
      </c>
      <c r="B546" s="0" t="s">
        <v>100</v>
      </c>
      <c r="C546" s="0" t="n">
        <v>1</v>
      </c>
      <c r="D546" s="0" t="n">
        <v>0</v>
      </c>
      <c r="E546" s="0" t="n">
        <v>1</v>
      </c>
      <c r="F546" s="0" t="n">
        <v>20</v>
      </c>
      <c r="G546" s="0" t="b">
        <f aca="false">FALSE()</f>
        <v>0</v>
      </c>
      <c r="H546" s="0" t="n">
        <v>1</v>
      </c>
      <c r="I546" s="0" t="n">
        <v>1</v>
      </c>
      <c r="J546" s="0" t="n">
        <v>0.14</v>
      </c>
    </row>
    <row r="547" customFormat="false" ht="15" hidden="false" customHeight="false" outlineLevel="0" collapsed="false">
      <c r="A547" s="0" t="n">
        <v>546</v>
      </c>
      <c r="B547" s="0" t="s">
        <v>100</v>
      </c>
      <c r="C547" s="0" t="n">
        <v>1</v>
      </c>
      <c r="D547" s="0" t="n">
        <v>0</v>
      </c>
      <c r="E547" s="0" t="n">
        <v>1</v>
      </c>
      <c r="F547" s="0" t="n">
        <v>21</v>
      </c>
      <c r="G547" s="0" t="b">
        <f aca="false">FALSE()</f>
        <v>0</v>
      </c>
      <c r="H547" s="0" t="n">
        <v>1</v>
      </c>
      <c r="I547" s="0" t="n">
        <v>1</v>
      </c>
      <c r="J547" s="0" t="n">
        <v>0.14</v>
      </c>
    </row>
    <row r="548" customFormat="false" ht="15" hidden="false" customHeight="false" outlineLevel="0" collapsed="false">
      <c r="A548" s="0" t="n">
        <v>547</v>
      </c>
      <c r="B548" s="0" t="s">
        <v>100</v>
      </c>
      <c r="C548" s="0" t="n">
        <v>1</v>
      </c>
      <c r="D548" s="0" t="n">
        <v>0</v>
      </c>
      <c r="E548" s="0" t="n">
        <v>1</v>
      </c>
      <c r="F548" s="0" t="n">
        <v>22</v>
      </c>
      <c r="G548" s="0" t="b">
        <f aca="false">FALSE()</f>
        <v>0</v>
      </c>
      <c r="H548" s="0" t="n">
        <v>1</v>
      </c>
      <c r="I548" s="0" t="n">
        <v>2</v>
      </c>
      <c r="J548" s="0" t="n">
        <v>0.14</v>
      </c>
    </row>
    <row r="549" customFormat="false" ht="15" hidden="false" customHeight="false" outlineLevel="0" collapsed="false">
      <c r="A549" s="0" t="n">
        <v>548</v>
      </c>
      <c r="B549" s="0" t="s">
        <v>100</v>
      </c>
      <c r="C549" s="0" t="n">
        <v>1</v>
      </c>
      <c r="D549" s="0" t="n">
        <v>0</v>
      </c>
      <c r="E549" s="0" t="n">
        <v>1</v>
      </c>
      <c r="F549" s="0" t="n">
        <v>23</v>
      </c>
      <c r="G549" s="0" t="b">
        <f aca="false">FALSE()</f>
        <v>0</v>
      </c>
      <c r="H549" s="0" t="n">
        <v>1</v>
      </c>
      <c r="I549" s="0" t="n">
        <v>2</v>
      </c>
      <c r="J549" s="0" t="n">
        <v>0.16</v>
      </c>
    </row>
    <row r="550" customFormat="false" ht="15" hidden="false" customHeight="false" outlineLevel="0" collapsed="false">
      <c r="A550" s="0" t="n">
        <v>549</v>
      </c>
      <c r="B550" s="0" t="s">
        <v>101</v>
      </c>
      <c r="C550" s="0" t="n">
        <v>1</v>
      </c>
      <c r="D550" s="0" t="n">
        <v>0</v>
      </c>
      <c r="E550" s="0" t="n">
        <v>1</v>
      </c>
      <c r="F550" s="0" t="n">
        <v>0</v>
      </c>
      <c r="G550" s="0" t="b">
        <f aca="false">FALSE()</f>
        <v>0</v>
      </c>
      <c r="H550" s="0" t="n">
        <v>2</v>
      </c>
      <c r="I550" s="0" t="n">
        <v>2</v>
      </c>
      <c r="J550" s="0" t="n">
        <v>0.16</v>
      </c>
    </row>
    <row r="551" customFormat="false" ht="15" hidden="false" customHeight="false" outlineLevel="0" collapsed="false">
      <c r="A551" s="0" t="n">
        <v>550</v>
      </c>
      <c r="B551" s="0" t="s">
        <v>101</v>
      </c>
      <c r="C551" s="0" t="n">
        <v>1</v>
      </c>
      <c r="D551" s="0" t="n">
        <v>0</v>
      </c>
      <c r="E551" s="0" t="n">
        <v>1</v>
      </c>
      <c r="F551" s="0" t="n">
        <v>1</v>
      </c>
      <c r="G551" s="0" t="b">
        <f aca="false">FALSE()</f>
        <v>0</v>
      </c>
      <c r="H551" s="0" t="n">
        <v>2</v>
      </c>
      <c r="I551" s="0" t="n">
        <v>2</v>
      </c>
      <c r="J551" s="0" t="n">
        <v>0.16</v>
      </c>
    </row>
    <row r="552" customFormat="false" ht="15" hidden="false" customHeight="false" outlineLevel="0" collapsed="false">
      <c r="A552" s="0" t="n">
        <v>551</v>
      </c>
      <c r="B552" s="0" t="s">
        <v>101</v>
      </c>
      <c r="C552" s="0" t="n">
        <v>1</v>
      </c>
      <c r="D552" s="0" t="n">
        <v>0</v>
      </c>
      <c r="E552" s="0" t="n">
        <v>1</v>
      </c>
      <c r="F552" s="0" t="n">
        <v>2</v>
      </c>
      <c r="G552" s="0" t="b">
        <f aca="false">FALSE()</f>
        <v>0</v>
      </c>
      <c r="H552" s="0" t="n">
        <v>2</v>
      </c>
      <c r="I552" s="0" t="n">
        <v>1</v>
      </c>
      <c r="J552" s="0" t="n">
        <v>0.16</v>
      </c>
    </row>
    <row r="553" customFormat="false" ht="15" hidden="false" customHeight="false" outlineLevel="0" collapsed="false">
      <c r="A553" s="0" t="n">
        <v>552</v>
      </c>
      <c r="B553" s="0" t="s">
        <v>101</v>
      </c>
      <c r="C553" s="0" t="n">
        <v>1</v>
      </c>
      <c r="D553" s="0" t="n">
        <v>0</v>
      </c>
      <c r="E553" s="0" t="n">
        <v>1</v>
      </c>
      <c r="F553" s="0" t="n">
        <v>4</v>
      </c>
      <c r="G553" s="0" t="b">
        <f aca="false">FALSE()</f>
        <v>0</v>
      </c>
      <c r="H553" s="0" t="n">
        <v>2</v>
      </c>
      <c r="I553" s="0" t="n">
        <v>1</v>
      </c>
      <c r="J553" s="0" t="n">
        <v>0.14</v>
      </c>
    </row>
    <row r="554" customFormat="false" ht="15" hidden="false" customHeight="false" outlineLevel="0" collapsed="false">
      <c r="A554" s="0" t="n">
        <v>553</v>
      </c>
      <c r="B554" s="0" t="s">
        <v>101</v>
      </c>
      <c r="C554" s="0" t="n">
        <v>1</v>
      </c>
      <c r="D554" s="0" t="n">
        <v>0</v>
      </c>
      <c r="E554" s="0" t="n">
        <v>1</v>
      </c>
      <c r="F554" s="0" t="n">
        <v>5</v>
      </c>
      <c r="G554" s="0" t="b">
        <f aca="false">FALSE()</f>
        <v>0</v>
      </c>
      <c r="H554" s="0" t="n">
        <v>2</v>
      </c>
      <c r="I554" s="0" t="n">
        <v>1</v>
      </c>
      <c r="J554" s="0" t="n">
        <v>0.14</v>
      </c>
    </row>
    <row r="555" customFormat="false" ht="15" hidden="false" customHeight="false" outlineLevel="0" collapsed="false">
      <c r="A555" s="0" t="n">
        <v>554</v>
      </c>
      <c r="B555" s="0" t="s">
        <v>101</v>
      </c>
      <c r="C555" s="0" t="n">
        <v>1</v>
      </c>
      <c r="D555" s="0" t="n">
        <v>0</v>
      </c>
      <c r="E555" s="0" t="n">
        <v>1</v>
      </c>
      <c r="F555" s="0" t="n">
        <v>6</v>
      </c>
      <c r="G555" s="0" t="b">
        <f aca="false">FALSE()</f>
        <v>0</v>
      </c>
      <c r="H555" s="0" t="n">
        <v>2</v>
      </c>
      <c r="I555" s="0" t="n">
        <v>1</v>
      </c>
      <c r="J555" s="0" t="n">
        <v>0.16</v>
      </c>
    </row>
    <row r="556" customFormat="false" ht="15" hidden="false" customHeight="false" outlineLevel="0" collapsed="false">
      <c r="A556" s="0" t="n">
        <v>555</v>
      </c>
      <c r="B556" s="0" t="s">
        <v>101</v>
      </c>
      <c r="C556" s="0" t="n">
        <v>1</v>
      </c>
      <c r="D556" s="0" t="n">
        <v>0</v>
      </c>
      <c r="E556" s="0" t="n">
        <v>1</v>
      </c>
      <c r="F556" s="0" t="n">
        <v>7</v>
      </c>
      <c r="G556" s="0" t="b">
        <f aca="false">FALSE()</f>
        <v>0</v>
      </c>
      <c r="H556" s="0" t="n">
        <v>2</v>
      </c>
      <c r="I556" s="0" t="n">
        <v>1</v>
      </c>
      <c r="J556" s="0" t="n">
        <v>0.16</v>
      </c>
    </row>
    <row r="557" customFormat="false" ht="15" hidden="false" customHeight="false" outlineLevel="0" collapsed="false">
      <c r="A557" s="0" t="n">
        <v>556</v>
      </c>
      <c r="B557" s="0" t="s">
        <v>101</v>
      </c>
      <c r="C557" s="0" t="n">
        <v>1</v>
      </c>
      <c r="D557" s="0" t="n">
        <v>0</v>
      </c>
      <c r="E557" s="0" t="n">
        <v>1</v>
      </c>
      <c r="F557" s="0" t="n">
        <v>8</v>
      </c>
      <c r="G557" s="0" t="b">
        <f aca="false">FALSE()</f>
        <v>0</v>
      </c>
      <c r="H557" s="0" t="n">
        <v>2</v>
      </c>
      <c r="I557" s="0" t="n">
        <v>2</v>
      </c>
      <c r="J557" s="0" t="n">
        <v>0.16</v>
      </c>
    </row>
    <row r="558" customFormat="false" ht="15" hidden="false" customHeight="false" outlineLevel="0" collapsed="false">
      <c r="A558" s="0" t="n">
        <v>557</v>
      </c>
      <c r="B558" s="0" t="s">
        <v>101</v>
      </c>
      <c r="C558" s="0" t="n">
        <v>1</v>
      </c>
      <c r="D558" s="0" t="n">
        <v>0</v>
      </c>
      <c r="E558" s="0" t="n">
        <v>1</v>
      </c>
      <c r="F558" s="0" t="n">
        <v>9</v>
      </c>
      <c r="G558" s="0" t="b">
        <f aca="false">FALSE()</f>
        <v>0</v>
      </c>
      <c r="H558" s="0" t="n">
        <v>2</v>
      </c>
      <c r="I558" s="0" t="n">
        <v>2</v>
      </c>
      <c r="J558" s="0" t="n">
        <v>0.2</v>
      </c>
    </row>
    <row r="559" customFormat="false" ht="15" hidden="false" customHeight="false" outlineLevel="0" collapsed="false">
      <c r="A559" s="0" t="n">
        <v>558</v>
      </c>
      <c r="B559" s="0" t="s">
        <v>101</v>
      </c>
      <c r="C559" s="0" t="n">
        <v>1</v>
      </c>
      <c r="D559" s="0" t="n">
        <v>0</v>
      </c>
      <c r="E559" s="0" t="n">
        <v>1</v>
      </c>
      <c r="F559" s="0" t="n">
        <v>10</v>
      </c>
      <c r="G559" s="0" t="b">
        <f aca="false">FALSE()</f>
        <v>0</v>
      </c>
      <c r="H559" s="0" t="n">
        <v>2</v>
      </c>
      <c r="I559" s="0" t="n">
        <v>2</v>
      </c>
      <c r="J559" s="0" t="n">
        <v>0.22</v>
      </c>
    </row>
    <row r="560" customFormat="false" ht="15" hidden="false" customHeight="false" outlineLevel="0" collapsed="false">
      <c r="A560" s="0" t="n">
        <v>559</v>
      </c>
      <c r="B560" s="0" t="s">
        <v>101</v>
      </c>
      <c r="C560" s="0" t="n">
        <v>1</v>
      </c>
      <c r="D560" s="0" t="n">
        <v>0</v>
      </c>
      <c r="E560" s="0" t="n">
        <v>1</v>
      </c>
      <c r="F560" s="0" t="n">
        <v>11</v>
      </c>
      <c r="G560" s="0" t="b">
        <f aca="false">FALSE()</f>
        <v>0</v>
      </c>
      <c r="H560" s="0" t="n">
        <v>2</v>
      </c>
      <c r="I560" s="0" t="n">
        <v>2</v>
      </c>
      <c r="J560" s="0" t="n">
        <v>0.24</v>
      </c>
    </row>
    <row r="561" customFormat="false" ht="15" hidden="false" customHeight="false" outlineLevel="0" collapsed="false">
      <c r="A561" s="0" t="n">
        <v>560</v>
      </c>
      <c r="B561" s="0" t="s">
        <v>101</v>
      </c>
      <c r="C561" s="0" t="n">
        <v>1</v>
      </c>
      <c r="D561" s="0" t="n">
        <v>0</v>
      </c>
      <c r="E561" s="0" t="n">
        <v>1</v>
      </c>
      <c r="F561" s="0" t="n">
        <v>12</v>
      </c>
      <c r="G561" s="0" t="b">
        <f aca="false">FALSE()</f>
        <v>0</v>
      </c>
      <c r="H561" s="0" t="n">
        <v>2</v>
      </c>
      <c r="I561" s="0" t="n">
        <v>2</v>
      </c>
      <c r="J561" s="0" t="n">
        <v>0.26</v>
      </c>
    </row>
    <row r="562" customFormat="false" ht="15" hidden="false" customHeight="false" outlineLevel="0" collapsed="false">
      <c r="A562" s="0" t="n">
        <v>561</v>
      </c>
      <c r="B562" s="0" t="s">
        <v>101</v>
      </c>
      <c r="C562" s="0" t="n">
        <v>1</v>
      </c>
      <c r="D562" s="0" t="n">
        <v>0</v>
      </c>
      <c r="E562" s="0" t="n">
        <v>1</v>
      </c>
      <c r="F562" s="0" t="n">
        <v>13</v>
      </c>
      <c r="G562" s="0" t="b">
        <f aca="false">FALSE()</f>
        <v>0</v>
      </c>
      <c r="H562" s="0" t="n">
        <v>2</v>
      </c>
      <c r="I562" s="0" t="n">
        <v>2</v>
      </c>
      <c r="J562" s="0" t="n">
        <v>0.26</v>
      </c>
    </row>
    <row r="563" customFormat="false" ht="15" hidden="false" customHeight="false" outlineLevel="0" collapsed="false">
      <c r="A563" s="0" t="n">
        <v>562</v>
      </c>
      <c r="B563" s="0" t="s">
        <v>101</v>
      </c>
      <c r="C563" s="0" t="n">
        <v>1</v>
      </c>
      <c r="D563" s="0" t="n">
        <v>0</v>
      </c>
      <c r="E563" s="0" t="n">
        <v>1</v>
      </c>
      <c r="F563" s="0" t="n">
        <v>14</v>
      </c>
      <c r="G563" s="0" t="b">
        <f aca="false">FALSE()</f>
        <v>0</v>
      </c>
      <c r="H563" s="0" t="n">
        <v>2</v>
      </c>
      <c r="I563" s="0" t="n">
        <v>2</v>
      </c>
      <c r="J563" s="0" t="n">
        <v>0.3</v>
      </c>
    </row>
    <row r="564" customFormat="false" ht="15" hidden="false" customHeight="false" outlineLevel="0" collapsed="false">
      <c r="A564" s="0" t="n">
        <v>563</v>
      </c>
      <c r="B564" s="0" t="s">
        <v>101</v>
      </c>
      <c r="C564" s="0" t="n">
        <v>1</v>
      </c>
      <c r="D564" s="0" t="n">
        <v>0</v>
      </c>
      <c r="E564" s="0" t="n">
        <v>1</v>
      </c>
      <c r="F564" s="0" t="n">
        <v>15</v>
      </c>
      <c r="G564" s="0" t="b">
        <f aca="false">FALSE()</f>
        <v>0</v>
      </c>
      <c r="H564" s="0" t="n">
        <v>2</v>
      </c>
      <c r="I564" s="0" t="n">
        <v>2</v>
      </c>
      <c r="J564" s="0" t="n">
        <v>0.32</v>
      </c>
    </row>
    <row r="565" customFormat="false" ht="15" hidden="false" customHeight="false" outlineLevel="0" collapsed="false">
      <c r="A565" s="0" t="n">
        <v>564</v>
      </c>
      <c r="B565" s="0" t="s">
        <v>101</v>
      </c>
      <c r="C565" s="0" t="n">
        <v>1</v>
      </c>
      <c r="D565" s="0" t="n">
        <v>0</v>
      </c>
      <c r="E565" s="0" t="n">
        <v>1</v>
      </c>
      <c r="F565" s="0" t="n">
        <v>16</v>
      </c>
      <c r="G565" s="0" t="b">
        <f aca="false">FALSE()</f>
        <v>0</v>
      </c>
      <c r="H565" s="0" t="n">
        <v>2</v>
      </c>
      <c r="I565" s="0" t="n">
        <v>2</v>
      </c>
      <c r="J565" s="0" t="n">
        <v>0.32</v>
      </c>
    </row>
    <row r="566" customFormat="false" ht="15" hidden="false" customHeight="false" outlineLevel="0" collapsed="false">
      <c r="A566" s="0" t="n">
        <v>565</v>
      </c>
      <c r="B566" s="0" t="s">
        <v>101</v>
      </c>
      <c r="C566" s="0" t="n">
        <v>1</v>
      </c>
      <c r="D566" s="0" t="n">
        <v>0</v>
      </c>
      <c r="E566" s="0" t="n">
        <v>1</v>
      </c>
      <c r="F566" s="0" t="n">
        <v>17</v>
      </c>
      <c r="G566" s="0" t="b">
        <f aca="false">FALSE()</f>
        <v>0</v>
      </c>
      <c r="H566" s="0" t="n">
        <v>2</v>
      </c>
      <c r="I566" s="0" t="n">
        <v>1</v>
      </c>
      <c r="J566" s="0" t="n">
        <v>0.3</v>
      </c>
    </row>
    <row r="567" customFormat="false" ht="15" hidden="false" customHeight="false" outlineLevel="0" collapsed="false">
      <c r="A567" s="0" t="n">
        <v>566</v>
      </c>
      <c r="B567" s="0" t="s">
        <v>101</v>
      </c>
      <c r="C567" s="0" t="n">
        <v>1</v>
      </c>
      <c r="D567" s="0" t="n">
        <v>0</v>
      </c>
      <c r="E567" s="0" t="n">
        <v>1</v>
      </c>
      <c r="F567" s="0" t="n">
        <v>18</v>
      </c>
      <c r="G567" s="0" t="b">
        <f aca="false">FALSE()</f>
        <v>0</v>
      </c>
      <c r="H567" s="0" t="n">
        <v>2</v>
      </c>
      <c r="I567" s="0" t="n">
        <v>2</v>
      </c>
      <c r="J567" s="0" t="n">
        <v>0.3</v>
      </c>
    </row>
    <row r="568" customFormat="false" ht="15" hidden="false" customHeight="false" outlineLevel="0" collapsed="false">
      <c r="A568" s="0" t="n">
        <v>567</v>
      </c>
      <c r="B568" s="0" t="s">
        <v>101</v>
      </c>
      <c r="C568" s="0" t="n">
        <v>1</v>
      </c>
      <c r="D568" s="0" t="n">
        <v>0</v>
      </c>
      <c r="E568" s="0" t="n">
        <v>1</v>
      </c>
      <c r="F568" s="0" t="n">
        <v>19</v>
      </c>
      <c r="G568" s="0" t="b">
        <f aca="false">FALSE()</f>
        <v>0</v>
      </c>
      <c r="H568" s="0" t="n">
        <v>2</v>
      </c>
      <c r="I568" s="0" t="n">
        <v>2</v>
      </c>
      <c r="J568" s="0" t="n">
        <v>0.26</v>
      </c>
    </row>
    <row r="569" customFormat="false" ht="15" hidden="false" customHeight="false" outlineLevel="0" collapsed="false">
      <c r="A569" s="0" t="n">
        <v>568</v>
      </c>
      <c r="B569" s="0" t="s">
        <v>101</v>
      </c>
      <c r="C569" s="0" t="n">
        <v>1</v>
      </c>
      <c r="D569" s="0" t="n">
        <v>0</v>
      </c>
      <c r="E569" s="0" t="n">
        <v>1</v>
      </c>
      <c r="F569" s="0" t="n">
        <v>20</v>
      </c>
      <c r="G569" s="0" t="b">
        <f aca="false">FALSE()</f>
        <v>0</v>
      </c>
      <c r="H569" s="0" t="n">
        <v>2</v>
      </c>
      <c r="I569" s="0" t="n">
        <v>1</v>
      </c>
      <c r="J569" s="0" t="n">
        <v>0.24</v>
      </c>
    </row>
    <row r="570" customFormat="false" ht="15" hidden="false" customHeight="false" outlineLevel="0" collapsed="false">
      <c r="A570" s="0" t="n">
        <v>569</v>
      </c>
      <c r="B570" s="0" t="s">
        <v>101</v>
      </c>
      <c r="C570" s="0" t="n">
        <v>1</v>
      </c>
      <c r="D570" s="0" t="n">
        <v>0</v>
      </c>
      <c r="E570" s="0" t="n">
        <v>1</v>
      </c>
      <c r="F570" s="0" t="n">
        <v>21</v>
      </c>
      <c r="G570" s="0" t="b">
        <f aca="false">FALSE()</f>
        <v>0</v>
      </c>
      <c r="H570" s="0" t="n">
        <v>2</v>
      </c>
      <c r="I570" s="0" t="n">
        <v>1</v>
      </c>
      <c r="J570" s="0" t="n">
        <v>0.24</v>
      </c>
    </row>
    <row r="571" customFormat="false" ht="15" hidden="false" customHeight="false" outlineLevel="0" collapsed="false">
      <c r="A571" s="0" t="n">
        <v>570</v>
      </c>
      <c r="B571" s="0" t="s">
        <v>101</v>
      </c>
      <c r="C571" s="0" t="n">
        <v>1</v>
      </c>
      <c r="D571" s="0" t="n">
        <v>0</v>
      </c>
      <c r="E571" s="0" t="n">
        <v>1</v>
      </c>
      <c r="F571" s="0" t="n">
        <v>22</v>
      </c>
      <c r="G571" s="0" t="b">
        <f aca="false">FALSE()</f>
        <v>0</v>
      </c>
      <c r="H571" s="0" t="n">
        <v>2</v>
      </c>
      <c r="I571" s="0" t="n">
        <v>1</v>
      </c>
      <c r="J571" s="0" t="n">
        <v>0.22</v>
      </c>
    </row>
    <row r="572" customFormat="false" ht="15" hidden="false" customHeight="false" outlineLevel="0" collapsed="false">
      <c r="A572" s="0" t="n">
        <v>571</v>
      </c>
      <c r="B572" s="0" t="s">
        <v>101</v>
      </c>
      <c r="C572" s="0" t="n">
        <v>1</v>
      </c>
      <c r="D572" s="0" t="n">
        <v>0</v>
      </c>
      <c r="E572" s="0" t="n">
        <v>1</v>
      </c>
      <c r="F572" s="0" t="n">
        <v>23</v>
      </c>
      <c r="G572" s="0" t="b">
        <f aca="false">FALSE()</f>
        <v>0</v>
      </c>
      <c r="H572" s="0" t="n">
        <v>2</v>
      </c>
      <c r="I572" s="0" t="n">
        <v>2</v>
      </c>
      <c r="J572" s="0" t="n">
        <v>0.22</v>
      </c>
    </row>
    <row r="573" customFormat="false" ht="15" hidden="false" customHeight="false" outlineLevel="0" collapsed="false">
      <c r="A573" s="0" t="n">
        <v>572</v>
      </c>
      <c r="B573" s="0" t="s">
        <v>102</v>
      </c>
      <c r="C573" s="0" t="n">
        <v>1</v>
      </c>
      <c r="D573" s="0" t="n">
        <v>0</v>
      </c>
      <c r="E573" s="0" t="n">
        <v>1</v>
      </c>
      <c r="F573" s="0" t="n">
        <v>0</v>
      </c>
      <c r="G573" s="0" t="b">
        <f aca="false">FALSE()</f>
        <v>0</v>
      </c>
      <c r="H573" s="0" t="n">
        <v>3</v>
      </c>
      <c r="I573" s="0" t="n">
        <v>2</v>
      </c>
      <c r="J573" s="0" t="n">
        <v>0.22</v>
      </c>
    </row>
    <row r="574" customFormat="false" ht="15" hidden="false" customHeight="false" outlineLevel="0" collapsed="false">
      <c r="A574" s="0" t="n">
        <v>573</v>
      </c>
      <c r="B574" s="0" t="s">
        <v>102</v>
      </c>
      <c r="C574" s="0" t="n">
        <v>1</v>
      </c>
      <c r="D574" s="0" t="n">
        <v>0</v>
      </c>
      <c r="E574" s="0" t="n">
        <v>1</v>
      </c>
      <c r="F574" s="0" t="n">
        <v>1</v>
      </c>
      <c r="G574" s="0" t="b">
        <f aca="false">FALSE()</f>
        <v>0</v>
      </c>
      <c r="H574" s="0" t="n">
        <v>3</v>
      </c>
      <c r="I574" s="0" t="n">
        <v>2</v>
      </c>
      <c r="J574" s="0" t="n">
        <v>0.24</v>
      </c>
    </row>
    <row r="575" customFormat="false" ht="15" hidden="false" customHeight="false" outlineLevel="0" collapsed="false">
      <c r="A575" s="0" t="n">
        <v>574</v>
      </c>
      <c r="B575" s="0" t="s">
        <v>102</v>
      </c>
      <c r="C575" s="0" t="n">
        <v>1</v>
      </c>
      <c r="D575" s="0" t="n">
        <v>0</v>
      </c>
      <c r="E575" s="0" t="n">
        <v>1</v>
      </c>
      <c r="F575" s="0" t="n">
        <v>2</v>
      </c>
      <c r="G575" s="0" t="b">
        <f aca="false">FALSE()</f>
        <v>0</v>
      </c>
      <c r="H575" s="0" t="n">
        <v>3</v>
      </c>
      <c r="I575" s="0" t="n">
        <v>3</v>
      </c>
      <c r="J575" s="0" t="n">
        <v>0.22</v>
      </c>
    </row>
    <row r="576" customFormat="false" ht="15" hidden="false" customHeight="false" outlineLevel="0" collapsed="false">
      <c r="A576" s="0" t="n">
        <v>575</v>
      </c>
      <c r="B576" s="0" t="s">
        <v>102</v>
      </c>
      <c r="C576" s="0" t="n">
        <v>1</v>
      </c>
      <c r="D576" s="0" t="n">
        <v>0</v>
      </c>
      <c r="E576" s="0" t="n">
        <v>1</v>
      </c>
      <c r="F576" s="0" t="n">
        <v>5</v>
      </c>
      <c r="G576" s="0" t="b">
        <f aca="false">FALSE()</f>
        <v>0</v>
      </c>
      <c r="H576" s="0" t="n">
        <v>3</v>
      </c>
      <c r="I576" s="0" t="n">
        <v>3</v>
      </c>
      <c r="J576" s="0" t="n">
        <v>0.2</v>
      </c>
    </row>
    <row r="577" customFormat="false" ht="15" hidden="false" customHeight="false" outlineLevel="0" collapsed="false">
      <c r="A577" s="0" t="n">
        <v>576</v>
      </c>
      <c r="B577" s="0" t="s">
        <v>102</v>
      </c>
      <c r="C577" s="0" t="n">
        <v>1</v>
      </c>
      <c r="D577" s="0" t="n">
        <v>0</v>
      </c>
      <c r="E577" s="0" t="n">
        <v>1</v>
      </c>
      <c r="F577" s="0" t="n">
        <v>6</v>
      </c>
      <c r="G577" s="0" t="b">
        <f aca="false">FALSE()</f>
        <v>0</v>
      </c>
      <c r="H577" s="0" t="n">
        <v>3</v>
      </c>
      <c r="I577" s="0" t="n">
        <v>3</v>
      </c>
      <c r="J577" s="0" t="n">
        <v>0.2</v>
      </c>
    </row>
    <row r="578" customFormat="false" ht="15" hidden="false" customHeight="false" outlineLevel="0" collapsed="false">
      <c r="A578" s="0" t="n">
        <v>577</v>
      </c>
      <c r="B578" s="0" t="s">
        <v>102</v>
      </c>
      <c r="C578" s="0" t="n">
        <v>1</v>
      </c>
      <c r="D578" s="0" t="n">
        <v>0</v>
      </c>
      <c r="E578" s="0" t="n">
        <v>1</v>
      </c>
      <c r="F578" s="0" t="n">
        <v>7</v>
      </c>
      <c r="G578" s="0" t="b">
        <f aca="false">FALSE()</f>
        <v>0</v>
      </c>
      <c r="H578" s="0" t="n">
        <v>3</v>
      </c>
      <c r="I578" s="0" t="n">
        <v>3</v>
      </c>
      <c r="J578" s="0" t="n">
        <v>0.22</v>
      </c>
    </row>
    <row r="579" customFormat="false" ht="15" hidden="false" customHeight="false" outlineLevel="0" collapsed="false">
      <c r="A579" s="0" t="n">
        <v>578</v>
      </c>
      <c r="B579" s="0" t="s">
        <v>102</v>
      </c>
      <c r="C579" s="0" t="n">
        <v>1</v>
      </c>
      <c r="D579" s="0" t="n">
        <v>0</v>
      </c>
      <c r="E579" s="0" t="n">
        <v>1</v>
      </c>
      <c r="F579" s="0" t="n">
        <v>8</v>
      </c>
      <c r="G579" s="0" t="b">
        <f aca="false">FALSE()</f>
        <v>0</v>
      </c>
      <c r="H579" s="0" t="n">
        <v>3</v>
      </c>
      <c r="I579" s="0" t="n">
        <v>3</v>
      </c>
      <c r="J579" s="0" t="n">
        <v>0.22</v>
      </c>
    </row>
    <row r="580" customFormat="false" ht="15" hidden="false" customHeight="false" outlineLevel="0" collapsed="false">
      <c r="A580" s="0" t="n">
        <v>579</v>
      </c>
      <c r="B580" s="0" t="s">
        <v>102</v>
      </c>
      <c r="C580" s="0" t="n">
        <v>1</v>
      </c>
      <c r="D580" s="0" t="n">
        <v>0</v>
      </c>
      <c r="E580" s="0" t="n">
        <v>1</v>
      </c>
      <c r="F580" s="0" t="n">
        <v>9</v>
      </c>
      <c r="G580" s="0" t="b">
        <f aca="false">FALSE()</f>
        <v>0</v>
      </c>
      <c r="H580" s="0" t="n">
        <v>3</v>
      </c>
      <c r="I580" s="0" t="n">
        <v>3</v>
      </c>
      <c r="J580" s="0" t="n">
        <v>0.22</v>
      </c>
    </row>
    <row r="581" customFormat="false" ht="15" hidden="false" customHeight="false" outlineLevel="0" collapsed="false">
      <c r="A581" s="0" t="n">
        <v>580</v>
      </c>
      <c r="B581" s="0" t="s">
        <v>102</v>
      </c>
      <c r="C581" s="0" t="n">
        <v>1</v>
      </c>
      <c r="D581" s="0" t="n">
        <v>0</v>
      </c>
      <c r="E581" s="0" t="n">
        <v>1</v>
      </c>
      <c r="F581" s="0" t="n">
        <v>10</v>
      </c>
      <c r="G581" s="0" t="b">
        <f aca="false">FALSE()</f>
        <v>0</v>
      </c>
      <c r="H581" s="0" t="n">
        <v>3</v>
      </c>
      <c r="I581" s="0" t="n">
        <v>3</v>
      </c>
      <c r="J581" s="0" t="n">
        <v>0.22</v>
      </c>
    </row>
    <row r="582" customFormat="false" ht="15" hidden="false" customHeight="false" outlineLevel="0" collapsed="false">
      <c r="A582" s="0" t="n">
        <v>581</v>
      </c>
      <c r="B582" s="0" t="s">
        <v>102</v>
      </c>
      <c r="C582" s="0" t="n">
        <v>1</v>
      </c>
      <c r="D582" s="0" t="n">
        <v>0</v>
      </c>
      <c r="E582" s="0" t="n">
        <v>1</v>
      </c>
      <c r="F582" s="0" t="n">
        <v>11</v>
      </c>
      <c r="G582" s="0" t="b">
        <f aca="false">FALSE()</f>
        <v>0</v>
      </c>
      <c r="H582" s="0" t="n">
        <v>3</v>
      </c>
      <c r="I582" s="0" t="n">
        <v>3</v>
      </c>
      <c r="J582" s="0" t="n">
        <v>0.22</v>
      </c>
    </row>
    <row r="583" customFormat="false" ht="15" hidden="false" customHeight="false" outlineLevel="0" collapsed="false">
      <c r="A583" s="0" t="n">
        <v>582</v>
      </c>
      <c r="B583" s="0" t="s">
        <v>102</v>
      </c>
      <c r="C583" s="0" t="n">
        <v>1</v>
      </c>
      <c r="D583" s="0" t="n">
        <v>0</v>
      </c>
      <c r="E583" s="0" t="n">
        <v>1</v>
      </c>
      <c r="F583" s="0" t="n">
        <v>12</v>
      </c>
      <c r="G583" s="0" t="b">
        <f aca="false">FALSE()</f>
        <v>0</v>
      </c>
      <c r="H583" s="0" t="n">
        <v>3</v>
      </c>
      <c r="I583" s="0" t="n">
        <v>3</v>
      </c>
      <c r="J583" s="0" t="n">
        <v>0.22</v>
      </c>
    </row>
    <row r="584" customFormat="false" ht="15" hidden="false" customHeight="false" outlineLevel="0" collapsed="false">
      <c r="A584" s="0" t="n">
        <v>583</v>
      </c>
      <c r="B584" s="0" t="s">
        <v>102</v>
      </c>
      <c r="C584" s="0" t="n">
        <v>1</v>
      </c>
      <c r="D584" s="0" t="n">
        <v>0</v>
      </c>
      <c r="E584" s="0" t="n">
        <v>1</v>
      </c>
      <c r="F584" s="0" t="n">
        <v>13</v>
      </c>
      <c r="G584" s="0" t="b">
        <f aca="false">FALSE()</f>
        <v>0</v>
      </c>
      <c r="H584" s="0" t="n">
        <v>3</v>
      </c>
      <c r="I584" s="0" t="n">
        <v>3</v>
      </c>
      <c r="J584" s="0" t="n">
        <v>0.22</v>
      </c>
    </row>
    <row r="585" customFormat="false" ht="15" hidden="false" customHeight="false" outlineLevel="0" collapsed="false">
      <c r="A585" s="0" t="n">
        <v>584</v>
      </c>
      <c r="B585" s="0" t="s">
        <v>102</v>
      </c>
      <c r="C585" s="0" t="n">
        <v>1</v>
      </c>
      <c r="D585" s="0" t="n">
        <v>0</v>
      </c>
      <c r="E585" s="0" t="n">
        <v>1</v>
      </c>
      <c r="F585" s="0" t="n">
        <v>14</v>
      </c>
      <c r="G585" s="0" t="b">
        <f aca="false">FALSE()</f>
        <v>0</v>
      </c>
      <c r="H585" s="0" t="n">
        <v>3</v>
      </c>
      <c r="I585" s="0" t="n">
        <v>3</v>
      </c>
      <c r="J585" s="0" t="n">
        <v>0.22</v>
      </c>
    </row>
    <row r="586" customFormat="false" ht="15" hidden="false" customHeight="false" outlineLevel="0" collapsed="false">
      <c r="A586" s="0" t="n">
        <v>585</v>
      </c>
      <c r="B586" s="0" t="s">
        <v>102</v>
      </c>
      <c r="C586" s="0" t="n">
        <v>1</v>
      </c>
      <c r="D586" s="0" t="n">
        <v>0</v>
      </c>
      <c r="E586" s="0" t="n">
        <v>1</v>
      </c>
      <c r="F586" s="0" t="n">
        <v>15</v>
      </c>
      <c r="G586" s="0" t="b">
        <f aca="false">FALSE()</f>
        <v>0</v>
      </c>
      <c r="H586" s="0" t="n">
        <v>3</v>
      </c>
      <c r="I586" s="0" t="n">
        <v>3</v>
      </c>
      <c r="J586" s="0" t="n">
        <v>0.22</v>
      </c>
    </row>
    <row r="587" customFormat="false" ht="15" hidden="false" customHeight="false" outlineLevel="0" collapsed="false">
      <c r="A587" s="0" t="n">
        <v>586</v>
      </c>
      <c r="B587" s="0" t="s">
        <v>102</v>
      </c>
      <c r="C587" s="0" t="n">
        <v>1</v>
      </c>
      <c r="D587" s="0" t="n">
        <v>0</v>
      </c>
      <c r="E587" s="0" t="n">
        <v>1</v>
      </c>
      <c r="F587" s="0" t="n">
        <v>16</v>
      </c>
      <c r="G587" s="0" t="b">
        <f aca="false">FALSE()</f>
        <v>0</v>
      </c>
      <c r="H587" s="0" t="n">
        <v>3</v>
      </c>
      <c r="I587" s="0" t="n">
        <v>4</v>
      </c>
      <c r="J587" s="0" t="n">
        <v>0.22</v>
      </c>
    </row>
    <row r="588" customFormat="false" ht="15" hidden="false" customHeight="false" outlineLevel="0" collapsed="false">
      <c r="A588" s="0" t="n">
        <v>587</v>
      </c>
      <c r="B588" s="0" t="s">
        <v>102</v>
      </c>
      <c r="C588" s="0" t="n">
        <v>1</v>
      </c>
      <c r="D588" s="0" t="n">
        <v>0</v>
      </c>
      <c r="E588" s="0" t="n">
        <v>1</v>
      </c>
      <c r="F588" s="0" t="n">
        <v>17</v>
      </c>
      <c r="G588" s="0" t="b">
        <f aca="false">FALSE()</f>
        <v>0</v>
      </c>
      <c r="H588" s="0" t="n">
        <v>3</v>
      </c>
      <c r="I588" s="0" t="n">
        <v>3</v>
      </c>
      <c r="J588" s="0" t="n">
        <v>0.2</v>
      </c>
    </row>
    <row r="589" customFormat="false" ht="15" hidden="false" customHeight="false" outlineLevel="0" collapsed="false">
      <c r="A589" s="0" t="n">
        <v>588</v>
      </c>
      <c r="B589" s="0" t="s">
        <v>103</v>
      </c>
      <c r="C589" s="0" t="n">
        <v>1</v>
      </c>
      <c r="D589" s="0" t="n">
        <v>0</v>
      </c>
      <c r="E589" s="0" t="n">
        <v>1</v>
      </c>
      <c r="F589" s="0" t="n">
        <v>16</v>
      </c>
      <c r="G589" s="0" t="b">
        <f aca="false">FALSE()</f>
        <v>0</v>
      </c>
      <c r="H589" s="0" t="n">
        <v>4</v>
      </c>
      <c r="I589" s="0" t="n">
        <v>1</v>
      </c>
      <c r="J589" s="0" t="n">
        <v>0.22</v>
      </c>
    </row>
    <row r="590" customFormat="false" ht="15" hidden="false" customHeight="false" outlineLevel="0" collapsed="false">
      <c r="A590" s="0" t="n">
        <v>589</v>
      </c>
      <c r="B590" s="0" t="s">
        <v>103</v>
      </c>
      <c r="C590" s="0" t="n">
        <v>1</v>
      </c>
      <c r="D590" s="0" t="n">
        <v>0</v>
      </c>
      <c r="E590" s="0" t="n">
        <v>1</v>
      </c>
      <c r="F590" s="0" t="n">
        <v>17</v>
      </c>
      <c r="G590" s="0" t="b">
        <f aca="false">FALSE()</f>
        <v>0</v>
      </c>
      <c r="H590" s="0" t="n">
        <v>4</v>
      </c>
      <c r="I590" s="0" t="n">
        <v>1</v>
      </c>
      <c r="J590" s="0" t="n">
        <v>0.22</v>
      </c>
    </row>
    <row r="591" customFormat="false" ht="15" hidden="false" customHeight="false" outlineLevel="0" collapsed="false">
      <c r="A591" s="0" t="n">
        <v>590</v>
      </c>
      <c r="B591" s="0" t="s">
        <v>103</v>
      </c>
      <c r="C591" s="0" t="n">
        <v>1</v>
      </c>
      <c r="D591" s="0" t="n">
        <v>0</v>
      </c>
      <c r="E591" s="0" t="n">
        <v>1</v>
      </c>
      <c r="F591" s="0" t="n">
        <v>18</v>
      </c>
      <c r="G591" s="0" t="b">
        <f aca="false">FALSE()</f>
        <v>0</v>
      </c>
      <c r="H591" s="0" t="n">
        <v>4</v>
      </c>
      <c r="I591" s="0" t="n">
        <v>1</v>
      </c>
      <c r="J591" s="0" t="n">
        <v>0.2</v>
      </c>
    </row>
    <row r="592" customFormat="false" ht="15" hidden="false" customHeight="false" outlineLevel="0" collapsed="false">
      <c r="A592" s="0" t="n">
        <v>591</v>
      </c>
      <c r="B592" s="0" t="s">
        <v>103</v>
      </c>
      <c r="C592" s="0" t="n">
        <v>1</v>
      </c>
      <c r="D592" s="0" t="n">
        <v>0</v>
      </c>
      <c r="E592" s="0" t="n">
        <v>1</v>
      </c>
      <c r="F592" s="0" t="n">
        <v>19</v>
      </c>
      <c r="G592" s="0" t="b">
        <f aca="false">FALSE()</f>
        <v>0</v>
      </c>
      <c r="H592" s="0" t="n">
        <v>4</v>
      </c>
      <c r="I592" s="0" t="n">
        <v>1</v>
      </c>
      <c r="J592" s="0" t="n">
        <v>0.2</v>
      </c>
    </row>
    <row r="593" customFormat="false" ht="15" hidden="false" customHeight="false" outlineLevel="0" collapsed="false">
      <c r="A593" s="0" t="n">
        <v>592</v>
      </c>
      <c r="B593" s="0" t="s">
        <v>103</v>
      </c>
      <c r="C593" s="0" t="n">
        <v>1</v>
      </c>
      <c r="D593" s="0" t="n">
        <v>0</v>
      </c>
      <c r="E593" s="0" t="n">
        <v>1</v>
      </c>
      <c r="F593" s="0" t="n">
        <v>20</v>
      </c>
      <c r="G593" s="0" t="b">
        <f aca="false">FALSE()</f>
        <v>0</v>
      </c>
      <c r="H593" s="0" t="n">
        <v>4</v>
      </c>
      <c r="I593" s="0" t="n">
        <v>1</v>
      </c>
      <c r="J593" s="0" t="n">
        <v>0.18</v>
      </c>
    </row>
    <row r="594" customFormat="false" ht="15" hidden="false" customHeight="false" outlineLevel="0" collapsed="false">
      <c r="A594" s="0" t="n">
        <v>593</v>
      </c>
      <c r="B594" s="0" t="s">
        <v>103</v>
      </c>
      <c r="C594" s="0" t="n">
        <v>1</v>
      </c>
      <c r="D594" s="0" t="n">
        <v>0</v>
      </c>
      <c r="E594" s="0" t="n">
        <v>1</v>
      </c>
      <c r="F594" s="0" t="n">
        <v>21</v>
      </c>
      <c r="G594" s="0" t="b">
        <f aca="false">FALSE()</f>
        <v>0</v>
      </c>
      <c r="H594" s="0" t="n">
        <v>4</v>
      </c>
      <c r="I594" s="0" t="n">
        <v>1</v>
      </c>
      <c r="J594" s="0" t="n">
        <v>0.18</v>
      </c>
    </row>
    <row r="595" customFormat="false" ht="15" hidden="false" customHeight="false" outlineLevel="0" collapsed="false">
      <c r="A595" s="0" t="n">
        <v>594</v>
      </c>
      <c r="B595" s="0" t="s">
        <v>103</v>
      </c>
      <c r="C595" s="0" t="n">
        <v>1</v>
      </c>
      <c r="D595" s="0" t="n">
        <v>0</v>
      </c>
      <c r="E595" s="0" t="n">
        <v>1</v>
      </c>
      <c r="F595" s="0" t="n">
        <v>22</v>
      </c>
      <c r="G595" s="0" t="b">
        <f aca="false">FALSE()</f>
        <v>0</v>
      </c>
      <c r="H595" s="0" t="n">
        <v>4</v>
      </c>
      <c r="I595" s="0" t="n">
        <v>1</v>
      </c>
      <c r="J595" s="0" t="n">
        <v>0.18</v>
      </c>
    </row>
    <row r="596" customFormat="false" ht="15" hidden="false" customHeight="false" outlineLevel="0" collapsed="false">
      <c r="A596" s="0" t="n">
        <v>595</v>
      </c>
      <c r="B596" s="0" t="s">
        <v>103</v>
      </c>
      <c r="C596" s="0" t="n">
        <v>1</v>
      </c>
      <c r="D596" s="0" t="n">
        <v>0</v>
      </c>
      <c r="E596" s="0" t="n">
        <v>1</v>
      </c>
      <c r="F596" s="0" t="n">
        <v>23</v>
      </c>
      <c r="G596" s="0" t="b">
        <f aca="false">FALSE()</f>
        <v>0</v>
      </c>
      <c r="H596" s="0" t="n">
        <v>4</v>
      </c>
      <c r="I596" s="0" t="n">
        <v>1</v>
      </c>
      <c r="J596" s="0" t="n">
        <v>0.18</v>
      </c>
    </row>
    <row r="597" customFormat="false" ht="15" hidden="false" customHeight="false" outlineLevel="0" collapsed="false">
      <c r="A597" s="0" t="n">
        <v>596</v>
      </c>
      <c r="B597" s="0" t="s">
        <v>104</v>
      </c>
      <c r="C597" s="0" t="n">
        <v>1</v>
      </c>
      <c r="D597" s="0" t="n">
        <v>0</v>
      </c>
      <c r="E597" s="0" t="n">
        <v>1</v>
      </c>
      <c r="F597" s="0" t="n">
        <v>0</v>
      </c>
      <c r="G597" s="0" t="b">
        <f aca="false">FALSE()</f>
        <v>0</v>
      </c>
      <c r="H597" s="0" t="n">
        <v>5</v>
      </c>
      <c r="I597" s="0" t="n">
        <v>2</v>
      </c>
      <c r="J597" s="0" t="n">
        <v>0.2</v>
      </c>
    </row>
    <row r="598" customFormat="false" ht="15" hidden="false" customHeight="false" outlineLevel="0" collapsed="false">
      <c r="A598" s="0" t="n">
        <v>597</v>
      </c>
      <c r="B598" s="0" t="s">
        <v>104</v>
      </c>
      <c r="C598" s="0" t="n">
        <v>1</v>
      </c>
      <c r="D598" s="0" t="n">
        <v>0</v>
      </c>
      <c r="E598" s="0" t="n">
        <v>1</v>
      </c>
      <c r="F598" s="0" t="n">
        <v>1</v>
      </c>
      <c r="G598" s="0" t="b">
        <f aca="false">FALSE()</f>
        <v>0</v>
      </c>
      <c r="H598" s="0" t="n">
        <v>5</v>
      </c>
      <c r="I598" s="0" t="n">
        <v>2</v>
      </c>
      <c r="J598" s="0" t="n">
        <v>0.2</v>
      </c>
    </row>
    <row r="599" customFormat="false" ht="15" hidden="false" customHeight="false" outlineLevel="0" collapsed="false">
      <c r="A599" s="0" t="n">
        <v>598</v>
      </c>
      <c r="B599" s="0" t="s">
        <v>104</v>
      </c>
      <c r="C599" s="0" t="n">
        <v>1</v>
      </c>
      <c r="D599" s="0" t="n">
        <v>0</v>
      </c>
      <c r="E599" s="0" t="n">
        <v>1</v>
      </c>
      <c r="F599" s="0" t="n">
        <v>2</v>
      </c>
      <c r="G599" s="0" t="b">
        <f aca="false">FALSE()</f>
        <v>0</v>
      </c>
      <c r="H599" s="0" t="n">
        <v>5</v>
      </c>
      <c r="I599" s="0" t="n">
        <v>2</v>
      </c>
      <c r="J599" s="0" t="n">
        <v>0.2</v>
      </c>
    </row>
    <row r="600" customFormat="false" ht="15" hidden="false" customHeight="false" outlineLevel="0" collapsed="false">
      <c r="A600" s="0" t="n">
        <v>599</v>
      </c>
      <c r="B600" s="0" t="s">
        <v>104</v>
      </c>
      <c r="C600" s="0" t="n">
        <v>1</v>
      </c>
      <c r="D600" s="0" t="n">
        <v>0</v>
      </c>
      <c r="E600" s="0" t="n">
        <v>1</v>
      </c>
      <c r="F600" s="0" t="n">
        <v>3</v>
      </c>
      <c r="G600" s="0" t="b">
        <f aca="false">FALSE()</f>
        <v>0</v>
      </c>
      <c r="H600" s="0" t="n">
        <v>5</v>
      </c>
      <c r="I600" s="0" t="n">
        <v>2</v>
      </c>
      <c r="J600" s="0" t="n">
        <v>0.2</v>
      </c>
    </row>
    <row r="601" customFormat="false" ht="15" hidden="false" customHeight="false" outlineLevel="0" collapsed="false">
      <c r="A601" s="0" t="n">
        <v>600</v>
      </c>
      <c r="B601" s="0" t="s">
        <v>104</v>
      </c>
      <c r="C601" s="0" t="n">
        <v>1</v>
      </c>
      <c r="D601" s="0" t="n">
        <v>0</v>
      </c>
      <c r="E601" s="0" t="n">
        <v>1</v>
      </c>
      <c r="F601" s="0" t="n">
        <v>5</v>
      </c>
      <c r="G601" s="0" t="b">
        <f aca="false">FALSE()</f>
        <v>0</v>
      </c>
      <c r="H601" s="0" t="n">
        <v>5</v>
      </c>
      <c r="I601" s="0" t="n">
        <v>2</v>
      </c>
      <c r="J601" s="0" t="n">
        <v>0.18</v>
      </c>
    </row>
    <row r="602" customFormat="false" ht="15" hidden="false" customHeight="false" outlineLevel="0" collapsed="false">
      <c r="A602" s="0" t="n">
        <v>601</v>
      </c>
      <c r="B602" s="0" t="s">
        <v>104</v>
      </c>
      <c r="C602" s="0" t="n">
        <v>1</v>
      </c>
      <c r="D602" s="0" t="n">
        <v>0</v>
      </c>
      <c r="E602" s="0" t="n">
        <v>1</v>
      </c>
      <c r="F602" s="0" t="n">
        <v>6</v>
      </c>
      <c r="G602" s="0" t="b">
        <f aca="false">FALSE()</f>
        <v>0</v>
      </c>
      <c r="H602" s="0" t="n">
        <v>5</v>
      </c>
      <c r="I602" s="0" t="n">
        <v>2</v>
      </c>
      <c r="J602" s="0" t="n">
        <v>0.18</v>
      </c>
    </row>
    <row r="603" customFormat="false" ht="15" hidden="false" customHeight="false" outlineLevel="0" collapsed="false">
      <c r="A603" s="0" t="n">
        <v>602</v>
      </c>
      <c r="B603" s="0" t="s">
        <v>104</v>
      </c>
      <c r="C603" s="0" t="n">
        <v>1</v>
      </c>
      <c r="D603" s="0" t="n">
        <v>0</v>
      </c>
      <c r="E603" s="0" t="n">
        <v>1</v>
      </c>
      <c r="F603" s="0" t="n">
        <v>7</v>
      </c>
      <c r="G603" s="0" t="b">
        <f aca="false">FALSE()</f>
        <v>0</v>
      </c>
      <c r="H603" s="0" t="n">
        <v>5</v>
      </c>
      <c r="I603" s="0" t="n">
        <v>2</v>
      </c>
      <c r="J603" s="0" t="n">
        <v>0.16</v>
      </c>
    </row>
    <row r="604" customFormat="false" ht="15" hidden="false" customHeight="false" outlineLevel="0" collapsed="false">
      <c r="A604" s="0" t="n">
        <v>603</v>
      </c>
      <c r="B604" s="0" t="s">
        <v>104</v>
      </c>
      <c r="C604" s="0" t="n">
        <v>1</v>
      </c>
      <c r="D604" s="0" t="n">
        <v>0</v>
      </c>
      <c r="E604" s="0" t="n">
        <v>1</v>
      </c>
      <c r="F604" s="0" t="n">
        <v>8</v>
      </c>
      <c r="G604" s="0" t="b">
        <f aca="false">FALSE()</f>
        <v>0</v>
      </c>
      <c r="H604" s="0" t="n">
        <v>5</v>
      </c>
      <c r="I604" s="0" t="n">
        <v>2</v>
      </c>
      <c r="J604" s="0" t="n">
        <v>0.16</v>
      </c>
    </row>
    <row r="605" customFormat="false" ht="15" hidden="false" customHeight="false" outlineLevel="0" collapsed="false">
      <c r="A605" s="0" t="n">
        <v>604</v>
      </c>
      <c r="B605" s="0" t="s">
        <v>104</v>
      </c>
      <c r="C605" s="0" t="n">
        <v>1</v>
      </c>
      <c r="D605" s="0" t="n">
        <v>0</v>
      </c>
      <c r="E605" s="0" t="n">
        <v>1</v>
      </c>
      <c r="F605" s="0" t="n">
        <v>9</v>
      </c>
      <c r="G605" s="0" t="b">
        <f aca="false">FALSE()</f>
        <v>0</v>
      </c>
      <c r="H605" s="0" t="n">
        <v>5</v>
      </c>
      <c r="I605" s="0" t="n">
        <v>3</v>
      </c>
      <c r="J605" s="0" t="n">
        <v>0.18</v>
      </c>
    </row>
    <row r="606" customFormat="false" ht="15" hidden="false" customHeight="false" outlineLevel="0" collapsed="false">
      <c r="A606" s="0" t="n">
        <v>605</v>
      </c>
      <c r="B606" s="0" t="s">
        <v>104</v>
      </c>
      <c r="C606" s="0" t="n">
        <v>1</v>
      </c>
      <c r="D606" s="0" t="n">
        <v>0</v>
      </c>
      <c r="E606" s="0" t="n">
        <v>1</v>
      </c>
      <c r="F606" s="0" t="n">
        <v>10</v>
      </c>
      <c r="G606" s="0" t="b">
        <f aca="false">FALSE()</f>
        <v>0</v>
      </c>
      <c r="H606" s="0" t="n">
        <v>5</v>
      </c>
      <c r="I606" s="0" t="n">
        <v>3</v>
      </c>
      <c r="J606" s="0" t="n">
        <v>0.18</v>
      </c>
    </row>
    <row r="607" customFormat="false" ht="15" hidden="false" customHeight="false" outlineLevel="0" collapsed="false">
      <c r="A607" s="0" t="n">
        <v>606</v>
      </c>
      <c r="B607" s="0" t="s">
        <v>104</v>
      </c>
      <c r="C607" s="0" t="n">
        <v>1</v>
      </c>
      <c r="D607" s="0" t="n">
        <v>0</v>
      </c>
      <c r="E607" s="0" t="n">
        <v>1</v>
      </c>
      <c r="F607" s="0" t="n">
        <v>11</v>
      </c>
      <c r="G607" s="0" t="b">
        <f aca="false">FALSE()</f>
        <v>0</v>
      </c>
      <c r="H607" s="0" t="n">
        <v>5</v>
      </c>
      <c r="I607" s="0" t="n">
        <v>3</v>
      </c>
      <c r="J607" s="0" t="n">
        <v>0.18</v>
      </c>
    </row>
    <row r="608" customFormat="false" ht="15" hidden="false" customHeight="false" outlineLevel="0" collapsed="false">
      <c r="A608" s="0" t="n">
        <v>607</v>
      </c>
      <c r="B608" s="0" t="s">
        <v>104</v>
      </c>
      <c r="C608" s="0" t="n">
        <v>1</v>
      </c>
      <c r="D608" s="0" t="n">
        <v>0</v>
      </c>
      <c r="E608" s="0" t="n">
        <v>1</v>
      </c>
      <c r="F608" s="0" t="n">
        <v>12</v>
      </c>
      <c r="G608" s="0" t="b">
        <f aca="false">FALSE()</f>
        <v>0</v>
      </c>
      <c r="H608" s="0" t="n">
        <v>5</v>
      </c>
      <c r="I608" s="0" t="n">
        <v>3</v>
      </c>
      <c r="J608" s="0" t="n">
        <v>0.18</v>
      </c>
    </row>
    <row r="609" customFormat="false" ht="15" hidden="false" customHeight="false" outlineLevel="0" collapsed="false">
      <c r="A609" s="0" t="n">
        <v>608</v>
      </c>
      <c r="B609" s="0" t="s">
        <v>104</v>
      </c>
      <c r="C609" s="0" t="n">
        <v>1</v>
      </c>
      <c r="D609" s="0" t="n">
        <v>0</v>
      </c>
      <c r="E609" s="0" t="n">
        <v>1</v>
      </c>
      <c r="F609" s="0" t="n">
        <v>13</v>
      </c>
      <c r="G609" s="0" t="b">
        <f aca="false">FALSE()</f>
        <v>0</v>
      </c>
      <c r="H609" s="0" t="n">
        <v>5</v>
      </c>
      <c r="I609" s="0" t="n">
        <v>3</v>
      </c>
      <c r="J609" s="0" t="n">
        <v>0.18</v>
      </c>
    </row>
    <row r="610" customFormat="false" ht="15" hidden="false" customHeight="false" outlineLevel="0" collapsed="false">
      <c r="A610" s="0" t="n">
        <v>609</v>
      </c>
      <c r="B610" s="0" t="s">
        <v>104</v>
      </c>
      <c r="C610" s="0" t="n">
        <v>1</v>
      </c>
      <c r="D610" s="0" t="n">
        <v>0</v>
      </c>
      <c r="E610" s="0" t="n">
        <v>1</v>
      </c>
      <c r="F610" s="0" t="n">
        <v>14</v>
      </c>
      <c r="G610" s="0" t="b">
        <f aca="false">FALSE()</f>
        <v>0</v>
      </c>
      <c r="H610" s="0" t="n">
        <v>5</v>
      </c>
      <c r="I610" s="0" t="n">
        <v>3</v>
      </c>
      <c r="J610" s="0" t="n">
        <v>0.22</v>
      </c>
    </row>
    <row r="611" customFormat="false" ht="15" hidden="false" customHeight="false" outlineLevel="0" collapsed="false">
      <c r="A611" s="0" t="n">
        <v>610</v>
      </c>
      <c r="B611" s="0" t="s">
        <v>104</v>
      </c>
      <c r="C611" s="0" t="n">
        <v>1</v>
      </c>
      <c r="D611" s="0" t="n">
        <v>0</v>
      </c>
      <c r="E611" s="0" t="n">
        <v>1</v>
      </c>
      <c r="F611" s="0" t="n">
        <v>15</v>
      </c>
      <c r="G611" s="0" t="b">
        <f aca="false">FALSE()</f>
        <v>0</v>
      </c>
      <c r="H611" s="0" t="n">
        <v>5</v>
      </c>
      <c r="I611" s="0" t="n">
        <v>2</v>
      </c>
      <c r="J611" s="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105</v>
      </c>
      <c r="B1" s="28" t="s">
        <v>67</v>
      </c>
      <c r="C1" s="28" t="s">
        <v>106</v>
      </c>
      <c r="D1" s="28" t="s">
        <v>107</v>
      </c>
      <c r="E1" s="28" t="s">
        <v>108</v>
      </c>
      <c r="F1" s="28" t="s">
        <v>109</v>
      </c>
      <c r="G1" s="28" t="s">
        <v>110</v>
      </c>
      <c r="H1" s="28" t="s">
        <v>111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0.2879</v>
      </c>
      <c r="D2" s="0" t="n">
        <v>0.81</v>
      </c>
      <c r="E2" s="0" t="n">
        <v>0</v>
      </c>
      <c r="F2" s="0" t="n">
        <v>3</v>
      </c>
      <c r="G2" s="0" t="n">
        <v>13</v>
      </c>
      <c r="H2" s="0" t="n">
        <v>16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0.2727</v>
      </c>
      <c r="D3" s="0" t="n">
        <v>0.8</v>
      </c>
      <c r="E3" s="0" t="n">
        <v>0</v>
      </c>
      <c r="F3" s="0" t="n">
        <v>8</v>
      </c>
      <c r="G3" s="0" t="n">
        <v>32</v>
      </c>
      <c r="H3" s="0" t="n">
        <v>40</v>
      </c>
    </row>
    <row r="4" customFormat="false" ht="15" hidden="false" customHeight="false" outlineLevel="0" collapsed="false">
      <c r="A4" s="0" t="n">
        <v>2</v>
      </c>
      <c r="B4" s="0" t="n">
        <v>3</v>
      </c>
      <c r="C4" s="0" t="n">
        <v>0.2727</v>
      </c>
      <c r="D4" s="0" t="n">
        <v>0.8</v>
      </c>
      <c r="E4" s="0" t="n">
        <v>0</v>
      </c>
      <c r="F4" s="0" t="n">
        <v>5</v>
      </c>
      <c r="G4" s="0" t="n">
        <v>27</v>
      </c>
      <c r="H4" s="0" t="n">
        <v>32</v>
      </c>
    </row>
    <row r="5" customFormat="false" ht="15" hidden="false" customHeight="false" outlineLevel="0" collapsed="false">
      <c r="A5" s="0" t="n">
        <v>3</v>
      </c>
      <c r="B5" s="0" t="n">
        <v>4</v>
      </c>
      <c r="C5" s="0" t="n">
        <v>0.2879</v>
      </c>
      <c r="D5" s="0" t="n">
        <v>0.75</v>
      </c>
      <c r="E5" s="0" t="n">
        <v>0</v>
      </c>
      <c r="F5" s="0" t="n">
        <v>3</v>
      </c>
      <c r="G5" s="0" t="n">
        <v>10</v>
      </c>
      <c r="H5" s="0" t="n">
        <v>13</v>
      </c>
    </row>
    <row r="6" customFormat="false" ht="15" hidden="false" customHeight="false" outlineLevel="0" collapsed="false">
      <c r="A6" s="0" t="n">
        <v>4</v>
      </c>
      <c r="B6" s="0" t="n">
        <v>5</v>
      </c>
      <c r="C6" s="0" t="n">
        <v>0.2879</v>
      </c>
      <c r="D6" s="0" t="n">
        <v>0.75</v>
      </c>
      <c r="E6" s="0" t="n">
        <v>0</v>
      </c>
      <c r="F6" s="0" t="n">
        <v>0</v>
      </c>
      <c r="G6" s="0" t="n">
        <v>1</v>
      </c>
      <c r="H6" s="0" t="n">
        <v>1</v>
      </c>
    </row>
    <row r="7" customFormat="false" ht="15" hidden="false" customHeight="false" outlineLevel="0" collapsed="false">
      <c r="A7" s="0" t="n">
        <v>5</v>
      </c>
      <c r="B7" s="0" t="n">
        <v>6</v>
      </c>
      <c r="C7" s="0" t="n">
        <v>0.2576</v>
      </c>
      <c r="D7" s="0" t="n">
        <v>0.75</v>
      </c>
      <c r="E7" s="0" t="n">
        <v>0.0896</v>
      </c>
      <c r="F7" s="0" t="n">
        <v>0</v>
      </c>
      <c r="G7" s="0" t="n">
        <v>1</v>
      </c>
      <c r="H7" s="0" t="n">
        <v>1</v>
      </c>
    </row>
    <row r="8" customFormat="false" ht="15" hidden="false" customHeight="false" outlineLevel="0" collapsed="false">
      <c r="A8" s="0" t="n">
        <v>6</v>
      </c>
      <c r="B8" s="0" t="n">
        <v>7</v>
      </c>
      <c r="C8" s="0" t="n">
        <v>0.2727</v>
      </c>
      <c r="D8" s="0" t="n">
        <v>0.8</v>
      </c>
      <c r="E8" s="0" t="n">
        <v>0</v>
      </c>
      <c r="F8" s="0" t="n">
        <v>2</v>
      </c>
      <c r="G8" s="0" t="n">
        <v>0</v>
      </c>
      <c r="H8" s="0" t="n">
        <v>2</v>
      </c>
    </row>
    <row r="9" customFormat="false" ht="15" hidden="false" customHeight="false" outlineLevel="0" collapsed="false">
      <c r="A9" s="0" t="n">
        <v>7</v>
      </c>
      <c r="B9" s="0" t="n">
        <v>8</v>
      </c>
      <c r="C9" s="0" t="n">
        <v>0.2576</v>
      </c>
      <c r="D9" s="0" t="n">
        <v>0.86</v>
      </c>
      <c r="E9" s="0" t="n">
        <v>0</v>
      </c>
      <c r="F9" s="0" t="n">
        <v>1</v>
      </c>
      <c r="G9" s="0" t="n">
        <v>2</v>
      </c>
      <c r="H9" s="0" t="n">
        <v>3</v>
      </c>
    </row>
    <row r="10" customFormat="false" ht="15" hidden="false" customHeight="false" outlineLevel="0" collapsed="false">
      <c r="A10" s="0" t="n">
        <v>8</v>
      </c>
      <c r="B10" s="0" t="n">
        <v>9</v>
      </c>
      <c r="D10" s="0" t="n">
        <v>0.75</v>
      </c>
      <c r="E10" s="0" t="n">
        <v>0</v>
      </c>
      <c r="F10" s="0" t="n">
        <v>1</v>
      </c>
      <c r="G10" s="0" t="n">
        <v>7</v>
      </c>
      <c r="H10" s="0" t="n">
        <v>8</v>
      </c>
    </row>
    <row r="11" customFormat="false" ht="15" hidden="false" customHeight="false" outlineLevel="0" collapsed="false">
      <c r="A11" s="0" t="n">
        <v>9</v>
      </c>
      <c r="B11" s="0" t="n">
        <v>10</v>
      </c>
      <c r="C11" s="0" t="n">
        <v>0.3485</v>
      </c>
      <c r="D11" s="0" t="n">
        <v>0.76</v>
      </c>
      <c r="E11" s="0" t="n">
        <v>0</v>
      </c>
      <c r="F11" s="0" t="n">
        <v>8</v>
      </c>
      <c r="G11" s="0" t="n">
        <v>6</v>
      </c>
      <c r="H11" s="0" t="n">
        <v>14</v>
      </c>
    </row>
    <row r="12" customFormat="false" ht="15" hidden="false" customHeight="false" outlineLevel="0" collapsed="false">
      <c r="A12" s="0" t="n">
        <v>10</v>
      </c>
      <c r="B12" s="0" t="n">
        <v>11</v>
      </c>
      <c r="C12" s="0" t="n">
        <v>0.3939</v>
      </c>
      <c r="D12" s="0" t="n">
        <v>0.76</v>
      </c>
      <c r="E12" s="0" t="n">
        <v>0.2537</v>
      </c>
      <c r="F12" s="0" t="n">
        <v>12</v>
      </c>
      <c r="G12" s="0" t="n">
        <v>24</v>
      </c>
      <c r="H12" s="0" t="n">
        <v>36</v>
      </c>
    </row>
    <row r="13" customFormat="false" ht="15" hidden="false" customHeight="false" outlineLevel="0" collapsed="false">
      <c r="A13" s="0" t="n">
        <v>11</v>
      </c>
      <c r="B13" s="0" t="n">
        <v>12</v>
      </c>
      <c r="C13" s="0" t="n">
        <v>0.3333</v>
      </c>
      <c r="D13" s="0" t="n">
        <v>0.81</v>
      </c>
      <c r="E13" s="0" t="n">
        <v>0.2836</v>
      </c>
      <c r="F13" s="0" t="n">
        <v>26</v>
      </c>
      <c r="G13" s="0" t="n">
        <v>30</v>
      </c>
      <c r="H13" s="0" t="n">
        <v>56</v>
      </c>
    </row>
    <row r="14" customFormat="false" ht="15" hidden="false" customHeight="false" outlineLevel="0" collapsed="false">
      <c r="A14" s="0" t="n">
        <v>12</v>
      </c>
      <c r="B14" s="0" t="n">
        <v>13</v>
      </c>
      <c r="C14" s="0" t="n">
        <v>0.4242</v>
      </c>
      <c r="D14" s="0" t="n">
        <v>0.77</v>
      </c>
      <c r="E14" s="0" t="n">
        <v>0.2836</v>
      </c>
      <c r="F14" s="0" t="n">
        <v>29</v>
      </c>
      <c r="G14" s="0" t="n">
        <v>55</v>
      </c>
      <c r="H14" s="0" t="n">
        <v>84</v>
      </c>
    </row>
    <row r="15" customFormat="false" ht="15" hidden="false" customHeight="false" outlineLevel="0" collapsed="false">
      <c r="A15" s="0" t="n">
        <v>13</v>
      </c>
      <c r="B15" s="0" t="n">
        <v>14</v>
      </c>
      <c r="C15" s="0" t="n">
        <v>0.4545</v>
      </c>
      <c r="D15" s="0" t="n">
        <v>0.72</v>
      </c>
      <c r="E15" s="0" t="n">
        <v>0.2985</v>
      </c>
      <c r="F15" s="0" t="n">
        <v>47</v>
      </c>
      <c r="G15" s="0" t="n">
        <v>47</v>
      </c>
      <c r="H15" s="0" t="n">
        <v>94</v>
      </c>
    </row>
    <row r="16" customFormat="false" ht="15" hidden="false" customHeight="false" outlineLevel="0" collapsed="false">
      <c r="A16" s="0" t="n">
        <v>14</v>
      </c>
      <c r="B16" s="0" t="n">
        <v>15</v>
      </c>
      <c r="C16" s="0" t="n">
        <v>0.4545</v>
      </c>
      <c r="D16" s="0" t="n">
        <v>0.72</v>
      </c>
      <c r="E16" s="0" t="n">
        <v>0.2836</v>
      </c>
      <c r="F16" s="0" t="n">
        <v>35</v>
      </c>
      <c r="G16" s="0" t="n">
        <v>71</v>
      </c>
      <c r="H16" s="0" t="n">
        <v>106</v>
      </c>
    </row>
    <row r="17" customFormat="false" ht="15" hidden="false" customHeight="false" outlineLevel="0" collapsed="false">
      <c r="A17" s="0" t="n">
        <v>15</v>
      </c>
      <c r="B17" s="0" t="n">
        <v>16</v>
      </c>
      <c r="C17" s="0" t="n">
        <v>0.4394</v>
      </c>
      <c r="D17" s="0" t="n">
        <v>0.77</v>
      </c>
      <c r="E17" s="0" t="n">
        <v>0.2985</v>
      </c>
      <c r="F17" s="0" t="n">
        <v>40</v>
      </c>
      <c r="G17" s="0" t="n">
        <v>70</v>
      </c>
      <c r="H17" s="0" t="n">
        <v>110</v>
      </c>
    </row>
    <row r="18" customFormat="false" ht="15" hidden="false" customHeight="false" outlineLevel="0" collapsed="false">
      <c r="A18" s="0" t="n">
        <v>16</v>
      </c>
      <c r="B18" s="0" t="n">
        <v>17</v>
      </c>
      <c r="C18" s="0" t="n">
        <v>0.4242</v>
      </c>
      <c r="D18" s="0" t="n">
        <v>0.82</v>
      </c>
      <c r="E18" s="0" t="n">
        <v>0.2985</v>
      </c>
      <c r="F18" s="0" t="n">
        <v>41</v>
      </c>
      <c r="G18" s="0" t="n">
        <v>52</v>
      </c>
      <c r="H18" s="0" t="n">
        <v>93</v>
      </c>
    </row>
    <row r="19" customFormat="false" ht="15" hidden="false" customHeight="false" outlineLevel="0" collapsed="false">
      <c r="A19" s="0" t="n">
        <v>17</v>
      </c>
      <c r="B19" s="0" t="n">
        <v>18</v>
      </c>
      <c r="D19" s="0" t="n">
        <v>0.82</v>
      </c>
      <c r="E19" s="0" t="n">
        <v>0.2836</v>
      </c>
      <c r="F19" s="0" t="n">
        <v>15</v>
      </c>
      <c r="G19" s="0" t="n">
        <v>52</v>
      </c>
      <c r="H19" s="0" t="n">
        <v>67</v>
      </c>
    </row>
    <row r="20" customFormat="false" ht="15" hidden="false" customHeight="false" outlineLevel="0" collapsed="false">
      <c r="A20" s="0" t="n">
        <v>18</v>
      </c>
      <c r="B20" s="0" t="n">
        <v>19</v>
      </c>
      <c r="C20" s="0" t="n">
        <v>0.4242</v>
      </c>
      <c r="D20" s="0" t="n">
        <v>0.88</v>
      </c>
      <c r="E20" s="0" t="n">
        <v>0.2537</v>
      </c>
      <c r="F20" s="0" t="n">
        <v>9</v>
      </c>
      <c r="G20" s="0" t="n">
        <v>26</v>
      </c>
      <c r="H20" s="0" t="n">
        <v>35</v>
      </c>
    </row>
    <row r="21" customFormat="false" ht="15" hidden="false" customHeight="false" outlineLevel="0" collapsed="false">
      <c r="A21" s="0" t="n">
        <v>19</v>
      </c>
      <c r="B21" s="0" t="n">
        <v>20</v>
      </c>
      <c r="C21" s="0" t="n">
        <v>0.4242</v>
      </c>
      <c r="D21" s="0" t="n">
        <v>0.88</v>
      </c>
      <c r="E21" s="0" t="n">
        <v>0.2537</v>
      </c>
      <c r="F21" s="0" t="n">
        <v>6</v>
      </c>
      <c r="G21" s="0" t="n">
        <v>31</v>
      </c>
      <c r="H21" s="0" t="n">
        <v>37</v>
      </c>
    </row>
    <row r="22" customFormat="false" ht="15" hidden="false" customHeight="false" outlineLevel="0" collapsed="false">
      <c r="A22" s="0" t="n">
        <v>20</v>
      </c>
      <c r="B22" s="0" t="n">
        <v>21</v>
      </c>
      <c r="C22" s="0" t="n">
        <v>0.4091</v>
      </c>
      <c r="D22" s="0" t="n">
        <v>0.87</v>
      </c>
      <c r="E22" s="0" t="n">
        <v>0.2537</v>
      </c>
      <c r="F22" s="0" t="n">
        <v>11</v>
      </c>
      <c r="G22" s="0" t="n">
        <v>25</v>
      </c>
      <c r="H22" s="0" t="n">
        <v>36</v>
      </c>
    </row>
    <row r="23" customFormat="false" ht="15" hidden="false" customHeight="false" outlineLevel="0" collapsed="false">
      <c r="A23" s="0" t="n">
        <v>21</v>
      </c>
      <c r="B23" s="0" t="n">
        <v>22</v>
      </c>
      <c r="C23" s="0" t="n">
        <v>0.4091</v>
      </c>
      <c r="D23" s="0" t="n">
        <v>0.87</v>
      </c>
      <c r="E23" s="0" t="n">
        <v>0.194</v>
      </c>
      <c r="F23" s="0" t="n">
        <v>3</v>
      </c>
      <c r="G23" s="0" t="n">
        <v>31</v>
      </c>
      <c r="H23" s="0" t="n">
        <v>34</v>
      </c>
    </row>
    <row r="24" customFormat="false" ht="15" hidden="false" customHeight="false" outlineLevel="0" collapsed="false">
      <c r="A24" s="0" t="n">
        <v>22</v>
      </c>
      <c r="B24" s="0" t="n">
        <v>23</v>
      </c>
      <c r="C24" s="0" t="n">
        <v>0.4091</v>
      </c>
      <c r="D24" s="0" t="n">
        <v>0.94</v>
      </c>
      <c r="E24" s="0" t="n">
        <v>0.2239</v>
      </c>
      <c r="F24" s="0" t="n">
        <v>11</v>
      </c>
      <c r="G24" s="0" t="n">
        <v>17</v>
      </c>
      <c r="H24" s="0" t="n">
        <v>28</v>
      </c>
    </row>
    <row r="25" customFormat="false" ht="15" hidden="false" customHeight="false" outlineLevel="0" collapsed="false">
      <c r="A25" s="0" t="n">
        <v>23</v>
      </c>
      <c r="B25" s="0" t="n">
        <v>24</v>
      </c>
      <c r="D25" s="0" t="n">
        <v>0.88</v>
      </c>
      <c r="E25" s="0" t="n">
        <v>0.2985</v>
      </c>
      <c r="F25" s="0" t="n">
        <v>15</v>
      </c>
      <c r="G25" s="0" t="n">
        <v>24</v>
      </c>
      <c r="H25" s="0" t="n">
        <v>39</v>
      </c>
    </row>
    <row r="26" customFormat="false" ht="15" hidden="false" customHeight="false" outlineLevel="0" collapsed="false">
      <c r="A26" s="0" t="n">
        <v>24</v>
      </c>
      <c r="B26" s="0" t="n">
        <v>25</v>
      </c>
      <c r="C26" s="0" t="n">
        <v>0.4545</v>
      </c>
      <c r="D26" s="0" t="n">
        <v>0.88</v>
      </c>
      <c r="E26" s="0" t="n">
        <v>0.2985</v>
      </c>
      <c r="F26" s="0" t="n">
        <v>4</v>
      </c>
      <c r="G26" s="0" t="n">
        <v>13</v>
      </c>
      <c r="H26" s="0" t="n">
        <v>17</v>
      </c>
    </row>
    <row r="27" customFormat="false" ht="15" hidden="false" customHeight="false" outlineLevel="0" collapsed="false">
      <c r="A27" s="0" t="n">
        <v>25</v>
      </c>
      <c r="B27" s="0" t="n">
        <v>26</v>
      </c>
      <c r="C27" s="0" t="n">
        <v>0.4394</v>
      </c>
      <c r="D27" s="0" t="n">
        <v>0.94</v>
      </c>
      <c r="E27" s="0" t="n">
        <v>0.2537</v>
      </c>
      <c r="F27" s="0" t="n">
        <v>1</v>
      </c>
      <c r="G27" s="0" t="n">
        <v>16</v>
      </c>
      <c r="H27" s="0" t="n">
        <v>17</v>
      </c>
    </row>
    <row r="28" customFormat="false" ht="15" hidden="false" customHeight="false" outlineLevel="0" collapsed="false">
      <c r="A28" s="0" t="n">
        <v>26</v>
      </c>
      <c r="B28" s="0" t="n">
        <v>27</v>
      </c>
      <c r="C28" s="0" t="n">
        <v>0.4242</v>
      </c>
      <c r="D28" s="0" t="n">
        <v>1</v>
      </c>
      <c r="E28" s="0" t="n">
        <v>0.2836</v>
      </c>
      <c r="F28" s="0" t="n">
        <v>1</v>
      </c>
      <c r="G28" s="0" t="n">
        <v>8</v>
      </c>
      <c r="H28" s="0" t="n">
        <v>9</v>
      </c>
    </row>
    <row r="29" customFormat="false" ht="15" hidden="false" customHeight="false" outlineLevel="0" collapsed="false">
      <c r="A29" s="0" t="n">
        <v>27</v>
      </c>
      <c r="B29" s="0" t="n">
        <v>28</v>
      </c>
      <c r="C29" s="0" t="n">
        <v>0.4545</v>
      </c>
      <c r="D29" s="0" t="n">
        <v>0.94</v>
      </c>
      <c r="E29" s="0" t="n">
        <v>0.194</v>
      </c>
      <c r="F29" s="0" t="n">
        <v>2</v>
      </c>
      <c r="G29" s="0" t="n">
        <v>4</v>
      </c>
      <c r="H29" s="0" t="n">
        <v>6</v>
      </c>
    </row>
    <row r="30" customFormat="false" ht="15" hidden="false" customHeight="false" outlineLevel="0" collapsed="false">
      <c r="A30" s="0" t="n">
        <v>28</v>
      </c>
      <c r="B30" s="0" t="n">
        <v>29</v>
      </c>
      <c r="D30" s="0" t="n">
        <v>0.94</v>
      </c>
      <c r="E30" s="0" t="n">
        <v>0.194</v>
      </c>
      <c r="F30" s="0" t="n">
        <v>2</v>
      </c>
      <c r="G30" s="0" t="n">
        <v>1</v>
      </c>
      <c r="H30" s="0" t="n">
        <v>3</v>
      </c>
    </row>
    <row r="31" customFormat="false" ht="15" hidden="false" customHeight="false" outlineLevel="0" collapsed="false">
      <c r="A31" s="0" t="n">
        <v>29</v>
      </c>
      <c r="B31" s="0" t="n">
        <v>30</v>
      </c>
      <c r="C31" s="0" t="n">
        <v>0.4242</v>
      </c>
      <c r="D31" s="0" t="n">
        <v>0.77</v>
      </c>
      <c r="E31" s="0" t="n">
        <v>0.2985</v>
      </c>
      <c r="F31" s="0" t="n">
        <v>0</v>
      </c>
      <c r="G31" s="0" t="n">
        <v>2</v>
      </c>
      <c r="H31" s="0" t="n">
        <v>2</v>
      </c>
    </row>
    <row r="32" customFormat="false" ht="15" hidden="false" customHeight="false" outlineLevel="0" collapsed="false">
      <c r="A32" s="0" t="n">
        <v>30</v>
      </c>
      <c r="B32" s="0" t="n">
        <v>31</v>
      </c>
      <c r="C32" s="0" t="n">
        <v>0.4091</v>
      </c>
      <c r="D32" s="0" t="n">
        <v>0.76</v>
      </c>
      <c r="E32" s="0" t="n">
        <v>0.194</v>
      </c>
      <c r="F32" s="0" t="n">
        <v>0</v>
      </c>
      <c r="G32" s="0" t="n">
        <v>1</v>
      </c>
      <c r="H32" s="0" t="n">
        <v>1</v>
      </c>
    </row>
    <row r="33" customFormat="false" ht="15" hidden="false" customHeight="false" outlineLevel="0" collapsed="false">
      <c r="A33" s="0" t="n">
        <v>31</v>
      </c>
      <c r="B33" s="0" t="n">
        <v>32</v>
      </c>
      <c r="C33" s="0" t="n">
        <v>0.4091</v>
      </c>
      <c r="D33" s="0" t="n">
        <v>0.71</v>
      </c>
      <c r="E33" s="0" t="n">
        <v>0.2239</v>
      </c>
      <c r="F33" s="0" t="n">
        <v>0</v>
      </c>
      <c r="G33" s="0" t="n">
        <v>8</v>
      </c>
      <c r="H33" s="0" t="n">
        <v>8</v>
      </c>
    </row>
    <row r="34" customFormat="false" ht="15" hidden="false" customHeight="false" outlineLevel="0" collapsed="false">
      <c r="A34" s="0" t="n">
        <v>32</v>
      </c>
      <c r="B34" s="0" t="n">
        <v>33</v>
      </c>
      <c r="D34" s="0" t="n">
        <v>0.76</v>
      </c>
      <c r="E34" s="0" t="n">
        <v>0.2239</v>
      </c>
      <c r="F34" s="0" t="n">
        <v>1</v>
      </c>
      <c r="G34" s="0" t="n">
        <v>19</v>
      </c>
      <c r="H34" s="0" t="n">
        <v>20</v>
      </c>
    </row>
    <row r="35" customFormat="false" ht="15" hidden="false" customHeight="false" outlineLevel="0" collapsed="false">
      <c r="A35" s="0" t="n">
        <v>33</v>
      </c>
      <c r="B35" s="0" t="n">
        <v>34</v>
      </c>
      <c r="C35" s="0" t="n">
        <v>0.3485</v>
      </c>
      <c r="D35" s="0" t="n">
        <v>0.81</v>
      </c>
      <c r="E35" s="0" t="n">
        <v>0.2239</v>
      </c>
      <c r="F35" s="0" t="n">
        <v>7</v>
      </c>
      <c r="G35" s="0" t="n">
        <v>46</v>
      </c>
      <c r="H35" s="0" t="n">
        <v>53</v>
      </c>
    </row>
    <row r="36" customFormat="false" ht="15" hidden="false" customHeight="false" outlineLevel="0" collapsed="false">
      <c r="A36" s="0" t="n">
        <v>34</v>
      </c>
      <c r="B36" s="0" t="n">
        <v>35</v>
      </c>
      <c r="C36" s="0" t="n">
        <v>0.3333</v>
      </c>
      <c r="D36" s="0" t="n">
        <v>0.71</v>
      </c>
      <c r="E36" s="0" t="n">
        <v>0.2537</v>
      </c>
      <c r="F36" s="0" t="n">
        <v>16</v>
      </c>
      <c r="G36" s="0" t="n">
        <v>54</v>
      </c>
      <c r="H36" s="0" t="n">
        <v>70</v>
      </c>
    </row>
    <row r="37" customFormat="false" ht="15" hidden="false" customHeight="false" outlineLevel="0" collapsed="false">
      <c r="A37" s="0" t="n">
        <v>35</v>
      </c>
      <c r="B37" s="0" t="n">
        <v>36</v>
      </c>
      <c r="C37" s="0" t="n">
        <v>0.3333</v>
      </c>
      <c r="D37" s="0" t="n">
        <v>0.66</v>
      </c>
      <c r="E37" s="0" t="n">
        <v>0.2985</v>
      </c>
      <c r="F37" s="0" t="n">
        <v>20</v>
      </c>
      <c r="G37" s="0" t="n">
        <v>73</v>
      </c>
      <c r="H37" s="0" t="n">
        <v>93</v>
      </c>
    </row>
    <row r="38" customFormat="false" ht="15" hidden="false" customHeight="false" outlineLevel="0" collapsed="false">
      <c r="A38" s="0" t="n">
        <v>36</v>
      </c>
      <c r="B38" s="0" t="n">
        <v>37</v>
      </c>
      <c r="C38" s="0" t="n">
        <v>0.3485</v>
      </c>
      <c r="D38" s="0" t="n">
        <v>0.66</v>
      </c>
      <c r="E38" s="0" t="n">
        <v>0.1343</v>
      </c>
      <c r="F38" s="0" t="n">
        <v>11</v>
      </c>
      <c r="G38" s="0" t="n">
        <v>64</v>
      </c>
      <c r="H38" s="0" t="n">
        <v>75</v>
      </c>
    </row>
    <row r="39" customFormat="false" ht="15" hidden="false" customHeight="false" outlineLevel="0" collapsed="false">
      <c r="A39" s="0" t="n">
        <v>37</v>
      </c>
      <c r="B39" s="0" t="n">
        <v>38</v>
      </c>
      <c r="D39" s="0" t="n">
        <v>0.76</v>
      </c>
      <c r="E39" s="0" t="n">
        <v>0.194</v>
      </c>
      <c r="F39" s="0" t="n">
        <v>4</v>
      </c>
      <c r="G39" s="0" t="n">
        <v>55</v>
      </c>
      <c r="H39" s="0" t="n">
        <v>59</v>
      </c>
    </row>
    <row r="40" customFormat="false" ht="15" hidden="false" customHeight="false" outlineLevel="0" collapsed="false">
      <c r="A40" s="0" t="n">
        <v>38</v>
      </c>
      <c r="B40" s="0" t="n">
        <v>39</v>
      </c>
      <c r="C40" s="0" t="n">
        <v>0.3333</v>
      </c>
      <c r="D40" s="0" t="n">
        <v>0.81</v>
      </c>
      <c r="E40" s="0" t="n">
        <v>0.1642</v>
      </c>
      <c r="F40" s="0" t="n">
        <v>19</v>
      </c>
      <c r="G40" s="0" t="n">
        <v>55</v>
      </c>
      <c r="H40" s="0" t="n">
        <v>74</v>
      </c>
    </row>
    <row r="41" customFormat="false" ht="15" hidden="false" customHeight="false" outlineLevel="0" collapsed="false">
      <c r="A41" s="0" t="n">
        <v>39</v>
      </c>
      <c r="B41" s="0" t="n">
        <v>40</v>
      </c>
      <c r="C41" s="0" t="n">
        <v>0.3333</v>
      </c>
      <c r="D41" s="0" t="n">
        <v>0.71</v>
      </c>
      <c r="E41" s="0" t="n">
        <v>0.1642</v>
      </c>
      <c r="F41" s="0" t="n">
        <v>9</v>
      </c>
      <c r="G41" s="0" t="n">
        <v>67</v>
      </c>
      <c r="H41" s="0" t="n">
        <v>76</v>
      </c>
    </row>
    <row r="42" customFormat="false" ht="15" hidden="false" customHeight="false" outlineLevel="0" collapsed="false">
      <c r="A42" s="0" t="n">
        <v>40</v>
      </c>
      <c r="B42" s="0" t="n">
        <v>41</v>
      </c>
      <c r="C42" s="0" t="n">
        <v>0.3333</v>
      </c>
      <c r="D42" s="0" t="n">
        <v>0.57</v>
      </c>
      <c r="E42" s="0" t="n">
        <v>0.194</v>
      </c>
      <c r="F42" s="0" t="n">
        <v>7</v>
      </c>
      <c r="G42" s="0" t="n">
        <v>58</v>
      </c>
      <c r="H42" s="0" t="n">
        <v>65</v>
      </c>
    </row>
    <row r="43" customFormat="false" ht="15" hidden="false" customHeight="false" outlineLevel="0" collapsed="false">
      <c r="A43" s="0" t="n">
        <v>41</v>
      </c>
      <c r="B43" s="0" t="n">
        <v>42</v>
      </c>
      <c r="C43" s="0" t="n">
        <v>0.3333</v>
      </c>
      <c r="D43" s="0" t="n">
        <v>0.46</v>
      </c>
      <c r="E43" s="0" t="n">
        <v>0.3284</v>
      </c>
      <c r="F43" s="0" t="n">
        <v>10</v>
      </c>
      <c r="G43" s="0" t="n">
        <v>43</v>
      </c>
      <c r="H43" s="0" t="n">
        <v>53</v>
      </c>
    </row>
    <row r="44" customFormat="false" ht="15" hidden="false" customHeight="false" outlineLevel="0" collapsed="false">
      <c r="A44" s="0" t="n">
        <v>42</v>
      </c>
      <c r="B44" s="0" t="n">
        <v>43</v>
      </c>
      <c r="C44" s="0" t="n">
        <v>0.2879</v>
      </c>
      <c r="D44" s="0" t="n">
        <v>0.42</v>
      </c>
      <c r="E44" s="0" t="n">
        <v>0.4478</v>
      </c>
      <c r="F44" s="0" t="n">
        <v>1</v>
      </c>
      <c r="G44" s="0" t="n">
        <v>29</v>
      </c>
      <c r="H44" s="0" t="n">
        <v>30</v>
      </c>
    </row>
    <row r="45" customFormat="false" ht="15" hidden="false" customHeight="false" outlineLevel="0" collapsed="false">
      <c r="A45" s="0" t="n">
        <v>43</v>
      </c>
      <c r="B45" s="0" t="n">
        <v>44</v>
      </c>
      <c r="D45" s="0" t="n">
        <v>0.39</v>
      </c>
      <c r="E45" s="0" t="n">
        <v>0.3582</v>
      </c>
      <c r="F45" s="0" t="n">
        <v>5</v>
      </c>
      <c r="G45" s="0" t="n">
        <v>17</v>
      </c>
      <c r="H45" s="0" t="n">
        <v>22</v>
      </c>
    </row>
    <row r="46" customFormat="false" ht="15" hidden="false" customHeight="false" outlineLevel="0" collapsed="false">
      <c r="A46" s="0" t="n">
        <v>44</v>
      </c>
      <c r="B46" s="0" t="n">
        <v>45</v>
      </c>
      <c r="C46" s="0" t="n">
        <v>0.2273</v>
      </c>
      <c r="D46" s="0" t="n">
        <v>0.44</v>
      </c>
      <c r="E46" s="0" t="n">
        <v>0.3284</v>
      </c>
      <c r="F46" s="0" t="n">
        <v>11</v>
      </c>
      <c r="G46" s="0" t="n">
        <v>20</v>
      </c>
      <c r="H46" s="0" t="n">
        <v>31</v>
      </c>
    </row>
    <row r="47" customFormat="false" ht="15" hidden="false" customHeight="false" outlineLevel="0" collapsed="false">
      <c r="A47" s="0" t="n">
        <v>45</v>
      </c>
      <c r="B47" s="0" t="n">
        <v>46</v>
      </c>
      <c r="C47" s="0" t="n">
        <v>0.2121</v>
      </c>
      <c r="D47" s="0" t="n">
        <v>0.44</v>
      </c>
      <c r="E47" s="0" t="n">
        <v>0.2985</v>
      </c>
      <c r="F47" s="0" t="n">
        <v>0</v>
      </c>
      <c r="G47" s="0" t="n">
        <v>9</v>
      </c>
      <c r="H47" s="0" t="n">
        <v>9</v>
      </c>
    </row>
    <row r="48" customFormat="false" ht="15" hidden="false" customHeight="false" outlineLevel="0" collapsed="false">
      <c r="A48" s="0" t="n">
        <v>46</v>
      </c>
      <c r="B48" s="0" t="n">
        <v>47</v>
      </c>
      <c r="C48" s="0" t="n">
        <v>0.2273</v>
      </c>
      <c r="D48" s="0" t="n">
        <v>0.47</v>
      </c>
      <c r="E48" s="0" t="n">
        <v>0.1642</v>
      </c>
      <c r="F48" s="0" t="n">
        <v>0</v>
      </c>
      <c r="G48" s="0" t="n">
        <v>8</v>
      </c>
      <c r="H48" s="0" t="n">
        <v>8</v>
      </c>
    </row>
    <row r="49" customFormat="false" ht="15" hidden="false" customHeight="false" outlineLevel="0" collapsed="false">
      <c r="A49" s="0" t="n">
        <v>47</v>
      </c>
      <c r="B49" s="0" t="n">
        <v>48</v>
      </c>
      <c r="C49" s="0" t="n">
        <v>0.197</v>
      </c>
      <c r="D49" s="0" t="n">
        <v>0.44</v>
      </c>
      <c r="E49" s="0" t="n">
        <v>0.3582</v>
      </c>
      <c r="F49" s="0" t="n">
        <v>0</v>
      </c>
      <c r="G49" s="0" t="n">
        <v>5</v>
      </c>
      <c r="H49" s="0" t="n">
        <v>5</v>
      </c>
    </row>
    <row r="50" customFormat="false" ht="15" hidden="false" customHeight="false" outlineLevel="0" collapsed="false">
      <c r="A50" s="0" t="n">
        <v>48</v>
      </c>
      <c r="B50" s="0" t="n">
        <v>49</v>
      </c>
      <c r="D50" s="0" t="n">
        <v>0.44</v>
      </c>
      <c r="E50" s="0" t="n">
        <v>0.4179</v>
      </c>
      <c r="F50" s="0" t="n">
        <v>0</v>
      </c>
      <c r="G50" s="0" t="n">
        <v>2</v>
      </c>
      <c r="H50" s="0" t="n">
        <v>2</v>
      </c>
    </row>
    <row r="51" customFormat="false" ht="15" hidden="false" customHeight="false" outlineLevel="0" collapsed="false">
      <c r="A51" s="0" t="n">
        <v>49</v>
      </c>
      <c r="B51" s="0" t="n">
        <v>50</v>
      </c>
      <c r="C51" s="0" t="n">
        <v>0.1364</v>
      </c>
      <c r="D51" s="0" t="n">
        <v>0.47</v>
      </c>
      <c r="E51" s="0" t="n">
        <v>0.3881</v>
      </c>
      <c r="F51" s="0" t="n">
        <v>0</v>
      </c>
      <c r="G51" s="0" t="n">
        <v>1</v>
      </c>
      <c r="H51" s="0" t="n">
        <v>1</v>
      </c>
    </row>
    <row r="52" customFormat="false" ht="15" hidden="false" customHeight="false" outlineLevel="0" collapsed="false">
      <c r="A52" s="0" t="n">
        <v>50</v>
      </c>
      <c r="B52" s="0" t="n">
        <v>51</v>
      </c>
      <c r="C52" s="0" t="n">
        <v>0.1364</v>
      </c>
      <c r="D52" s="0" t="n">
        <v>0.47</v>
      </c>
      <c r="E52" s="0" t="n">
        <v>0.2836</v>
      </c>
      <c r="F52" s="0" t="n">
        <v>0</v>
      </c>
      <c r="G52" s="0" t="n">
        <v>3</v>
      </c>
      <c r="H52" s="0" t="n">
        <v>3</v>
      </c>
    </row>
    <row r="53" customFormat="false" ht="15" hidden="false" customHeight="false" outlineLevel="0" collapsed="false">
      <c r="A53" s="0" t="n">
        <v>51</v>
      </c>
      <c r="B53" s="0" t="n">
        <v>52</v>
      </c>
      <c r="C53" s="0" t="n">
        <v>0.1061</v>
      </c>
      <c r="D53" s="0" t="n">
        <v>0.5</v>
      </c>
      <c r="E53" s="0" t="n">
        <v>0.3881</v>
      </c>
      <c r="F53" s="0" t="n">
        <v>0</v>
      </c>
      <c r="G53" s="0" t="n">
        <v>30</v>
      </c>
      <c r="H53" s="0" t="n">
        <v>30</v>
      </c>
    </row>
    <row r="54" customFormat="false" ht="15" hidden="false" customHeight="false" outlineLevel="0" collapsed="false">
      <c r="A54" s="0" t="n">
        <v>52</v>
      </c>
      <c r="B54" s="0" t="n">
        <v>53</v>
      </c>
      <c r="C54" s="0" t="n">
        <v>0.1364</v>
      </c>
      <c r="D54" s="0" t="n">
        <v>0.5</v>
      </c>
      <c r="E54" s="0" t="n">
        <v>0.194</v>
      </c>
      <c r="F54" s="0" t="n">
        <v>1</v>
      </c>
      <c r="G54" s="0" t="n">
        <v>63</v>
      </c>
      <c r="H54" s="0" t="n">
        <v>64</v>
      </c>
    </row>
    <row r="55" customFormat="false" ht="15" hidden="false" customHeight="false" outlineLevel="0" collapsed="false">
      <c r="A55" s="0" t="n">
        <v>53</v>
      </c>
      <c r="B55" s="0" t="n">
        <v>54</v>
      </c>
      <c r="C55" s="0" t="n">
        <v>0.1212</v>
      </c>
      <c r="D55" s="0" t="n">
        <v>0.5</v>
      </c>
      <c r="E55" s="0" t="n">
        <v>0.2836</v>
      </c>
      <c r="F55" s="0" t="n">
        <v>1</v>
      </c>
      <c r="G55" s="0" t="n">
        <v>153</v>
      </c>
      <c r="H55" s="0" t="n">
        <v>154</v>
      </c>
    </row>
    <row r="56" customFormat="false" ht="15" hidden="false" customHeight="false" outlineLevel="0" collapsed="false">
      <c r="A56" s="0" t="n">
        <v>54</v>
      </c>
      <c r="B56" s="0" t="n">
        <v>55</v>
      </c>
      <c r="C56" s="0" t="n">
        <v>0.1364</v>
      </c>
      <c r="D56" s="0" t="n">
        <v>0.43</v>
      </c>
      <c r="E56" s="0" t="n">
        <v>0.3881</v>
      </c>
      <c r="F56" s="0" t="n">
        <v>7</v>
      </c>
      <c r="G56" s="0" t="n">
        <v>81</v>
      </c>
      <c r="H56" s="0" t="n">
        <v>88</v>
      </c>
    </row>
    <row r="57" customFormat="false" ht="15" hidden="false" customHeight="false" outlineLevel="0" collapsed="false">
      <c r="A57" s="0" t="n">
        <v>55</v>
      </c>
      <c r="B57" s="0" t="n">
        <v>56</v>
      </c>
      <c r="C57" s="0" t="n">
        <v>0.1667</v>
      </c>
      <c r="D57" s="0" t="n">
        <v>0.43</v>
      </c>
      <c r="E57" s="0" t="n">
        <v>0.2537</v>
      </c>
      <c r="F57" s="0" t="n">
        <v>11</v>
      </c>
      <c r="G57" s="0" t="n">
        <v>33</v>
      </c>
      <c r="H57" s="0" t="n">
        <v>44</v>
      </c>
    </row>
    <row r="58" customFormat="false" ht="15" hidden="false" customHeight="false" outlineLevel="0" collapsed="false">
      <c r="A58" s="0" t="n">
        <v>56</v>
      </c>
      <c r="B58" s="0" t="n">
        <v>57</v>
      </c>
      <c r="C58" s="0" t="n">
        <v>0.1818</v>
      </c>
      <c r="D58" s="0" t="n">
        <v>0.4</v>
      </c>
      <c r="E58" s="0" t="n">
        <v>0.3284</v>
      </c>
      <c r="F58" s="0" t="n">
        <v>10</v>
      </c>
      <c r="G58" s="0" t="n">
        <v>41</v>
      </c>
      <c r="H58" s="0" t="n">
        <v>51</v>
      </c>
    </row>
    <row r="59" customFormat="false" ht="15" hidden="false" customHeight="false" outlineLevel="0" collapsed="false">
      <c r="A59" s="0" t="n">
        <v>57</v>
      </c>
      <c r="B59" s="0" t="n">
        <v>58</v>
      </c>
      <c r="C59" s="0" t="n">
        <v>0.2121</v>
      </c>
      <c r="D59" s="0" t="n">
        <v>0.35</v>
      </c>
      <c r="E59" s="0" t="n">
        <v>0.2985</v>
      </c>
      <c r="F59" s="0" t="n">
        <v>13</v>
      </c>
      <c r="G59" s="0" t="n">
        <v>48</v>
      </c>
      <c r="H59" s="0" t="n">
        <v>61</v>
      </c>
    </row>
    <row r="60" customFormat="false" ht="15" hidden="false" customHeight="false" outlineLevel="0" collapsed="false">
      <c r="A60" s="0" t="n">
        <v>58</v>
      </c>
      <c r="B60" s="0" t="n">
        <v>59</v>
      </c>
      <c r="D60" s="0" t="n">
        <v>0.35</v>
      </c>
      <c r="E60" s="0" t="n">
        <v>0.2836</v>
      </c>
      <c r="F60" s="0" t="n">
        <v>8</v>
      </c>
      <c r="G60" s="0" t="n">
        <v>53</v>
      </c>
      <c r="H60" s="0" t="n">
        <v>61</v>
      </c>
    </row>
    <row r="61" customFormat="false" ht="15" hidden="false" customHeight="false" outlineLevel="0" collapsed="false">
      <c r="A61" s="0" t="n">
        <v>59</v>
      </c>
      <c r="B61" s="0" t="n">
        <v>60</v>
      </c>
      <c r="C61" s="0" t="n">
        <v>0.2424</v>
      </c>
      <c r="D61" s="0" t="n">
        <v>0.3</v>
      </c>
      <c r="E61" s="0" t="n">
        <v>0.2836</v>
      </c>
      <c r="F61" s="0" t="n">
        <v>11</v>
      </c>
      <c r="G61" s="0" t="n">
        <v>66</v>
      </c>
      <c r="H61" s="0" t="n">
        <v>77</v>
      </c>
    </row>
    <row r="62" customFormat="false" ht="15" hidden="false" customHeight="false" outlineLevel="0" collapsed="false">
      <c r="A62" s="0" t="n">
        <v>60</v>
      </c>
      <c r="B62" s="0" t="n">
        <v>61</v>
      </c>
      <c r="C62" s="0" t="n">
        <v>0.2424</v>
      </c>
      <c r="D62" s="0" t="n">
        <v>0.3</v>
      </c>
      <c r="E62" s="0" t="n">
        <v>0.2537</v>
      </c>
      <c r="F62" s="0" t="n">
        <v>14</v>
      </c>
      <c r="G62" s="0" t="n">
        <v>58</v>
      </c>
      <c r="H62" s="0" t="n">
        <v>72</v>
      </c>
    </row>
    <row r="63" customFormat="false" ht="15" hidden="false" customHeight="false" outlineLevel="0" collapsed="false">
      <c r="A63" s="0" t="n">
        <v>61</v>
      </c>
      <c r="B63" s="0" t="n">
        <v>62</v>
      </c>
      <c r="C63" s="0" t="n">
        <v>0.2424</v>
      </c>
      <c r="D63" s="0" t="n">
        <v>0.3</v>
      </c>
      <c r="E63" s="0" t="n">
        <v>0.2537</v>
      </c>
      <c r="F63" s="0" t="n">
        <v>9</v>
      </c>
      <c r="G63" s="0" t="n">
        <v>67</v>
      </c>
      <c r="H63" s="0" t="n">
        <v>76</v>
      </c>
    </row>
    <row r="64" customFormat="false" ht="15" hidden="false" customHeight="false" outlineLevel="0" collapsed="false">
      <c r="A64" s="0" t="n">
        <v>62</v>
      </c>
      <c r="B64" s="0" t="n">
        <v>63</v>
      </c>
      <c r="C64" s="0" t="n">
        <v>0.2273</v>
      </c>
      <c r="D64" s="0" t="n">
        <v>0.3</v>
      </c>
      <c r="E64" s="0" t="n">
        <v>0.2239</v>
      </c>
      <c r="F64" s="0" t="n">
        <v>11</v>
      </c>
      <c r="G64" s="0" t="n">
        <v>146</v>
      </c>
      <c r="H64" s="0" t="n">
        <v>157</v>
      </c>
    </row>
    <row r="65" customFormat="false" ht="15" hidden="false" customHeight="false" outlineLevel="0" collapsed="false">
      <c r="A65" s="0" t="n">
        <v>63</v>
      </c>
      <c r="B65" s="0" t="n">
        <v>64</v>
      </c>
      <c r="C65" s="0" t="n">
        <v>0.2576</v>
      </c>
      <c r="D65" s="0" t="n">
        <v>0.32</v>
      </c>
      <c r="E65" s="0" t="n">
        <v>0.1045</v>
      </c>
      <c r="F65" s="0" t="n">
        <v>9</v>
      </c>
      <c r="G65" s="0" t="n">
        <v>148</v>
      </c>
      <c r="H65" s="0" t="n">
        <v>157</v>
      </c>
    </row>
    <row r="66" customFormat="false" ht="15" hidden="false" customHeight="false" outlineLevel="0" collapsed="false">
      <c r="A66" s="0" t="n">
        <v>64</v>
      </c>
      <c r="B66" s="0" t="n">
        <v>65</v>
      </c>
      <c r="C66" s="0" t="n">
        <v>0.2576</v>
      </c>
      <c r="D66" s="0" t="n">
        <v>0.47</v>
      </c>
      <c r="E66" s="0" t="n">
        <v>0</v>
      </c>
      <c r="F66" s="0" t="n">
        <v>8</v>
      </c>
      <c r="G66" s="0" t="n">
        <v>102</v>
      </c>
      <c r="H66" s="0" t="n">
        <v>110</v>
      </c>
    </row>
    <row r="67" customFormat="false" ht="15" hidden="false" customHeight="false" outlineLevel="0" collapsed="false">
      <c r="A67" s="0" t="n">
        <v>65</v>
      </c>
      <c r="B67" s="0" t="n">
        <v>66</v>
      </c>
      <c r="D67" s="0" t="n">
        <v>0.47</v>
      </c>
      <c r="E67" s="0" t="n">
        <v>0.1045</v>
      </c>
      <c r="F67" s="0" t="n">
        <v>3</v>
      </c>
      <c r="G67" s="0" t="n">
        <v>49</v>
      </c>
      <c r="H67" s="0" t="n">
        <v>52</v>
      </c>
    </row>
    <row r="68" customFormat="false" ht="15" hidden="false" customHeight="false" outlineLevel="0" collapsed="false">
      <c r="A68" s="0" t="n">
        <v>66</v>
      </c>
      <c r="B68" s="0" t="n">
        <v>67</v>
      </c>
      <c r="C68" s="0" t="n">
        <v>0.197</v>
      </c>
      <c r="D68" s="0" t="n">
        <v>0.64</v>
      </c>
      <c r="E68" s="0" t="n">
        <v>0.1343</v>
      </c>
      <c r="F68" s="0" t="n">
        <v>3</v>
      </c>
      <c r="G68" s="0" t="n">
        <v>49</v>
      </c>
      <c r="H68" s="0" t="n">
        <v>52</v>
      </c>
    </row>
    <row r="69" customFormat="false" ht="15" hidden="false" customHeight="false" outlineLevel="0" collapsed="false">
      <c r="A69" s="0" t="n">
        <v>67</v>
      </c>
      <c r="B69" s="0" t="n">
        <v>68</v>
      </c>
      <c r="C69" s="0" t="n">
        <v>0.1515</v>
      </c>
      <c r="D69" s="0" t="n">
        <v>0.69</v>
      </c>
      <c r="E69" s="0" t="n">
        <v>0.1343</v>
      </c>
      <c r="F69" s="0" t="n">
        <v>0</v>
      </c>
      <c r="G69" s="0" t="n">
        <v>20</v>
      </c>
      <c r="H69" s="0" t="n">
        <v>20</v>
      </c>
    </row>
    <row r="70" customFormat="false" ht="15" hidden="false" customHeight="false" outlineLevel="0" collapsed="false">
      <c r="A70" s="0" t="n">
        <v>68</v>
      </c>
      <c r="B70" s="0" t="n">
        <v>69</v>
      </c>
      <c r="C70" s="0" t="n">
        <v>0.2121</v>
      </c>
      <c r="D70" s="0" t="n">
        <v>0.55</v>
      </c>
      <c r="E70" s="0" t="n">
        <v>0.1045</v>
      </c>
      <c r="F70" s="0" t="n">
        <v>1</v>
      </c>
      <c r="G70" s="0" t="n">
        <v>11</v>
      </c>
      <c r="H70" s="0" t="n">
        <v>12</v>
      </c>
    </row>
    <row r="71" customFormat="false" ht="15" hidden="false" customHeight="false" outlineLevel="0" collapsed="false">
      <c r="A71" s="0" t="n">
        <v>69</v>
      </c>
      <c r="B71" s="0" t="n">
        <v>70</v>
      </c>
      <c r="D71" s="0" t="n">
        <v>0.55</v>
      </c>
      <c r="E71" s="0" t="n">
        <v>0.1045</v>
      </c>
      <c r="F71" s="0" t="n">
        <v>0</v>
      </c>
      <c r="G71" s="0" t="n">
        <v>5</v>
      </c>
      <c r="H71" s="0" t="n">
        <v>5</v>
      </c>
    </row>
    <row r="72" customFormat="false" ht="15" hidden="false" customHeight="false" outlineLevel="0" collapsed="false">
      <c r="A72" s="0" t="n">
        <v>70</v>
      </c>
      <c r="B72" s="0" t="n">
        <v>71</v>
      </c>
      <c r="C72" s="0" t="n">
        <v>0.1818</v>
      </c>
      <c r="D72" s="0" t="n">
        <v>0.59</v>
      </c>
      <c r="E72" s="0" t="n">
        <v>0.1045</v>
      </c>
      <c r="F72" s="0" t="n">
        <v>0</v>
      </c>
      <c r="G72" s="0" t="n">
        <v>2</v>
      </c>
      <c r="H72" s="0" t="n">
        <v>2</v>
      </c>
    </row>
    <row r="73" customFormat="false" ht="15" hidden="false" customHeight="false" outlineLevel="0" collapsed="false">
      <c r="A73" s="0" t="n">
        <v>71</v>
      </c>
      <c r="B73" s="0" t="n">
        <v>72</v>
      </c>
      <c r="C73" s="0" t="n">
        <v>0.1515</v>
      </c>
      <c r="D73" s="0" t="n">
        <v>0.63</v>
      </c>
      <c r="E73" s="0" t="n">
        <v>0.1343</v>
      </c>
      <c r="F73" s="0" t="n">
        <v>0</v>
      </c>
      <c r="G73" s="0" t="n">
        <v>1</v>
      </c>
      <c r="H73" s="0" t="n">
        <v>1</v>
      </c>
    </row>
    <row r="74" customFormat="false" ht="15" hidden="false" customHeight="false" outlineLevel="0" collapsed="false">
      <c r="A74" s="0" t="n">
        <v>72</v>
      </c>
      <c r="B74" s="0" t="n">
        <v>73</v>
      </c>
      <c r="C74" s="0" t="n">
        <v>0.1818</v>
      </c>
      <c r="D74" s="0" t="n">
        <v>0.63</v>
      </c>
      <c r="E74" s="0" t="n">
        <v>0.0896</v>
      </c>
      <c r="F74" s="0" t="n">
        <v>0</v>
      </c>
      <c r="G74" s="0" t="n">
        <v>2</v>
      </c>
      <c r="H74" s="0" t="n">
        <v>2</v>
      </c>
    </row>
    <row r="75" customFormat="false" ht="15" hidden="false" customHeight="false" outlineLevel="0" collapsed="false">
      <c r="A75" s="0" t="n">
        <v>73</v>
      </c>
      <c r="B75" s="0" t="n">
        <v>74</v>
      </c>
      <c r="C75" s="0" t="n">
        <v>0.1515</v>
      </c>
      <c r="D75" s="0" t="n">
        <v>0.68</v>
      </c>
      <c r="E75" s="0" t="n">
        <v>0.1045</v>
      </c>
      <c r="F75" s="0" t="n">
        <v>0</v>
      </c>
      <c r="G75" s="0" t="n">
        <v>4</v>
      </c>
      <c r="H75" s="0" t="n">
        <v>4</v>
      </c>
    </row>
    <row r="76" customFormat="false" ht="15" hidden="false" customHeight="false" outlineLevel="0" collapsed="false">
      <c r="A76" s="0" t="n">
        <v>74</v>
      </c>
      <c r="B76" s="0" t="n">
        <v>75</v>
      </c>
      <c r="C76" s="0" t="n">
        <v>0.1515</v>
      </c>
      <c r="D76" s="0" t="n">
        <v>0.74</v>
      </c>
      <c r="E76" s="0" t="n">
        <v>0.1045</v>
      </c>
      <c r="F76" s="0" t="n">
        <v>0</v>
      </c>
      <c r="G76" s="0" t="n">
        <v>36</v>
      </c>
      <c r="H76" s="0" t="n">
        <v>36</v>
      </c>
    </row>
    <row r="77" customFormat="false" ht="15" hidden="false" customHeight="false" outlineLevel="0" collapsed="false">
      <c r="A77" s="0" t="n">
        <v>75</v>
      </c>
      <c r="B77" s="0" t="n">
        <v>76</v>
      </c>
      <c r="C77" s="0" t="n">
        <v>0.1515</v>
      </c>
      <c r="D77" s="0" t="n">
        <v>0.74</v>
      </c>
      <c r="E77" s="0" t="n">
        <v>0.1343</v>
      </c>
      <c r="F77" s="0" t="n">
        <v>2</v>
      </c>
      <c r="G77" s="0" t="n">
        <v>92</v>
      </c>
      <c r="H77" s="0" t="n">
        <v>94</v>
      </c>
    </row>
    <row r="78" customFormat="false" ht="15" hidden="false" customHeight="false" outlineLevel="0" collapsed="false">
      <c r="A78" s="0" t="n">
        <v>76</v>
      </c>
      <c r="B78" s="0" t="n">
        <v>77</v>
      </c>
      <c r="C78" s="0" t="n">
        <v>0.1515</v>
      </c>
      <c r="D78" s="0" t="n">
        <v>0.69</v>
      </c>
      <c r="E78" s="0" t="n">
        <v>0.1642</v>
      </c>
      <c r="F78" s="0" t="n">
        <v>2</v>
      </c>
      <c r="G78" s="0" t="n">
        <v>177</v>
      </c>
      <c r="H78" s="0" t="n">
        <v>179</v>
      </c>
    </row>
    <row r="79" customFormat="false" ht="15" hidden="false" customHeight="false" outlineLevel="0" collapsed="false">
      <c r="A79" s="0" t="n">
        <v>77</v>
      </c>
      <c r="B79" s="0" t="n">
        <v>78</v>
      </c>
      <c r="C79" s="0" t="n">
        <v>0.1515</v>
      </c>
      <c r="D79" s="0" t="n">
        <v>0.64</v>
      </c>
      <c r="E79" s="0" t="n">
        <v>0.2239</v>
      </c>
      <c r="F79" s="0" t="n">
        <v>2</v>
      </c>
      <c r="G79" s="0" t="n">
        <v>98</v>
      </c>
      <c r="H79" s="0" t="n">
        <v>100</v>
      </c>
    </row>
    <row r="80" customFormat="false" ht="15" hidden="false" customHeight="false" outlineLevel="0" collapsed="false">
      <c r="A80" s="0" t="n">
        <v>78</v>
      </c>
      <c r="B80" s="0" t="n">
        <v>79</v>
      </c>
      <c r="C80" s="0" t="n">
        <v>0.1364</v>
      </c>
      <c r="D80" s="0" t="n">
        <v>0.69</v>
      </c>
      <c r="E80" s="0" t="n">
        <v>0.3284</v>
      </c>
      <c r="F80" s="0" t="n">
        <v>5</v>
      </c>
      <c r="G80" s="0" t="n">
        <v>37</v>
      </c>
      <c r="H80" s="0" t="n">
        <v>42</v>
      </c>
    </row>
    <row r="81" customFormat="false" ht="15" hidden="false" customHeight="false" outlineLevel="0" collapsed="false">
      <c r="A81" s="0" t="n">
        <v>79</v>
      </c>
      <c r="B81" s="0" t="n">
        <v>80</v>
      </c>
      <c r="C81" s="0" t="n">
        <v>0.2121</v>
      </c>
      <c r="D81" s="0" t="n">
        <v>0.51</v>
      </c>
      <c r="E81" s="0" t="n">
        <v>0.2985</v>
      </c>
      <c r="F81" s="0" t="n">
        <v>7</v>
      </c>
      <c r="G81" s="0" t="n">
        <v>50</v>
      </c>
      <c r="H81" s="0" t="n">
        <v>57</v>
      </c>
    </row>
    <row r="82" customFormat="false" ht="15" hidden="false" customHeight="false" outlineLevel="0" collapsed="false">
      <c r="A82" s="0" t="n">
        <v>80</v>
      </c>
      <c r="B82" s="0" t="n">
        <v>81</v>
      </c>
      <c r="C82" s="0" t="n">
        <v>0.2273</v>
      </c>
      <c r="D82" s="0" t="n">
        <v>0.51</v>
      </c>
      <c r="E82" s="0" t="n">
        <v>0.1642</v>
      </c>
      <c r="F82" s="0" t="n">
        <v>12</v>
      </c>
      <c r="G82" s="0" t="n">
        <v>66</v>
      </c>
      <c r="H82" s="0" t="n">
        <v>78</v>
      </c>
    </row>
    <row r="83" customFormat="false" ht="15" hidden="false" customHeight="false" outlineLevel="0" collapsed="false">
      <c r="A83" s="0" t="n">
        <v>81</v>
      </c>
      <c r="B83" s="0" t="n">
        <v>82</v>
      </c>
      <c r="C83" s="0" t="n">
        <v>0.2273</v>
      </c>
      <c r="D83" s="0" t="n">
        <v>0.56</v>
      </c>
      <c r="E83" s="0" t="n">
        <v>0.194</v>
      </c>
      <c r="F83" s="0" t="n">
        <v>18</v>
      </c>
      <c r="G83" s="0" t="n">
        <v>79</v>
      </c>
      <c r="H83" s="0" t="n">
        <v>97</v>
      </c>
    </row>
    <row r="84" customFormat="false" ht="15" hidden="false" customHeight="false" outlineLevel="0" collapsed="false">
      <c r="A84" s="0" t="n">
        <v>82</v>
      </c>
      <c r="B84" s="0" t="n">
        <v>83</v>
      </c>
      <c r="C84" s="0" t="n">
        <v>0.2576</v>
      </c>
      <c r="D84" s="0" t="n">
        <v>0.52</v>
      </c>
      <c r="E84" s="0" t="n">
        <v>0.2239</v>
      </c>
      <c r="F84" s="0" t="n">
        <v>9</v>
      </c>
      <c r="G84" s="0" t="n">
        <v>54</v>
      </c>
      <c r="H84" s="0" t="n">
        <v>63</v>
      </c>
    </row>
    <row r="85" customFormat="false" ht="15" hidden="false" customHeight="false" outlineLevel="0" collapsed="false">
      <c r="A85" s="0" t="n">
        <v>83</v>
      </c>
      <c r="B85" s="0" t="n">
        <v>84</v>
      </c>
      <c r="C85" s="0" t="n">
        <v>0.2727</v>
      </c>
      <c r="D85" s="0" t="n">
        <v>0.52</v>
      </c>
      <c r="E85" s="0" t="n">
        <v>0.2537</v>
      </c>
      <c r="F85" s="0" t="n">
        <v>17</v>
      </c>
      <c r="G85" s="0" t="n">
        <v>48</v>
      </c>
      <c r="H85" s="0" t="n">
        <v>65</v>
      </c>
    </row>
    <row r="86" customFormat="false" ht="15" hidden="false" customHeight="false" outlineLevel="0" collapsed="false">
      <c r="A86" s="0" t="n">
        <v>84</v>
      </c>
      <c r="B86" s="0" t="n">
        <v>85</v>
      </c>
      <c r="C86" s="0" t="n">
        <v>0.2879</v>
      </c>
      <c r="D86" s="0" t="n">
        <v>0.49</v>
      </c>
      <c r="E86" s="0" t="n">
        <v>0.2537</v>
      </c>
      <c r="F86" s="0" t="n">
        <v>15</v>
      </c>
      <c r="G86" s="0" t="n">
        <v>68</v>
      </c>
      <c r="H86" s="0" t="n">
        <v>83</v>
      </c>
    </row>
    <row r="87" customFormat="false" ht="15" hidden="false" customHeight="false" outlineLevel="0" collapsed="false">
      <c r="A87" s="0" t="n">
        <v>85</v>
      </c>
      <c r="B87" s="0" t="n">
        <v>86</v>
      </c>
      <c r="C87" s="0" t="n">
        <v>0.2727</v>
      </c>
      <c r="D87" s="0" t="n">
        <v>0.48</v>
      </c>
      <c r="E87" s="0" t="n">
        <v>0.2239</v>
      </c>
      <c r="F87" s="0" t="n">
        <v>10</v>
      </c>
      <c r="G87" s="0" t="n">
        <v>202</v>
      </c>
      <c r="H87" s="0" t="n">
        <v>212</v>
      </c>
    </row>
    <row r="88" customFormat="false" ht="15" hidden="false" customHeight="false" outlineLevel="0" collapsed="false">
      <c r="A88" s="0" t="n">
        <v>86</v>
      </c>
      <c r="B88" s="0" t="n">
        <v>87</v>
      </c>
      <c r="C88" s="0" t="n">
        <v>0.2576</v>
      </c>
      <c r="D88" s="0" t="n">
        <v>0.48</v>
      </c>
      <c r="E88" s="0" t="n">
        <v>0.194</v>
      </c>
      <c r="F88" s="0" t="n">
        <v>3</v>
      </c>
      <c r="G88" s="0" t="n">
        <v>179</v>
      </c>
      <c r="H88" s="0" t="n">
        <v>182</v>
      </c>
    </row>
    <row r="89" customFormat="false" ht="15" hidden="false" customHeight="false" outlineLevel="0" collapsed="false">
      <c r="A89" s="0" t="n">
        <v>87</v>
      </c>
      <c r="B89" s="0" t="n">
        <v>88</v>
      </c>
      <c r="C89" s="0" t="n">
        <v>0.2576</v>
      </c>
      <c r="D89" s="0" t="n">
        <v>0.48</v>
      </c>
      <c r="E89" s="0" t="n">
        <v>0.1045</v>
      </c>
      <c r="F89" s="0" t="n">
        <v>2</v>
      </c>
      <c r="G89" s="0" t="n">
        <v>110</v>
      </c>
      <c r="H89" s="0" t="n">
        <v>112</v>
      </c>
    </row>
    <row r="90" customFormat="false" ht="15" hidden="false" customHeight="false" outlineLevel="0" collapsed="false">
      <c r="A90" s="0" t="n">
        <v>88</v>
      </c>
      <c r="B90" s="0" t="n">
        <v>89</v>
      </c>
      <c r="C90" s="0" t="n">
        <v>0.2576</v>
      </c>
      <c r="D90" s="0" t="n">
        <v>0.48</v>
      </c>
      <c r="E90" s="0" t="n">
        <v>0.1045</v>
      </c>
      <c r="F90" s="0" t="n">
        <v>1</v>
      </c>
      <c r="G90" s="0" t="n">
        <v>53</v>
      </c>
      <c r="H90" s="0" t="n">
        <v>54</v>
      </c>
    </row>
    <row r="91" customFormat="false" ht="15" hidden="false" customHeight="false" outlineLevel="0" collapsed="false">
      <c r="A91" s="0" t="n">
        <v>89</v>
      </c>
      <c r="B91" s="0" t="n">
        <v>90</v>
      </c>
      <c r="C91" s="0" t="n">
        <v>0.2727</v>
      </c>
      <c r="D91" s="0" t="n">
        <v>0.64</v>
      </c>
      <c r="E91" s="0" t="n">
        <v>0</v>
      </c>
      <c r="F91" s="0" t="n">
        <v>0</v>
      </c>
      <c r="G91" s="0" t="n">
        <v>48</v>
      </c>
      <c r="H91" s="0" t="n">
        <v>48</v>
      </c>
    </row>
    <row r="92" customFormat="false" ht="15" hidden="false" customHeight="false" outlineLevel="0" collapsed="false">
      <c r="A92" s="0" t="n">
        <v>90</v>
      </c>
      <c r="B92" s="0" t="n">
        <v>91</v>
      </c>
      <c r="C92" s="0" t="n">
        <v>0.2576</v>
      </c>
      <c r="D92" s="0" t="n">
        <v>0.64</v>
      </c>
      <c r="E92" s="0" t="n">
        <v>0.0896</v>
      </c>
      <c r="F92" s="0" t="n">
        <v>1</v>
      </c>
      <c r="G92" s="0" t="n">
        <v>34</v>
      </c>
      <c r="H92" s="0" t="n">
        <v>35</v>
      </c>
    </row>
    <row r="93" customFormat="false" ht="15" hidden="false" customHeight="false" outlineLevel="0" collapsed="false">
      <c r="A93" s="0" t="n">
        <v>91</v>
      </c>
      <c r="B93" s="0" t="n">
        <v>92</v>
      </c>
      <c r="C93" s="0" t="n">
        <v>0.2273</v>
      </c>
      <c r="D93" s="0" t="n">
        <v>0.69</v>
      </c>
      <c r="E93" s="0" t="n">
        <v>0.0896</v>
      </c>
      <c r="F93" s="0" t="n">
        <v>2</v>
      </c>
      <c r="G93" s="0" t="n">
        <v>9</v>
      </c>
      <c r="H93" s="0" t="n">
        <v>11</v>
      </c>
    </row>
    <row r="94" customFormat="false" ht="15" hidden="false" customHeight="false" outlineLevel="0" collapsed="false">
      <c r="A94" s="0" t="n">
        <v>92</v>
      </c>
      <c r="B94" s="0" t="n">
        <v>93</v>
      </c>
      <c r="C94" s="0" t="n">
        <v>0.2576</v>
      </c>
      <c r="D94" s="0" t="n">
        <v>0.64</v>
      </c>
      <c r="E94" s="0" t="n">
        <v>0</v>
      </c>
      <c r="F94" s="0" t="n">
        <v>0</v>
      </c>
      <c r="G94" s="0" t="n">
        <v>6</v>
      </c>
      <c r="H94" s="0" t="n">
        <v>6</v>
      </c>
    </row>
    <row r="95" customFormat="false" ht="15" hidden="false" customHeight="false" outlineLevel="0" collapsed="false">
      <c r="A95" s="0" t="n">
        <v>93</v>
      </c>
      <c r="B95" s="0" t="n">
        <v>94</v>
      </c>
      <c r="C95" s="0" t="n">
        <v>0.197</v>
      </c>
      <c r="D95" s="0" t="n">
        <v>0.74</v>
      </c>
      <c r="E95" s="0" t="n">
        <v>0.0896</v>
      </c>
      <c r="F95" s="0" t="n">
        <v>0</v>
      </c>
      <c r="G95" s="0" t="n">
        <v>6</v>
      </c>
      <c r="H95" s="0" t="n">
        <v>6</v>
      </c>
    </row>
    <row r="96" customFormat="false" ht="15" hidden="false" customHeight="false" outlineLevel="0" collapsed="false">
      <c r="A96" s="0" t="n">
        <v>94</v>
      </c>
      <c r="B96" s="0" t="n">
        <v>95</v>
      </c>
      <c r="C96" s="0" t="n">
        <v>0.197</v>
      </c>
      <c r="D96" s="0" t="n">
        <v>0.74</v>
      </c>
      <c r="E96" s="0" t="n">
        <v>0.0896</v>
      </c>
      <c r="F96" s="0" t="n">
        <v>0</v>
      </c>
      <c r="G96" s="0" t="n">
        <v>2</v>
      </c>
      <c r="H96" s="0" t="n">
        <v>2</v>
      </c>
    </row>
    <row r="97" customFormat="false" ht="15" hidden="false" customHeight="false" outlineLevel="0" collapsed="false">
      <c r="A97" s="0" t="n">
        <v>95</v>
      </c>
      <c r="B97" s="0" t="n">
        <v>96</v>
      </c>
      <c r="C97" s="0" t="n">
        <v>0.2273</v>
      </c>
      <c r="D97" s="0" t="n">
        <v>0.48</v>
      </c>
      <c r="E97" s="0" t="n">
        <v>0.2239</v>
      </c>
      <c r="F97" s="0" t="n">
        <v>0</v>
      </c>
      <c r="G97" s="0" t="n">
        <v>2</v>
      </c>
      <c r="H97" s="0" t="n">
        <v>2</v>
      </c>
    </row>
    <row r="98" customFormat="false" ht="15" hidden="false" customHeight="false" outlineLevel="0" collapsed="false">
      <c r="A98" s="0" t="n">
        <v>96</v>
      </c>
      <c r="B98" s="0" t="n">
        <v>97</v>
      </c>
      <c r="C98" s="0" t="n">
        <v>0.2273</v>
      </c>
      <c r="D98" s="0" t="n">
        <v>0.47</v>
      </c>
      <c r="E98" s="0" t="n">
        <v>0.1642</v>
      </c>
      <c r="F98" s="0" t="n">
        <v>0</v>
      </c>
      <c r="G98" s="0" t="n">
        <v>3</v>
      </c>
      <c r="H98" s="0" t="n">
        <v>3</v>
      </c>
    </row>
    <row r="99" customFormat="false" ht="15" hidden="false" customHeight="false" outlineLevel="0" collapsed="false">
      <c r="A99" s="0" t="n">
        <v>97</v>
      </c>
      <c r="B99" s="0" t="n">
        <v>98</v>
      </c>
      <c r="C99" s="0" t="n">
        <v>0.197</v>
      </c>
      <c r="D99" s="0" t="n">
        <v>0.47</v>
      </c>
      <c r="E99" s="0" t="n">
        <v>0.2239</v>
      </c>
      <c r="F99" s="0" t="n">
        <v>0</v>
      </c>
      <c r="G99" s="0" t="n">
        <v>33</v>
      </c>
      <c r="H99" s="0" t="n">
        <v>33</v>
      </c>
    </row>
    <row r="100" customFormat="false" ht="15" hidden="false" customHeight="false" outlineLevel="0" collapsed="false">
      <c r="A100" s="0" t="n">
        <v>98</v>
      </c>
      <c r="B100" s="0" t="n">
        <v>99</v>
      </c>
      <c r="C100" s="0" t="n">
        <v>0.1818</v>
      </c>
      <c r="D100" s="0" t="n">
        <v>0.43</v>
      </c>
      <c r="E100" s="0" t="n">
        <v>0.194</v>
      </c>
      <c r="F100" s="0" t="n">
        <v>1</v>
      </c>
      <c r="G100" s="0" t="n">
        <v>87</v>
      </c>
      <c r="H100" s="0" t="n">
        <v>88</v>
      </c>
    </row>
    <row r="101" customFormat="false" ht="15" hidden="false" customHeight="false" outlineLevel="0" collapsed="false">
      <c r="A101" s="0" t="n">
        <v>99</v>
      </c>
      <c r="B101" s="0" t="n">
        <v>100</v>
      </c>
      <c r="C101" s="0" t="n">
        <v>0.1818</v>
      </c>
      <c r="D101" s="0" t="n">
        <v>0.4</v>
      </c>
      <c r="E101" s="0" t="n">
        <v>0.2985</v>
      </c>
      <c r="F101" s="0" t="n">
        <v>3</v>
      </c>
      <c r="G101" s="0" t="n">
        <v>192</v>
      </c>
      <c r="H101" s="0" t="n">
        <v>195</v>
      </c>
    </row>
    <row r="102" customFormat="false" ht="15" hidden="false" customHeight="false" outlineLevel="0" collapsed="false">
      <c r="A102" s="0" t="n">
        <v>100</v>
      </c>
      <c r="B102" s="0" t="n">
        <v>101</v>
      </c>
      <c r="C102" s="0" t="n">
        <v>0.197</v>
      </c>
      <c r="D102" s="0" t="n">
        <v>0.37</v>
      </c>
      <c r="E102" s="0" t="n">
        <v>0.3284</v>
      </c>
      <c r="F102" s="0" t="n">
        <v>6</v>
      </c>
      <c r="G102" s="0" t="n">
        <v>109</v>
      </c>
      <c r="H102" s="0" t="n">
        <v>115</v>
      </c>
    </row>
    <row r="103" customFormat="false" ht="15" hidden="false" customHeight="false" outlineLevel="0" collapsed="false">
      <c r="A103" s="0" t="n">
        <v>101</v>
      </c>
      <c r="B103" s="0" t="n">
        <v>102</v>
      </c>
      <c r="C103" s="0" t="n">
        <v>0.197</v>
      </c>
      <c r="D103" s="0" t="n">
        <v>0.37</v>
      </c>
      <c r="E103" s="0" t="n">
        <v>0.3284</v>
      </c>
      <c r="F103" s="0" t="n">
        <v>4</v>
      </c>
      <c r="G103" s="0" t="n">
        <v>53</v>
      </c>
      <c r="H103" s="0" t="n">
        <v>57</v>
      </c>
    </row>
    <row r="104" customFormat="false" ht="15" hidden="false" customHeight="false" outlineLevel="0" collapsed="false">
      <c r="A104" s="0" t="n">
        <v>102</v>
      </c>
      <c r="B104" s="0" t="n">
        <v>103</v>
      </c>
      <c r="C104" s="0" t="n">
        <v>0.2273</v>
      </c>
      <c r="D104" s="0" t="n">
        <v>0.33</v>
      </c>
      <c r="E104" s="0" t="n">
        <v>0.3284</v>
      </c>
      <c r="F104" s="0" t="n">
        <v>12</v>
      </c>
      <c r="G104" s="0" t="n">
        <v>34</v>
      </c>
      <c r="H104" s="0" t="n">
        <v>46</v>
      </c>
    </row>
    <row r="105" customFormat="false" ht="15" hidden="false" customHeight="false" outlineLevel="0" collapsed="false">
      <c r="A105" s="0" t="n">
        <v>103</v>
      </c>
      <c r="B105" s="0" t="n">
        <v>104</v>
      </c>
      <c r="C105" s="0" t="n">
        <v>0.2273</v>
      </c>
      <c r="D105" s="0" t="n">
        <v>0.33</v>
      </c>
      <c r="E105" s="0" t="n">
        <v>0.3284</v>
      </c>
      <c r="F105" s="0" t="n">
        <v>5</v>
      </c>
      <c r="G105" s="0" t="n">
        <v>74</v>
      </c>
      <c r="H105" s="0" t="n">
        <v>79</v>
      </c>
    </row>
    <row r="106" customFormat="false" ht="15" hidden="false" customHeight="false" outlineLevel="0" collapsed="false">
      <c r="A106" s="0" t="n">
        <v>104</v>
      </c>
      <c r="B106" s="0" t="n">
        <v>105</v>
      </c>
      <c r="C106" s="0" t="n">
        <v>0.2576</v>
      </c>
      <c r="D106" s="0" t="n">
        <v>0.3</v>
      </c>
      <c r="E106" s="0" t="n">
        <v>0.2985</v>
      </c>
      <c r="F106" s="0" t="n">
        <v>6</v>
      </c>
      <c r="G106" s="0" t="n">
        <v>65</v>
      </c>
      <c r="H106" s="0" t="n">
        <v>71</v>
      </c>
    </row>
    <row r="107" customFormat="false" ht="15" hidden="false" customHeight="false" outlineLevel="0" collapsed="false">
      <c r="A107" s="0" t="n">
        <v>105</v>
      </c>
      <c r="B107" s="0" t="n">
        <v>106</v>
      </c>
      <c r="C107" s="0" t="n">
        <v>0.2879</v>
      </c>
      <c r="D107" s="0" t="n">
        <v>0.28</v>
      </c>
      <c r="E107" s="0" t="n">
        <v>0.194</v>
      </c>
      <c r="F107" s="0" t="n">
        <v>10</v>
      </c>
      <c r="G107" s="0" t="n">
        <v>52</v>
      </c>
      <c r="H107" s="0" t="n">
        <v>62</v>
      </c>
    </row>
    <row r="108" customFormat="false" ht="15" hidden="false" customHeight="false" outlineLevel="0" collapsed="false">
      <c r="A108" s="0" t="n">
        <v>106</v>
      </c>
      <c r="B108" s="0" t="n">
        <v>107</v>
      </c>
      <c r="C108" s="0" t="n">
        <v>0.2879</v>
      </c>
      <c r="D108" s="0" t="n">
        <v>0.28</v>
      </c>
      <c r="E108" s="0" t="n">
        <v>0.194</v>
      </c>
      <c r="F108" s="0" t="n">
        <v>7</v>
      </c>
      <c r="G108" s="0" t="n">
        <v>55</v>
      </c>
      <c r="H108" s="0" t="n">
        <v>62</v>
      </c>
    </row>
    <row r="109" customFormat="false" ht="15" hidden="false" customHeight="false" outlineLevel="0" collapsed="false">
      <c r="A109" s="0" t="n">
        <v>107</v>
      </c>
      <c r="B109" s="0" t="n">
        <v>108</v>
      </c>
      <c r="C109" s="0" t="n">
        <v>0.3182</v>
      </c>
      <c r="D109" s="0" t="n">
        <v>0.28</v>
      </c>
      <c r="E109" s="0" t="n">
        <v>0.0896</v>
      </c>
      <c r="F109" s="0" t="n">
        <v>4</v>
      </c>
      <c r="G109" s="0" t="n">
        <v>85</v>
      </c>
      <c r="H109" s="0" t="n">
        <v>89</v>
      </c>
    </row>
    <row r="110" customFormat="false" ht="15" hidden="false" customHeight="false" outlineLevel="0" collapsed="false">
      <c r="A110" s="0" t="n">
        <v>108</v>
      </c>
      <c r="B110" s="0" t="n">
        <v>109</v>
      </c>
      <c r="C110" s="0" t="n">
        <v>0.2273</v>
      </c>
      <c r="D110" s="0" t="n">
        <v>0.38</v>
      </c>
      <c r="E110" s="0" t="n">
        <v>0.194</v>
      </c>
      <c r="F110" s="0" t="n">
        <v>4</v>
      </c>
      <c r="G110" s="0" t="n">
        <v>186</v>
      </c>
      <c r="H110" s="0" t="n">
        <v>190</v>
      </c>
    </row>
    <row r="111" customFormat="false" ht="15" hidden="false" customHeight="false" outlineLevel="0" collapsed="false">
      <c r="A111" s="0" t="n">
        <v>109</v>
      </c>
      <c r="B111" s="0" t="n">
        <v>110</v>
      </c>
      <c r="C111" s="0" t="n">
        <v>0.2424</v>
      </c>
      <c r="D111" s="0" t="n">
        <v>0.38</v>
      </c>
      <c r="E111" s="0" t="n">
        <v>0.1343</v>
      </c>
      <c r="F111" s="0" t="n">
        <v>3</v>
      </c>
      <c r="G111" s="0" t="n">
        <v>166</v>
      </c>
      <c r="H111" s="0" t="n">
        <v>169</v>
      </c>
    </row>
    <row r="112" customFormat="false" ht="15" hidden="false" customHeight="false" outlineLevel="0" collapsed="false">
      <c r="A112" s="0" t="n">
        <v>110</v>
      </c>
      <c r="B112" s="0" t="n">
        <v>111</v>
      </c>
      <c r="C112" s="0" t="n">
        <v>0.2576</v>
      </c>
      <c r="D112" s="0" t="n">
        <v>0.38</v>
      </c>
      <c r="E112" s="0" t="n">
        <v>0.1045</v>
      </c>
      <c r="F112" s="0" t="n">
        <v>5</v>
      </c>
      <c r="G112" s="0" t="n">
        <v>127</v>
      </c>
      <c r="H112" s="0" t="n">
        <v>132</v>
      </c>
    </row>
    <row r="113" customFormat="false" ht="15" hidden="false" customHeight="false" outlineLevel="0" collapsed="false">
      <c r="A113" s="0" t="n">
        <v>111</v>
      </c>
      <c r="B113" s="0" t="n">
        <v>112</v>
      </c>
      <c r="C113" s="0" t="n">
        <v>0.2273</v>
      </c>
      <c r="D113" s="0" t="n">
        <v>0.47</v>
      </c>
      <c r="E113" s="0" t="n">
        <v>0.1642</v>
      </c>
      <c r="F113" s="0" t="n">
        <v>7</v>
      </c>
      <c r="G113" s="0" t="n">
        <v>82</v>
      </c>
      <c r="H113" s="0" t="n">
        <v>89</v>
      </c>
    </row>
    <row r="114" customFormat="false" ht="15" hidden="false" customHeight="false" outlineLevel="0" collapsed="false">
      <c r="A114" s="0" t="n">
        <v>112</v>
      </c>
      <c r="B114" s="0" t="n">
        <v>113</v>
      </c>
      <c r="C114" s="0" t="n">
        <v>0.197</v>
      </c>
      <c r="D114" s="0" t="n">
        <v>0.51</v>
      </c>
      <c r="E114" s="0" t="n">
        <v>0.194</v>
      </c>
      <c r="F114" s="0" t="n">
        <v>3</v>
      </c>
      <c r="G114" s="0" t="n">
        <v>40</v>
      </c>
      <c r="H114" s="0" t="n">
        <v>43</v>
      </c>
    </row>
    <row r="115" customFormat="false" ht="15" hidden="false" customHeight="false" outlineLevel="0" collapsed="false">
      <c r="A115" s="0" t="n">
        <v>113</v>
      </c>
      <c r="B115" s="0" t="n">
        <v>114</v>
      </c>
      <c r="C115" s="0" t="n">
        <v>0.197</v>
      </c>
      <c r="D115" s="0" t="n">
        <v>0.55</v>
      </c>
      <c r="E115" s="0" t="n">
        <v>0.1343</v>
      </c>
      <c r="F115" s="0" t="n">
        <v>1</v>
      </c>
      <c r="G115" s="0" t="n">
        <v>41</v>
      </c>
      <c r="H115" s="0" t="n">
        <v>42</v>
      </c>
    </row>
    <row r="116" customFormat="false" ht="15" hidden="false" customHeight="false" outlineLevel="0" collapsed="false">
      <c r="A116" s="0" t="n">
        <v>114</v>
      </c>
      <c r="B116" s="0" t="n">
        <v>115</v>
      </c>
      <c r="C116" s="0" t="n">
        <v>0.2576</v>
      </c>
      <c r="D116" s="0" t="n">
        <v>0.47</v>
      </c>
      <c r="E116" s="0" t="n">
        <v>0</v>
      </c>
      <c r="F116" s="0" t="n">
        <v>1</v>
      </c>
      <c r="G116" s="0" t="n">
        <v>18</v>
      </c>
      <c r="H116" s="0" t="n">
        <v>19</v>
      </c>
    </row>
    <row r="117" customFormat="false" ht="15" hidden="false" customHeight="false" outlineLevel="0" collapsed="false">
      <c r="A117" s="0" t="n">
        <v>115</v>
      </c>
      <c r="B117" s="0" t="n">
        <v>116</v>
      </c>
      <c r="C117" s="0" t="n">
        <v>0.2424</v>
      </c>
      <c r="D117" s="0" t="n">
        <v>0.55</v>
      </c>
      <c r="E117" s="0" t="n">
        <v>0</v>
      </c>
      <c r="F117" s="0" t="n">
        <v>0</v>
      </c>
      <c r="G117" s="0" t="n">
        <v>11</v>
      </c>
      <c r="H117" s="0" t="n">
        <v>11</v>
      </c>
    </row>
    <row r="118" customFormat="false" ht="15" hidden="false" customHeight="false" outlineLevel="0" collapsed="false">
      <c r="A118" s="0" t="n">
        <v>116</v>
      </c>
      <c r="B118" s="0" t="n">
        <v>117</v>
      </c>
      <c r="C118" s="0" t="n">
        <v>0.2273</v>
      </c>
      <c r="D118" s="0" t="n">
        <v>0.64</v>
      </c>
      <c r="E118" s="0" t="n">
        <v>0</v>
      </c>
      <c r="F118" s="0" t="n">
        <v>0</v>
      </c>
      <c r="G118" s="0" t="n">
        <v>4</v>
      </c>
      <c r="H118" s="0" t="n">
        <v>4</v>
      </c>
    </row>
    <row r="119" customFormat="false" ht="15" hidden="false" customHeight="false" outlineLevel="0" collapsed="false">
      <c r="A119" s="0" t="n">
        <v>117</v>
      </c>
      <c r="B119" s="0" t="n">
        <v>118</v>
      </c>
      <c r="C119" s="0" t="n">
        <v>0.2273</v>
      </c>
      <c r="D119" s="0" t="n">
        <v>0.64</v>
      </c>
      <c r="E119" s="0" t="n">
        <v>0</v>
      </c>
      <c r="F119" s="0" t="n">
        <v>0</v>
      </c>
      <c r="G119" s="0" t="n">
        <v>2</v>
      </c>
      <c r="H119" s="0" t="n">
        <v>2</v>
      </c>
    </row>
    <row r="120" customFormat="false" ht="15" hidden="false" customHeight="false" outlineLevel="0" collapsed="false">
      <c r="A120" s="0" t="n">
        <v>118</v>
      </c>
      <c r="B120" s="0" t="n">
        <v>119</v>
      </c>
      <c r="C120" s="0" t="n">
        <v>0.197</v>
      </c>
      <c r="D120" s="0" t="n">
        <v>0.64</v>
      </c>
      <c r="E120" s="0" t="n">
        <v>0.0896</v>
      </c>
      <c r="F120" s="0" t="n">
        <v>0</v>
      </c>
      <c r="G120" s="0" t="n">
        <v>1</v>
      </c>
      <c r="H120" s="0" t="n">
        <v>1</v>
      </c>
    </row>
    <row r="121" customFormat="false" ht="15" hidden="false" customHeight="false" outlineLevel="0" collapsed="false">
      <c r="A121" s="0" t="n">
        <v>119</v>
      </c>
      <c r="B121" s="0" t="n">
        <v>120</v>
      </c>
      <c r="C121" s="0" t="n">
        <v>0.1818</v>
      </c>
      <c r="D121" s="0" t="n">
        <v>0.69</v>
      </c>
      <c r="E121" s="0" t="n">
        <v>0.0896</v>
      </c>
      <c r="F121" s="0" t="n">
        <v>0</v>
      </c>
      <c r="G121" s="0" t="n">
        <v>4</v>
      </c>
      <c r="H121" s="0" t="n">
        <v>4</v>
      </c>
    </row>
    <row r="122" customFormat="false" ht="15" hidden="false" customHeight="false" outlineLevel="0" collapsed="false">
      <c r="A122" s="0" t="n">
        <v>120</v>
      </c>
      <c r="B122" s="0" t="n">
        <v>121</v>
      </c>
      <c r="C122" s="0" t="n">
        <v>0.1667</v>
      </c>
      <c r="D122" s="0" t="n">
        <v>0.63</v>
      </c>
      <c r="E122" s="0" t="n">
        <v>0.1045</v>
      </c>
      <c r="F122" s="0" t="n">
        <v>0</v>
      </c>
      <c r="G122" s="0" t="n">
        <v>36</v>
      </c>
      <c r="H122" s="0" t="n">
        <v>36</v>
      </c>
    </row>
    <row r="123" customFormat="false" ht="15" hidden="false" customHeight="false" outlineLevel="0" collapsed="false">
      <c r="A123" s="0" t="n">
        <v>121</v>
      </c>
      <c r="B123" s="0" t="n">
        <v>122</v>
      </c>
      <c r="C123" s="0" t="n">
        <v>0.2273</v>
      </c>
      <c r="D123" s="0" t="n">
        <v>0.59</v>
      </c>
      <c r="E123" s="0" t="n">
        <v>0</v>
      </c>
      <c r="F123" s="0" t="n">
        <v>0</v>
      </c>
      <c r="G123" s="0" t="n">
        <v>95</v>
      </c>
      <c r="H123" s="0" t="n">
        <v>95</v>
      </c>
    </row>
    <row r="124" customFormat="false" ht="15" hidden="false" customHeight="false" outlineLevel="0" collapsed="false">
      <c r="A124" s="0" t="n">
        <v>122</v>
      </c>
      <c r="B124" s="0" t="n">
        <v>123</v>
      </c>
      <c r="C124" s="0" t="n">
        <v>0.2273</v>
      </c>
      <c r="D124" s="0" t="n">
        <v>0.59</v>
      </c>
      <c r="E124" s="0" t="n">
        <v>0</v>
      </c>
      <c r="F124" s="0" t="n">
        <v>3</v>
      </c>
      <c r="G124" s="0" t="n">
        <v>216</v>
      </c>
      <c r="H124" s="0" t="n">
        <v>219</v>
      </c>
    </row>
    <row r="125" customFormat="false" ht="15" hidden="false" customHeight="false" outlineLevel="0" collapsed="false">
      <c r="A125" s="0" t="n">
        <v>123</v>
      </c>
      <c r="B125" s="0" t="n">
        <v>124</v>
      </c>
      <c r="C125" s="0" t="n">
        <v>0.2424</v>
      </c>
      <c r="D125" s="0" t="n">
        <v>0.51</v>
      </c>
      <c r="E125" s="0" t="n">
        <v>0</v>
      </c>
      <c r="F125" s="0" t="n">
        <v>6</v>
      </c>
      <c r="G125" s="0" t="n">
        <v>116</v>
      </c>
      <c r="H125" s="0" t="n">
        <v>122</v>
      </c>
    </row>
    <row r="126" customFormat="false" ht="15" hidden="false" customHeight="false" outlineLevel="0" collapsed="false">
      <c r="A126" s="0" t="n">
        <v>124</v>
      </c>
      <c r="B126" s="0" t="n">
        <v>125</v>
      </c>
      <c r="C126" s="0" t="n">
        <v>0.2576</v>
      </c>
      <c r="D126" s="0" t="n">
        <v>0.47</v>
      </c>
      <c r="E126" s="0" t="n">
        <v>0</v>
      </c>
      <c r="F126" s="0" t="n">
        <v>3</v>
      </c>
      <c r="G126" s="0" t="n">
        <v>42</v>
      </c>
      <c r="H126" s="0" t="n">
        <v>45</v>
      </c>
    </row>
    <row r="127" customFormat="false" ht="15" hidden="false" customHeight="false" outlineLevel="0" collapsed="false">
      <c r="A127" s="0" t="n">
        <v>125</v>
      </c>
      <c r="B127" s="0" t="n">
        <v>126</v>
      </c>
      <c r="C127" s="0" t="n">
        <v>0.2576</v>
      </c>
      <c r="D127" s="0" t="n">
        <v>0.44</v>
      </c>
      <c r="E127" s="0" t="n">
        <v>0.0896</v>
      </c>
      <c r="F127" s="0" t="n">
        <v>2</v>
      </c>
      <c r="G127" s="0" t="n">
        <v>57</v>
      </c>
      <c r="H127" s="0" t="n">
        <v>59</v>
      </c>
    </row>
    <row r="128" customFormat="false" ht="15" hidden="false" customHeight="false" outlineLevel="0" collapsed="false">
      <c r="A128" s="0" t="n">
        <v>126</v>
      </c>
      <c r="B128" s="0" t="n">
        <v>127</v>
      </c>
      <c r="C128" s="0" t="n">
        <v>0.2879</v>
      </c>
      <c r="D128" s="0" t="n">
        <v>0.35</v>
      </c>
      <c r="E128" s="0" t="n">
        <v>0</v>
      </c>
      <c r="F128" s="0" t="n">
        <v>6</v>
      </c>
      <c r="G128" s="0" t="n">
        <v>78</v>
      </c>
      <c r="H128" s="0" t="n">
        <v>84</v>
      </c>
    </row>
    <row r="129" customFormat="false" ht="15" hidden="false" customHeight="false" outlineLevel="0" collapsed="false">
      <c r="A129" s="0" t="n">
        <v>127</v>
      </c>
      <c r="B129" s="0" t="n">
        <v>128</v>
      </c>
      <c r="C129" s="0" t="n">
        <v>0.2727</v>
      </c>
      <c r="D129" s="0" t="n">
        <v>0.35</v>
      </c>
      <c r="E129" s="0" t="n">
        <v>0.1045</v>
      </c>
      <c r="F129" s="0" t="n">
        <v>12</v>
      </c>
      <c r="G129" s="0" t="n">
        <v>55</v>
      </c>
      <c r="H129" s="0" t="n">
        <v>67</v>
      </c>
    </row>
    <row r="130" customFormat="false" ht="15" hidden="false" customHeight="false" outlineLevel="0" collapsed="false">
      <c r="A130" s="0" t="n">
        <v>128</v>
      </c>
      <c r="B130" s="0" t="n">
        <v>129</v>
      </c>
      <c r="C130" s="0" t="n">
        <v>0.2727</v>
      </c>
      <c r="D130" s="0" t="n">
        <v>0.36</v>
      </c>
      <c r="E130" s="0" t="n">
        <v>0.1642</v>
      </c>
      <c r="F130" s="0" t="n">
        <v>11</v>
      </c>
      <c r="G130" s="0" t="n">
        <v>59</v>
      </c>
      <c r="H130" s="0" t="n">
        <v>70</v>
      </c>
    </row>
    <row r="131" customFormat="false" ht="15" hidden="false" customHeight="false" outlineLevel="0" collapsed="false">
      <c r="A131" s="0" t="n">
        <v>129</v>
      </c>
      <c r="B131" s="0" t="n">
        <v>130</v>
      </c>
      <c r="C131" s="0" t="n">
        <v>0.2727</v>
      </c>
      <c r="D131" s="0" t="n">
        <v>0.36</v>
      </c>
      <c r="E131" s="0" t="n">
        <v>0</v>
      </c>
      <c r="F131" s="0" t="n">
        <v>8</v>
      </c>
      <c r="G131" s="0" t="n">
        <v>54</v>
      </c>
      <c r="H131" s="0" t="n">
        <v>62</v>
      </c>
    </row>
    <row r="132" customFormat="false" ht="15" hidden="false" customHeight="false" outlineLevel="0" collapsed="false">
      <c r="A132" s="0" t="n">
        <v>130</v>
      </c>
      <c r="B132" s="0" t="n">
        <v>131</v>
      </c>
      <c r="C132" s="0" t="n">
        <v>0.2576</v>
      </c>
      <c r="D132" s="0" t="n">
        <v>0.38</v>
      </c>
      <c r="E132" s="0" t="n">
        <v>0.1642</v>
      </c>
      <c r="F132" s="0" t="n">
        <v>12</v>
      </c>
      <c r="G132" s="0" t="n">
        <v>74</v>
      </c>
      <c r="H132" s="0" t="n">
        <v>86</v>
      </c>
    </row>
    <row r="133" customFormat="false" ht="15" hidden="false" customHeight="false" outlineLevel="0" collapsed="false">
      <c r="A133" s="0" t="n">
        <v>131</v>
      </c>
      <c r="B133" s="0" t="n">
        <v>132</v>
      </c>
      <c r="C133" s="0" t="n">
        <v>0.2273</v>
      </c>
      <c r="D133" s="0" t="n">
        <v>0.51</v>
      </c>
      <c r="E133" s="0" t="n">
        <v>0.1642</v>
      </c>
      <c r="F133" s="0" t="n">
        <v>9</v>
      </c>
      <c r="G133" s="0" t="n">
        <v>163</v>
      </c>
      <c r="H133" s="0" t="n">
        <v>172</v>
      </c>
    </row>
    <row r="134" customFormat="false" ht="15" hidden="false" customHeight="false" outlineLevel="0" collapsed="false">
      <c r="A134" s="0" t="n">
        <v>132</v>
      </c>
      <c r="B134" s="0" t="n">
        <v>133</v>
      </c>
      <c r="C134" s="0" t="n">
        <v>0.2273</v>
      </c>
      <c r="D134" s="0" t="n">
        <v>0.51</v>
      </c>
      <c r="E134" s="0" t="n">
        <v>0.1343</v>
      </c>
      <c r="F134" s="0" t="n">
        <v>5</v>
      </c>
      <c r="G134" s="0" t="n">
        <v>158</v>
      </c>
      <c r="H134" s="0" t="n">
        <v>163</v>
      </c>
    </row>
    <row r="135" customFormat="false" ht="15" hidden="false" customHeight="false" outlineLevel="0" collapsed="false">
      <c r="A135" s="0" t="n">
        <v>133</v>
      </c>
      <c r="B135" s="0" t="n">
        <v>134</v>
      </c>
      <c r="C135" s="0" t="n">
        <v>0.2576</v>
      </c>
      <c r="D135" s="0" t="n">
        <v>0.55</v>
      </c>
      <c r="E135" s="0" t="n">
        <v>0.0896</v>
      </c>
      <c r="F135" s="0" t="n">
        <v>3</v>
      </c>
      <c r="G135" s="0" t="n">
        <v>109</v>
      </c>
      <c r="H135" s="0" t="n">
        <v>112</v>
      </c>
    </row>
    <row r="136" customFormat="false" ht="15" hidden="false" customHeight="false" outlineLevel="0" collapsed="false">
      <c r="A136" s="0" t="n">
        <v>134</v>
      </c>
      <c r="B136" s="0" t="n">
        <v>135</v>
      </c>
      <c r="C136" s="0" t="n">
        <v>0.2121</v>
      </c>
      <c r="D136" s="0" t="n">
        <v>0.51</v>
      </c>
      <c r="E136" s="0" t="n">
        <v>0.1642</v>
      </c>
      <c r="F136" s="0" t="n">
        <v>3</v>
      </c>
      <c r="G136" s="0" t="n">
        <v>66</v>
      </c>
      <c r="H136" s="0" t="n">
        <v>69</v>
      </c>
    </row>
    <row r="137" customFormat="false" ht="15" hidden="false" customHeight="false" outlineLevel="0" collapsed="false">
      <c r="A137" s="0" t="n">
        <v>135</v>
      </c>
      <c r="B137" s="0" t="n">
        <v>136</v>
      </c>
      <c r="C137" s="0" t="n">
        <v>0.2121</v>
      </c>
      <c r="D137" s="0" t="n">
        <v>0.55</v>
      </c>
      <c r="E137" s="0" t="n">
        <v>0.2239</v>
      </c>
      <c r="F137" s="0" t="n">
        <v>0</v>
      </c>
      <c r="G137" s="0" t="n">
        <v>48</v>
      </c>
      <c r="H137" s="0" t="n">
        <v>48</v>
      </c>
    </row>
    <row r="138" customFormat="false" ht="15" hidden="false" customHeight="false" outlineLevel="0" collapsed="false">
      <c r="A138" s="0" t="n">
        <v>136</v>
      </c>
      <c r="B138" s="0" t="n">
        <v>137</v>
      </c>
      <c r="C138" s="0" t="n">
        <v>0.2121</v>
      </c>
      <c r="D138" s="0" t="n">
        <v>0.51</v>
      </c>
      <c r="E138" s="0" t="n">
        <v>0.2836</v>
      </c>
      <c r="F138" s="0" t="n">
        <v>1</v>
      </c>
      <c r="G138" s="0" t="n">
        <v>51</v>
      </c>
      <c r="H138" s="0" t="n">
        <v>52</v>
      </c>
    </row>
    <row r="139" customFormat="false" ht="15" hidden="false" customHeight="false" outlineLevel="0" collapsed="false">
      <c r="A139" s="0" t="n">
        <v>137</v>
      </c>
      <c r="B139" s="0" t="n">
        <v>138</v>
      </c>
      <c r="C139" s="0" t="n">
        <v>0.197</v>
      </c>
      <c r="D139" s="0" t="n">
        <v>0.59</v>
      </c>
      <c r="E139" s="0" t="n">
        <v>0.194</v>
      </c>
      <c r="F139" s="0" t="n">
        <v>4</v>
      </c>
      <c r="G139" s="0" t="n">
        <v>19</v>
      </c>
      <c r="H139" s="0" t="n">
        <v>23</v>
      </c>
    </row>
    <row r="140" customFormat="false" ht="15" hidden="false" customHeight="false" outlineLevel="0" collapsed="false">
      <c r="A140" s="0" t="n">
        <v>138</v>
      </c>
      <c r="B140" s="0" t="n">
        <v>139</v>
      </c>
      <c r="C140" s="0" t="n">
        <v>0.197</v>
      </c>
      <c r="D140" s="0" t="n">
        <v>0.64</v>
      </c>
      <c r="E140" s="0" t="n">
        <v>0.194</v>
      </c>
      <c r="F140" s="0" t="n">
        <v>4</v>
      </c>
      <c r="G140" s="0" t="n">
        <v>13</v>
      </c>
      <c r="H140" s="0" t="n">
        <v>17</v>
      </c>
    </row>
    <row r="141" customFormat="false" ht="15" hidden="false" customHeight="false" outlineLevel="0" collapsed="false">
      <c r="A141" s="0" t="n">
        <v>139</v>
      </c>
      <c r="B141" s="0" t="n">
        <v>140</v>
      </c>
      <c r="C141" s="0" t="n">
        <v>0.197</v>
      </c>
      <c r="D141" s="0" t="n">
        <v>0.69</v>
      </c>
      <c r="E141" s="0" t="n">
        <v>0.2239</v>
      </c>
      <c r="F141" s="0" t="n">
        <v>2</v>
      </c>
      <c r="G141" s="0" t="n">
        <v>5</v>
      </c>
      <c r="H141" s="0" t="n">
        <v>7</v>
      </c>
    </row>
    <row r="142" customFormat="false" ht="15" hidden="false" customHeight="false" outlineLevel="0" collapsed="false">
      <c r="A142" s="0" t="n">
        <v>140</v>
      </c>
      <c r="B142" s="0" t="n">
        <v>141</v>
      </c>
      <c r="C142" s="0" t="n">
        <v>0.197</v>
      </c>
      <c r="D142" s="0" t="n">
        <v>0.69</v>
      </c>
      <c r="E142" s="0" t="n">
        <v>0.2239</v>
      </c>
      <c r="F142" s="0" t="n">
        <v>0</v>
      </c>
      <c r="G142" s="0" t="n">
        <v>1</v>
      </c>
      <c r="H142" s="0" t="n">
        <v>1</v>
      </c>
    </row>
    <row r="143" customFormat="false" ht="15" hidden="false" customHeight="false" outlineLevel="0" collapsed="false">
      <c r="A143" s="0" t="n">
        <v>141</v>
      </c>
      <c r="B143" s="0" t="n">
        <v>142</v>
      </c>
      <c r="C143" s="0" t="n">
        <v>0.2121</v>
      </c>
      <c r="D143" s="0" t="n">
        <v>0.69</v>
      </c>
      <c r="E143" s="0" t="n">
        <v>0.1343</v>
      </c>
      <c r="F143" s="0" t="n">
        <v>0</v>
      </c>
      <c r="G143" s="0" t="n">
        <v>1</v>
      </c>
      <c r="H143" s="0" t="n">
        <v>1</v>
      </c>
    </row>
    <row r="144" customFormat="false" ht="15" hidden="false" customHeight="false" outlineLevel="0" collapsed="false">
      <c r="A144" s="0" t="n">
        <v>142</v>
      </c>
      <c r="B144" s="0" t="n">
        <v>143</v>
      </c>
      <c r="C144" s="0" t="n">
        <v>0.2727</v>
      </c>
      <c r="D144" s="0" t="n">
        <v>0.55</v>
      </c>
      <c r="E144" s="0" t="n">
        <v>0</v>
      </c>
      <c r="F144" s="0" t="n">
        <v>0</v>
      </c>
      <c r="G144" s="0" t="n">
        <v>5</v>
      </c>
      <c r="H144" s="0" t="n">
        <v>5</v>
      </c>
    </row>
    <row r="145" customFormat="false" ht="15" hidden="false" customHeight="false" outlineLevel="0" collapsed="false">
      <c r="A145" s="0" t="n">
        <v>143</v>
      </c>
      <c r="B145" s="0" t="n">
        <v>144</v>
      </c>
      <c r="C145" s="0" t="n">
        <v>0.2576</v>
      </c>
      <c r="D145" s="0" t="n">
        <v>0.69</v>
      </c>
      <c r="E145" s="0" t="n">
        <v>0</v>
      </c>
      <c r="F145" s="0" t="n">
        <v>8</v>
      </c>
      <c r="G145" s="0" t="n">
        <v>26</v>
      </c>
      <c r="H145" s="0" t="n">
        <v>34</v>
      </c>
    </row>
    <row r="146" customFormat="false" ht="15" hidden="false" customHeight="false" outlineLevel="0" collapsed="false">
      <c r="A146" s="0" t="n">
        <v>144</v>
      </c>
      <c r="B146" s="0" t="n">
        <v>145</v>
      </c>
      <c r="C146" s="0" t="n">
        <v>0.2121</v>
      </c>
      <c r="D146" s="0" t="n">
        <v>0.69</v>
      </c>
      <c r="E146" s="0" t="n">
        <v>0.1343</v>
      </c>
      <c r="F146" s="0" t="n">
        <v>8</v>
      </c>
      <c r="G146" s="0" t="n">
        <v>76</v>
      </c>
      <c r="H146" s="0" t="n">
        <v>84</v>
      </c>
    </row>
    <row r="147" customFormat="false" ht="15" hidden="false" customHeight="false" outlineLevel="0" collapsed="false">
      <c r="A147" s="0" t="n">
        <v>145</v>
      </c>
      <c r="B147" s="0" t="n">
        <v>146</v>
      </c>
      <c r="C147" s="0" t="n">
        <v>0.197</v>
      </c>
      <c r="D147" s="0" t="n">
        <v>0.51</v>
      </c>
      <c r="E147" s="0" t="n">
        <v>0.2537</v>
      </c>
      <c r="F147" s="0" t="n">
        <v>20</v>
      </c>
      <c r="G147" s="0" t="n">
        <v>190</v>
      </c>
      <c r="H147" s="0" t="n">
        <v>210</v>
      </c>
    </row>
    <row r="148" customFormat="false" ht="15" hidden="false" customHeight="false" outlineLevel="0" collapsed="false">
      <c r="A148" s="0" t="n">
        <v>146</v>
      </c>
      <c r="B148" s="0" t="n">
        <v>147</v>
      </c>
      <c r="C148" s="0" t="n">
        <v>0.1818</v>
      </c>
      <c r="D148" s="0" t="n">
        <v>0.47</v>
      </c>
      <c r="E148" s="0" t="n">
        <v>0.2985</v>
      </c>
      <c r="F148" s="0" t="n">
        <v>9</v>
      </c>
      <c r="G148" s="0" t="n">
        <v>125</v>
      </c>
      <c r="H148" s="0" t="n">
        <v>134</v>
      </c>
    </row>
    <row r="149" customFormat="false" ht="15" hidden="false" customHeight="false" outlineLevel="0" collapsed="false">
      <c r="A149" s="0" t="n">
        <v>147</v>
      </c>
      <c r="B149" s="0" t="n">
        <v>148</v>
      </c>
      <c r="C149" s="0" t="n">
        <v>0.197</v>
      </c>
      <c r="D149" s="0" t="n">
        <v>0.37</v>
      </c>
      <c r="E149" s="0" t="n">
        <v>0.3284</v>
      </c>
      <c r="F149" s="0" t="n">
        <v>16</v>
      </c>
      <c r="G149" s="0" t="n">
        <v>47</v>
      </c>
      <c r="H149" s="0" t="n">
        <v>63</v>
      </c>
    </row>
    <row r="150" customFormat="false" ht="15" hidden="false" customHeight="false" outlineLevel="0" collapsed="false">
      <c r="A150" s="0" t="n">
        <v>148</v>
      </c>
      <c r="B150" s="0" t="n">
        <v>149</v>
      </c>
      <c r="C150" s="0" t="n">
        <v>0.197</v>
      </c>
      <c r="D150" s="0" t="n">
        <v>0.4</v>
      </c>
      <c r="E150" s="0" t="n">
        <v>0.2239</v>
      </c>
      <c r="F150" s="0" t="n">
        <v>19</v>
      </c>
      <c r="G150" s="0" t="n">
        <v>48</v>
      </c>
      <c r="H150" s="0" t="n">
        <v>67</v>
      </c>
    </row>
    <row r="151" customFormat="false" ht="15" hidden="false" customHeight="false" outlineLevel="0" collapsed="false">
      <c r="A151" s="0" t="n">
        <v>149</v>
      </c>
      <c r="B151" s="0" t="n">
        <v>150</v>
      </c>
      <c r="C151" s="0" t="n">
        <v>0.197</v>
      </c>
      <c r="D151" s="0" t="n">
        <v>0.37</v>
      </c>
      <c r="E151" s="0" t="n">
        <v>0.2537</v>
      </c>
      <c r="F151" s="0" t="n">
        <v>9</v>
      </c>
      <c r="G151" s="0" t="n">
        <v>50</v>
      </c>
      <c r="H151" s="0" t="n">
        <v>59</v>
      </c>
    </row>
    <row r="152" customFormat="false" ht="15" hidden="false" customHeight="false" outlineLevel="0" collapsed="false">
      <c r="A152" s="0" t="n">
        <v>150</v>
      </c>
      <c r="B152" s="0" t="n">
        <v>151</v>
      </c>
      <c r="C152" s="0" t="n">
        <v>0.1818</v>
      </c>
      <c r="D152" s="0" t="n">
        <v>0.37</v>
      </c>
      <c r="E152" s="0" t="n">
        <v>0.2836</v>
      </c>
      <c r="F152" s="0" t="n">
        <v>9</v>
      </c>
      <c r="G152" s="0" t="n">
        <v>64</v>
      </c>
      <c r="H152" s="0" t="n">
        <v>73</v>
      </c>
    </row>
    <row r="153" customFormat="false" ht="15" hidden="false" customHeight="false" outlineLevel="0" collapsed="false">
      <c r="A153" s="0" t="n">
        <v>151</v>
      </c>
      <c r="B153" s="0" t="n">
        <v>152</v>
      </c>
      <c r="C153" s="0" t="n">
        <v>0.197</v>
      </c>
      <c r="D153" s="0" t="n">
        <v>0.4</v>
      </c>
      <c r="E153" s="0" t="n">
        <v>0.2537</v>
      </c>
      <c r="F153" s="0" t="n">
        <v>7</v>
      </c>
      <c r="G153" s="0" t="n">
        <v>43</v>
      </c>
      <c r="H153" s="0" t="n">
        <v>50</v>
      </c>
    </row>
    <row r="154" customFormat="false" ht="15" hidden="false" customHeight="false" outlineLevel="0" collapsed="false">
      <c r="A154" s="0" t="n">
        <v>152</v>
      </c>
      <c r="B154" s="0" t="n">
        <v>153</v>
      </c>
      <c r="C154" s="0" t="n">
        <v>0.2121</v>
      </c>
      <c r="D154" s="0" t="n">
        <v>0.37</v>
      </c>
      <c r="E154" s="0" t="n">
        <v>0.1642</v>
      </c>
      <c r="F154" s="0" t="n">
        <v>9</v>
      </c>
      <c r="G154" s="0" t="n">
        <v>63</v>
      </c>
      <c r="H154" s="0" t="n">
        <v>72</v>
      </c>
    </row>
    <row r="155" customFormat="false" ht="15" hidden="false" customHeight="false" outlineLevel="0" collapsed="false">
      <c r="A155" s="0" t="n">
        <v>153</v>
      </c>
      <c r="B155" s="0" t="n">
        <v>154</v>
      </c>
      <c r="C155" s="0" t="n">
        <v>0.2121</v>
      </c>
      <c r="D155" s="0" t="n">
        <v>0.37</v>
      </c>
      <c r="E155" s="0" t="n">
        <v>0.1642</v>
      </c>
      <c r="F155" s="0" t="n">
        <v>5</v>
      </c>
      <c r="G155" s="0" t="n">
        <v>82</v>
      </c>
      <c r="H155" s="0" t="n">
        <v>87</v>
      </c>
    </row>
    <row r="156" customFormat="false" ht="15" hidden="false" customHeight="false" outlineLevel="0" collapsed="false">
      <c r="A156" s="0" t="n">
        <v>154</v>
      </c>
      <c r="B156" s="0" t="n">
        <v>155</v>
      </c>
      <c r="C156" s="0" t="n">
        <v>0.2576</v>
      </c>
      <c r="D156" s="0" t="n">
        <v>0.37</v>
      </c>
      <c r="E156" s="0" t="n">
        <v>0</v>
      </c>
      <c r="F156" s="0" t="n">
        <v>9</v>
      </c>
      <c r="G156" s="0" t="n">
        <v>178</v>
      </c>
      <c r="H156" s="0" t="n">
        <v>187</v>
      </c>
    </row>
    <row r="157" customFormat="false" ht="15" hidden="false" customHeight="false" outlineLevel="0" collapsed="false">
      <c r="A157" s="0" t="n">
        <v>155</v>
      </c>
      <c r="B157" s="0" t="n">
        <v>156</v>
      </c>
      <c r="C157" s="0" t="n">
        <v>0.2273</v>
      </c>
      <c r="D157" s="0" t="n">
        <v>0.4</v>
      </c>
      <c r="E157" s="0" t="n">
        <v>0.0896</v>
      </c>
      <c r="F157" s="0" t="n">
        <v>7</v>
      </c>
      <c r="G157" s="0" t="n">
        <v>116</v>
      </c>
      <c r="H157" s="0" t="n">
        <v>123</v>
      </c>
    </row>
    <row r="158" customFormat="false" ht="15" hidden="false" customHeight="false" outlineLevel="0" collapsed="false">
      <c r="A158" s="0" t="n">
        <v>156</v>
      </c>
      <c r="B158" s="0" t="n">
        <v>157</v>
      </c>
      <c r="C158" s="0" t="n">
        <v>0.197</v>
      </c>
      <c r="D158" s="0" t="n">
        <v>0.55</v>
      </c>
      <c r="E158" s="0" t="n">
        <v>0.0896</v>
      </c>
      <c r="F158" s="0" t="n">
        <v>3</v>
      </c>
      <c r="G158" s="0" t="n">
        <v>92</v>
      </c>
      <c r="H158" s="0" t="n">
        <v>95</v>
      </c>
    </row>
    <row r="159" customFormat="false" ht="15" hidden="false" customHeight="false" outlineLevel="0" collapsed="false">
      <c r="A159" s="0" t="n">
        <v>157</v>
      </c>
      <c r="B159" s="0" t="n">
        <v>158</v>
      </c>
      <c r="C159" s="0" t="n">
        <v>0.2121</v>
      </c>
      <c r="D159" s="0" t="n">
        <v>0.47</v>
      </c>
      <c r="E159" s="0" t="n">
        <v>0.1045</v>
      </c>
      <c r="F159" s="0" t="n">
        <v>1</v>
      </c>
      <c r="G159" s="0" t="n">
        <v>50</v>
      </c>
      <c r="H159" s="0" t="n">
        <v>51</v>
      </c>
    </row>
    <row r="160" customFormat="false" ht="15" hidden="false" customHeight="false" outlineLevel="0" collapsed="false">
      <c r="A160" s="0" t="n">
        <v>158</v>
      </c>
      <c r="B160" s="0" t="n">
        <v>159</v>
      </c>
      <c r="C160" s="0" t="n">
        <v>0.197</v>
      </c>
      <c r="D160" s="0" t="n">
        <v>0.47</v>
      </c>
      <c r="E160" s="0" t="n">
        <v>0.1343</v>
      </c>
      <c r="F160" s="0" t="n">
        <v>0</v>
      </c>
      <c r="G160" s="0" t="n">
        <v>39</v>
      </c>
      <c r="H160" s="0" t="n">
        <v>39</v>
      </c>
    </row>
    <row r="161" customFormat="false" ht="15" hidden="false" customHeight="false" outlineLevel="0" collapsed="false">
      <c r="A161" s="0" t="n">
        <v>159</v>
      </c>
      <c r="B161" s="0" t="n">
        <v>160</v>
      </c>
      <c r="C161" s="0" t="n">
        <v>0.197</v>
      </c>
      <c r="D161" s="0" t="n">
        <v>0.43</v>
      </c>
      <c r="E161" s="0" t="n">
        <v>0.1642</v>
      </c>
      <c r="F161" s="0" t="n">
        <v>2</v>
      </c>
      <c r="G161" s="0" t="n">
        <v>34</v>
      </c>
      <c r="H161" s="0" t="n">
        <v>36</v>
      </c>
    </row>
    <row r="162" customFormat="false" ht="15" hidden="false" customHeight="false" outlineLevel="0" collapsed="false">
      <c r="A162" s="0" t="n">
        <v>160</v>
      </c>
      <c r="B162" s="0" t="n">
        <v>161</v>
      </c>
      <c r="C162" s="0" t="n">
        <v>0.197</v>
      </c>
      <c r="D162" s="0" t="n">
        <v>0.51</v>
      </c>
      <c r="E162" s="0" t="n">
        <v>0.1642</v>
      </c>
      <c r="F162" s="0" t="n">
        <v>1</v>
      </c>
      <c r="G162" s="0" t="n">
        <v>14</v>
      </c>
      <c r="H162" s="0" t="n">
        <v>15</v>
      </c>
    </row>
    <row r="163" customFormat="false" ht="15" hidden="false" customHeight="false" outlineLevel="0" collapsed="false">
      <c r="A163" s="0" t="n">
        <v>161</v>
      </c>
      <c r="B163" s="0" t="n">
        <v>162</v>
      </c>
      <c r="C163" s="0" t="n">
        <v>0.197</v>
      </c>
      <c r="D163" s="0" t="n">
        <v>0.51</v>
      </c>
      <c r="E163" s="0" t="n">
        <v>0.1642</v>
      </c>
      <c r="F163" s="0" t="n">
        <v>1</v>
      </c>
      <c r="G163" s="0" t="n">
        <v>24</v>
      </c>
      <c r="H163" s="0" t="n">
        <v>25</v>
      </c>
    </row>
    <row r="164" customFormat="false" ht="15" hidden="false" customHeight="false" outlineLevel="0" collapsed="false">
      <c r="A164" s="0" t="n">
        <v>162</v>
      </c>
      <c r="B164" s="0" t="n">
        <v>163</v>
      </c>
      <c r="C164" s="0" t="n">
        <v>0.2121</v>
      </c>
      <c r="D164" s="0" t="n">
        <v>0.55</v>
      </c>
      <c r="E164" s="0" t="n">
        <v>0.0896</v>
      </c>
      <c r="F164" s="0" t="n">
        <v>1</v>
      </c>
      <c r="G164" s="0" t="n">
        <v>15</v>
      </c>
      <c r="H164" s="0" t="n">
        <v>16</v>
      </c>
    </row>
    <row r="165" customFormat="false" ht="15" hidden="false" customHeight="false" outlineLevel="0" collapsed="false">
      <c r="A165" s="0" t="n">
        <v>163</v>
      </c>
      <c r="B165" s="0" t="n">
        <v>164</v>
      </c>
      <c r="C165" s="0" t="n">
        <v>0.2424</v>
      </c>
      <c r="D165" s="0" t="n">
        <v>0.55</v>
      </c>
      <c r="E165" s="0" t="n">
        <v>0</v>
      </c>
      <c r="F165" s="0" t="n">
        <v>3</v>
      </c>
      <c r="G165" s="0" t="n">
        <v>13</v>
      </c>
      <c r="H165" s="0" t="n">
        <v>16</v>
      </c>
    </row>
    <row r="166" customFormat="false" ht="15" hidden="false" customHeight="false" outlineLevel="0" collapsed="false">
      <c r="A166" s="0" t="n">
        <v>164</v>
      </c>
      <c r="B166" s="0" t="n">
        <v>165</v>
      </c>
      <c r="C166" s="0" t="n">
        <v>0.197</v>
      </c>
      <c r="D166" s="0" t="n">
        <v>0.55</v>
      </c>
      <c r="E166" s="0" t="n">
        <v>0.1642</v>
      </c>
      <c r="F166" s="0" t="n">
        <v>0</v>
      </c>
      <c r="G166" s="0" t="n">
        <v>7</v>
      </c>
      <c r="H166" s="0" t="n">
        <v>7</v>
      </c>
    </row>
    <row r="167" customFormat="false" ht="15" hidden="false" customHeight="false" outlineLevel="0" collapsed="false">
      <c r="A167" s="0" t="n">
        <v>165</v>
      </c>
      <c r="B167" s="0" t="n">
        <v>166</v>
      </c>
      <c r="C167" s="0" t="n">
        <v>0.197</v>
      </c>
      <c r="D167" s="0" t="n">
        <v>0.55</v>
      </c>
      <c r="E167" s="0" t="n">
        <v>0.1642</v>
      </c>
      <c r="F167" s="0" t="n">
        <v>0</v>
      </c>
      <c r="G167" s="0" t="n">
        <v>1</v>
      </c>
      <c r="H167" s="0" t="n">
        <v>1</v>
      </c>
    </row>
    <row r="168" customFormat="false" ht="15" hidden="false" customHeight="false" outlineLevel="0" collapsed="false">
      <c r="A168" s="0" t="n">
        <v>166</v>
      </c>
      <c r="B168" s="0" t="n">
        <v>167</v>
      </c>
      <c r="C168" s="0" t="n">
        <v>0.1667</v>
      </c>
      <c r="D168" s="0" t="n">
        <v>0.74</v>
      </c>
      <c r="E168" s="0" t="n">
        <v>0.1642</v>
      </c>
      <c r="F168" s="0" t="n">
        <v>0</v>
      </c>
      <c r="G168" s="0" t="n">
        <v>5</v>
      </c>
      <c r="H168" s="0" t="n">
        <v>5</v>
      </c>
    </row>
    <row r="169" customFormat="false" ht="15" hidden="false" customHeight="false" outlineLevel="0" collapsed="false">
      <c r="A169" s="0" t="n">
        <v>167</v>
      </c>
      <c r="B169" s="0" t="n">
        <v>168</v>
      </c>
      <c r="C169" s="0" t="n">
        <v>0.1667</v>
      </c>
      <c r="D169" s="0" t="n">
        <v>0.74</v>
      </c>
      <c r="E169" s="0" t="n">
        <v>0.1642</v>
      </c>
      <c r="F169" s="0" t="n">
        <v>0</v>
      </c>
      <c r="G169" s="0" t="n">
        <v>2</v>
      </c>
      <c r="H169" s="0" t="n">
        <v>2</v>
      </c>
    </row>
    <row r="170" customFormat="false" ht="15" hidden="false" customHeight="false" outlineLevel="0" collapsed="false">
      <c r="A170" s="0" t="n">
        <v>168</v>
      </c>
      <c r="B170" s="0" t="n">
        <v>169</v>
      </c>
      <c r="C170" s="0" t="n">
        <v>0.1818</v>
      </c>
      <c r="D170" s="0" t="n">
        <v>0.74</v>
      </c>
      <c r="E170" s="0" t="n">
        <v>0.1045</v>
      </c>
      <c r="F170" s="0" t="n">
        <v>1</v>
      </c>
      <c r="G170" s="0" t="n">
        <v>8</v>
      </c>
      <c r="H170" s="0" t="n">
        <v>9</v>
      </c>
    </row>
    <row r="171" customFormat="false" ht="15" hidden="false" customHeight="false" outlineLevel="0" collapsed="false">
      <c r="A171" s="0" t="n">
        <v>169</v>
      </c>
      <c r="B171" s="0" t="n">
        <v>170</v>
      </c>
      <c r="C171" s="0" t="n">
        <v>0.1818</v>
      </c>
      <c r="D171" s="0" t="n">
        <v>0.93</v>
      </c>
      <c r="E171" s="0" t="n">
        <v>0.1045</v>
      </c>
      <c r="F171" s="0" t="n">
        <v>0</v>
      </c>
      <c r="G171" s="0" t="n">
        <v>15</v>
      </c>
      <c r="H171" s="0" t="n">
        <v>15</v>
      </c>
    </row>
    <row r="172" customFormat="false" ht="15" hidden="false" customHeight="false" outlineLevel="0" collapsed="false">
      <c r="A172" s="0" t="n">
        <v>170</v>
      </c>
      <c r="B172" s="0" t="n">
        <v>171</v>
      </c>
      <c r="C172" s="0" t="n">
        <v>0.1818</v>
      </c>
      <c r="D172" s="0" t="n">
        <v>0.93</v>
      </c>
      <c r="E172" s="0" t="n">
        <v>0.1045</v>
      </c>
      <c r="F172" s="0" t="n">
        <v>0</v>
      </c>
      <c r="G172" s="0" t="n">
        <v>20</v>
      </c>
      <c r="H172" s="0" t="n">
        <v>20</v>
      </c>
    </row>
    <row r="173" customFormat="false" ht="15" hidden="false" customHeight="false" outlineLevel="0" collapsed="false">
      <c r="A173" s="0" t="n">
        <v>171</v>
      </c>
      <c r="B173" s="0" t="n">
        <v>172</v>
      </c>
      <c r="C173" s="0" t="n">
        <v>0.197</v>
      </c>
      <c r="D173" s="0" t="n">
        <v>0.8</v>
      </c>
      <c r="E173" s="0" t="n">
        <v>0.1642</v>
      </c>
      <c r="F173" s="0" t="n">
        <v>5</v>
      </c>
      <c r="G173" s="0" t="n">
        <v>56</v>
      </c>
      <c r="H173" s="0" t="n">
        <v>61</v>
      </c>
    </row>
    <row r="174" customFormat="false" ht="15" hidden="false" customHeight="false" outlineLevel="0" collapsed="false">
      <c r="A174" s="0" t="n">
        <v>172</v>
      </c>
      <c r="B174" s="0" t="n">
        <v>173</v>
      </c>
      <c r="C174" s="0" t="n">
        <v>0.1818</v>
      </c>
      <c r="D174" s="0" t="n">
        <v>0.69</v>
      </c>
      <c r="E174" s="0" t="n">
        <v>0.3881</v>
      </c>
      <c r="F174" s="0" t="n">
        <v>2</v>
      </c>
      <c r="G174" s="0" t="n">
        <v>60</v>
      </c>
      <c r="H174" s="0" t="n">
        <v>62</v>
      </c>
    </row>
    <row r="175" customFormat="false" ht="15" hidden="false" customHeight="false" outlineLevel="0" collapsed="false">
      <c r="A175" s="0" t="n">
        <v>173</v>
      </c>
      <c r="B175" s="0" t="n">
        <v>174</v>
      </c>
      <c r="C175" s="0" t="n">
        <v>0.1818</v>
      </c>
      <c r="D175" s="0" t="n">
        <v>0.59</v>
      </c>
      <c r="E175" s="0" t="n">
        <v>0.3582</v>
      </c>
      <c r="F175" s="0" t="n">
        <v>8</v>
      </c>
      <c r="G175" s="0" t="n">
        <v>90</v>
      </c>
      <c r="H175" s="0" t="n">
        <v>98</v>
      </c>
    </row>
    <row r="176" customFormat="false" ht="15" hidden="false" customHeight="false" outlineLevel="0" collapsed="false">
      <c r="A176" s="0" t="n">
        <v>174</v>
      </c>
      <c r="B176" s="0" t="n">
        <v>175</v>
      </c>
      <c r="C176" s="0" t="n">
        <v>0.1818</v>
      </c>
      <c r="D176" s="0" t="n">
        <v>0.44</v>
      </c>
      <c r="E176" s="0" t="n">
        <v>0.3284</v>
      </c>
      <c r="F176" s="0" t="n">
        <v>7</v>
      </c>
      <c r="G176" s="0" t="n">
        <v>95</v>
      </c>
      <c r="H176" s="0" t="n">
        <v>102</v>
      </c>
    </row>
    <row r="177" customFormat="false" ht="15" hidden="false" customHeight="false" outlineLevel="0" collapsed="false">
      <c r="A177" s="0" t="n">
        <v>175</v>
      </c>
      <c r="B177" s="0" t="n">
        <v>176</v>
      </c>
      <c r="C177" s="0" t="n">
        <v>0.1667</v>
      </c>
      <c r="D177" s="0" t="n">
        <v>0.32</v>
      </c>
      <c r="E177" s="0" t="n">
        <v>0.4925</v>
      </c>
      <c r="F177" s="0" t="n">
        <v>12</v>
      </c>
      <c r="G177" s="0" t="n">
        <v>83</v>
      </c>
      <c r="H177" s="0" t="n">
        <v>95</v>
      </c>
    </row>
    <row r="178" customFormat="false" ht="15" hidden="false" customHeight="false" outlineLevel="0" collapsed="false">
      <c r="A178" s="0" t="n">
        <v>176</v>
      </c>
      <c r="B178" s="0" t="n">
        <v>177</v>
      </c>
      <c r="C178" s="0" t="n">
        <v>0.1667</v>
      </c>
      <c r="D178" s="0" t="n">
        <v>0.32</v>
      </c>
      <c r="E178" s="0" t="n">
        <v>0.4478</v>
      </c>
      <c r="F178" s="0" t="n">
        <v>5</v>
      </c>
      <c r="G178" s="0" t="n">
        <v>69</v>
      </c>
      <c r="H178" s="0" t="n">
        <v>74</v>
      </c>
    </row>
    <row r="179" customFormat="false" ht="15" hidden="false" customHeight="false" outlineLevel="0" collapsed="false">
      <c r="A179" s="0" t="n">
        <v>177</v>
      </c>
      <c r="B179" s="0" t="n">
        <v>178</v>
      </c>
      <c r="C179" s="0" t="n">
        <v>0.1364</v>
      </c>
      <c r="D179" s="0" t="n">
        <v>0.29</v>
      </c>
      <c r="E179" s="0" t="n">
        <v>0.4478</v>
      </c>
      <c r="F179" s="0" t="n">
        <v>8</v>
      </c>
      <c r="G179" s="0" t="n">
        <v>68</v>
      </c>
      <c r="H179" s="0" t="n">
        <v>76</v>
      </c>
    </row>
    <row r="180" customFormat="false" ht="15" hidden="false" customHeight="false" outlineLevel="0" collapsed="false">
      <c r="A180" s="0" t="n">
        <v>178</v>
      </c>
      <c r="B180" s="0" t="n">
        <v>179</v>
      </c>
      <c r="C180" s="0" t="n">
        <v>0.1212</v>
      </c>
      <c r="D180" s="0" t="n">
        <v>0.37</v>
      </c>
      <c r="E180" s="0" t="n">
        <v>0.5522</v>
      </c>
      <c r="F180" s="0" t="n">
        <v>5</v>
      </c>
      <c r="G180" s="0" t="n">
        <v>64</v>
      </c>
      <c r="H180" s="0" t="n">
        <v>69</v>
      </c>
    </row>
    <row r="181" customFormat="false" ht="15" hidden="false" customHeight="false" outlineLevel="0" collapsed="false">
      <c r="A181" s="0" t="n">
        <v>179</v>
      </c>
      <c r="B181" s="0" t="n">
        <v>180</v>
      </c>
      <c r="C181" s="0" t="n">
        <v>0.1212</v>
      </c>
      <c r="D181" s="0" t="n">
        <v>0.39</v>
      </c>
      <c r="E181" s="0" t="n">
        <v>0.2985</v>
      </c>
      <c r="F181" s="0" t="n">
        <v>3</v>
      </c>
      <c r="G181" s="0" t="n">
        <v>52</v>
      </c>
      <c r="H181" s="0" t="n">
        <v>55</v>
      </c>
    </row>
    <row r="182" customFormat="false" ht="15" hidden="false" customHeight="false" outlineLevel="0" collapsed="false">
      <c r="A182" s="0" t="n">
        <v>180</v>
      </c>
      <c r="B182" s="0" t="n">
        <v>181</v>
      </c>
      <c r="C182" s="0" t="n">
        <v>0.1212</v>
      </c>
      <c r="D182" s="0" t="n">
        <v>0.36</v>
      </c>
      <c r="E182" s="0" t="n">
        <v>0.2537</v>
      </c>
      <c r="F182" s="0" t="n">
        <v>4</v>
      </c>
      <c r="G182" s="0" t="n">
        <v>26</v>
      </c>
      <c r="H182" s="0" t="n">
        <v>30</v>
      </c>
    </row>
    <row r="183" customFormat="false" ht="15" hidden="false" customHeight="false" outlineLevel="0" collapsed="false">
      <c r="A183" s="0" t="n">
        <v>181</v>
      </c>
      <c r="B183" s="0" t="n">
        <v>182</v>
      </c>
      <c r="C183" s="0" t="n">
        <v>0.1212</v>
      </c>
      <c r="D183" s="0" t="n">
        <v>0.36</v>
      </c>
      <c r="E183" s="0" t="n">
        <v>0.2537</v>
      </c>
      <c r="F183" s="0" t="n">
        <v>0</v>
      </c>
      <c r="G183" s="0" t="n">
        <v>28</v>
      </c>
      <c r="H183" s="0" t="n">
        <v>28</v>
      </c>
    </row>
    <row r="184" customFormat="false" ht="15" hidden="false" customHeight="false" outlineLevel="0" collapsed="false">
      <c r="A184" s="0" t="n">
        <v>182</v>
      </c>
      <c r="B184" s="0" t="n">
        <v>183</v>
      </c>
      <c r="C184" s="0" t="n">
        <v>0.1061</v>
      </c>
      <c r="D184" s="0" t="n">
        <v>0.39</v>
      </c>
      <c r="E184" s="0" t="n">
        <v>0.3582</v>
      </c>
      <c r="F184" s="0" t="n">
        <v>2</v>
      </c>
      <c r="G184" s="0" t="n">
        <v>35</v>
      </c>
      <c r="H184" s="0" t="n">
        <v>37</v>
      </c>
    </row>
    <row r="185" customFormat="false" ht="15" hidden="false" customHeight="false" outlineLevel="0" collapsed="false">
      <c r="A185" s="0" t="n">
        <v>183</v>
      </c>
      <c r="B185" s="0" t="n">
        <v>184</v>
      </c>
      <c r="C185" s="0" t="n">
        <v>0.1061</v>
      </c>
      <c r="D185" s="0" t="n">
        <v>0.36</v>
      </c>
      <c r="E185" s="0" t="n">
        <v>0.3881</v>
      </c>
      <c r="F185" s="0" t="n">
        <v>1</v>
      </c>
      <c r="G185" s="0" t="n">
        <v>33</v>
      </c>
      <c r="H185" s="0" t="n">
        <v>34</v>
      </c>
    </row>
    <row r="186" customFormat="false" ht="15" hidden="false" customHeight="false" outlineLevel="0" collapsed="false">
      <c r="A186" s="0" t="n">
        <v>184</v>
      </c>
      <c r="B186" s="0" t="n">
        <v>185</v>
      </c>
      <c r="C186" s="0" t="n">
        <v>0.0606</v>
      </c>
      <c r="D186" s="0" t="n">
        <v>0.39</v>
      </c>
      <c r="E186" s="0" t="n">
        <v>0.4478</v>
      </c>
      <c r="F186" s="0" t="n">
        <v>0</v>
      </c>
      <c r="G186" s="0" t="n">
        <v>22</v>
      </c>
      <c r="H186" s="0" t="n">
        <v>22</v>
      </c>
    </row>
    <row r="187" customFormat="false" ht="15" hidden="false" customHeight="false" outlineLevel="0" collapsed="false">
      <c r="A187" s="0" t="n">
        <v>185</v>
      </c>
      <c r="B187" s="0" t="n">
        <v>186</v>
      </c>
      <c r="C187" s="0" t="n">
        <v>0.0758</v>
      </c>
      <c r="D187" s="0" t="n">
        <v>0.42</v>
      </c>
      <c r="E187" s="0" t="n">
        <v>0.3881</v>
      </c>
      <c r="F187" s="0" t="n">
        <v>1</v>
      </c>
      <c r="G187" s="0" t="n">
        <v>24</v>
      </c>
      <c r="H187" s="0" t="n">
        <v>25</v>
      </c>
    </row>
    <row r="188" customFormat="false" ht="15" hidden="false" customHeight="false" outlineLevel="0" collapsed="false">
      <c r="A188" s="0" t="n">
        <v>186</v>
      </c>
      <c r="B188" s="0" t="n">
        <v>187</v>
      </c>
      <c r="C188" s="0" t="n">
        <v>0.0606</v>
      </c>
      <c r="D188" s="0" t="n">
        <v>0.42</v>
      </c>
      <c r="E188" s="0" t="n">
        <v>0.4627</v>
      </c>
      <c r="F188" s="0" t="n">
        <v>0</v>
      </c>
      <c r="G188" s="0" t="n">
        <v>12</v>
      </c>
      <c r="H188" s="0" t="n">
        <v>12</v>
      </c>
    </row>
    <row r="189" customFormat="false" ht="15" hidden="false" customHeight="false" outlineLevel="0" collapsed="false">
      <c r="A189" s="0" t="n">
        <v>187</v>
      </c>
      <c r="B189" s="0" t="n">
        <v>188</v>
      </c>
      <c r="C189" s="0" t="n">
        <v>0.0606</v>
      </c>
      <c r="D189" s="0" t="n">
        <v>0.46</v>
      </c>
      <c r="E189" s="0" t="n">
        <v>0.4627</v>
      </c>
      <c r="F189" s="0" t="n">
        <v>0</v>
      </c>
      <c r="G189" s="0" t="n">
        <v>11</v>
      </c>
      <c r="H189" s="0" t="n">
        <v>11</v>
      </c>
    </row>
    <row r="190" customFormat="false" ht="15" hidden="false" customHeight="false" outlineLevel="0" collapsed="false">
      <c r="A190" s="0" t="n">
        <v>188</v>
      </c>
      <c r="B190" s="0" t="n">
        <v>189</v>
      </c>
      <c r="C190" s="0" t="n">
        <v>0.0758</v>
      </c>
      <c r="D190" s="0" t="n">
        <v>0.46</v>
      </c>
      <c r="E190" s="0" t="n">
        <v>0.4179</v>
      </c>
      <c r="F190" s="0" t="n">
        <v>0</v>
      </c>
      <c r="G190" s="0" t="n">
        <v>4</v>
      </c>
      <c r="H190" s="0" t="n">
        <v>4</v>
      </c>
    </row>
    <row r="191" customFormat="false" ht="15" hidden="false" customHeight="false" outlineLevel="0" collapsed="false">
      <c r="A191" s="0" t="n">
        <v>189</v>
      </c>
      <c r="B191" s="0" t="n">
        <v>190</v>
      </c>
      <c r="C191" s="0" t="n">
        <v>0.0909</v>
      </c>
      <c r="D191" s="0" t="n">
        <v>0.53</v>
      </c>
      <c r="E191" s="0" t="n">
        <v>0.194</v>
      </c>
      <c r="F191" s="0" t="n">
        <v>0</v>
      </c>
      <c r="G191" s="0" t="n">
        <v>1</v>
      </c>
      <c r="H191" s="0" t="n">
        <v>1</v>
      </c>
    </row>
    <row r="192" customFormat="false" ht="15" hidden="false" customHeight="false" outlineLevel="0" collapsed="false">
      <c r="A192" s="0" t="n">
        <v>190</v>
      </c>
      <c r="B192" s="0" t="n">
        <v>191</v>
      </c>
      <c r="C192" s="0" t="n">
        <v>0.0909</v>
      </c>
      <c r="D192" s="0" t="n">
        <v>0.53</v>
      </c>
      <c r="E192" s="0" t="n">
        <v>0.194</v>
      </c>
      <c r="F192" s="0" t="n">
        <v>0</v>
      </c>
      <c r="G192" s="0" t="n">
        <v>1</v>
      </c>
      <c r="H192" s="0" t="n">
        <v>1</v>
      </c>
    </row>
    <row r="193" customFormat="false" ht="15" hidden="false" customHeight="false" outlineLevel="0" collapsed="false">
      <c r="A193" s="0" t="n">
        <v>191</v>
      </c>
      <c r="B193" s="0" t="n">
        <v>192</v>
      </c>
      <c r="C193" s="0" t="n">
        <v>0.0909</v>
      </c>
      <c r="D193" s="0" t="n">
        <v>0.49</v>
      </c>
      <c r="E193" s="0" t="n">
        <v>0.2836</v>
      </c>
      <c r="F193" s="0" t="n">
        <v>0</v>
      </c>
      <c r="G193" s="0" t="n">
        <v>1</v>
      </c>
      <c r="H193" s="0" t="n">
        <v>1</v>
      </c>
    </row>
    <row r="194" customFormat="false" ht="15" hidden="false" customHeight="false" outlineLevel="0" collapsed="false">
      <c r="A194" s="0" t="n">
        <v>192</v>
      </c>
      <c r="B194" s="0" t="n">
        <v>193</v>
      </c>
      <c r="C194" s="0" t="n">
        <v>0.0909</v>
      </c>
      <c r="D194" s="0" t="n">
        <v>0.53</v>
      </c>
      <c r="E194" s="0" t="n">
        <v>0.194</v>
      </c>
      <c r="F194" s="0" t="n">
        <v>1</v>
      </c>
      <c r="G194" s="0" t="n">
        <v>5</v>
      </c>
      <c r="H194" s="0" t="n">
        <v>6</v>
      </c>
    </row>
    <row r="195" customFormat="false" ht="15" hidden="false" customHeight="false" outlineLevel="0" collapsed="false">
      <c r="A195" s="0" t="n">
        <v>193</v>
      </c>
      <c r="B195" s="0" t="n">
        <v>194</v>
      </c>
      <c r="C195" s="0" t="n">
        <v>0.0909</v>
      </c>
      <c r="D195" s="0" t="n">
        <v>0.49</v>
      </c>
      <c r="E195" s="0" t="n">
        <v>0.2836</v>
      </c>
      <c r="F195" s="0" t="n">
        <v>0</v>
      </c>
      <c r="G195" s="0" t="n">
        <v>10</v>
      </c>
      <c r="H195" s="0" t="n">
        <v>10</v>
      </c>
    </row>
    <row r="196" customFormat="false" ht="15" hidden="false" customHeight="false" outlineLevel="0" collapsed="false">
      <c r="A196" s="0" t="n">
        <v>194</v>
      </c>
      <c r="B196" s="0" t="n">
        <v>195</v>
      </c>
      <c r="C196" s="0" t="n">
        <v>0.0758</v>
      </c>
      <c r="D196" s="0" t="n">
        <v>0.46</v>
      </c>
      <c r="E196" s="0" t="n">
        <v>0.5224</v>
      </c>
      <c r="F196" s="0" t="n">
        <v>0</v>
      </c>
      <c r="G196" s="0" t="n">
        <v>19</v>
      </c>
      <c r="H196" s="0" t="n">
        <v>19</v>
      </c>
    </row>
    <row r="197" customFormat="false" ht="15" hidden="false" customHeight="false" outlineLevel="0" collapsed="false">
      <c r="A197" s="0" t="n">
        <v>195</v>
      </c>
      <c r="B197" s="0" t="n">
        <v>196</v>
      </c>
      <c r="C197" s="0" t="n">
        <v>0.1061</v>
      </c>
      <c r="D197" s="0" t="n">
        <v>0.43</v>
      </c>
      <c r="E197" s="0" t="n">
        <v>0.3881</v>
      </c>
      <c r="F197" s="0" t="n">
        <v>0</v>
      </c>
      <c r="G197" s="0" t="n">
        <v>49</v>
      </c>
      <c r="H197" s="0" t="n">
        <v>49</v>
      </c>
    </row>
    <row r="198" customFormat="false" ht="15" hidden="false" customHeight="false" outlineLevel="0" collapsed="false">
      <c r="A198" s="0" t="n">
        <v>196</v>
      </c>
      <c r="B198" s="0" t="n">
        <v>197</v>
      </c>
      <c r="C198" s="0" t="n">
        <v>0.1212</v>
      </c>
      <c r="D198" s="0" t="n">
        <v>0.4</v>
      </c>
      <c r="E198" s="0" t="n">
        <v>0.5224</v>
      </c>
      <c r="F198" s="0" t="n">
        <v>2</v>
      </c>
      <c r="G198" s="0" t="n">
        <v>47</v>
      </c>
      <c r="H198" s="0" t="n">
        <v>49</v>
      </c>
    </row>
    <row r="199" customFormat="false" ht="15" hidden="false" customHeight="false" outlineLevel="0" collapsed="false">
      <c r="A199" s="0" t="n">
        <v>197</v>
      </c>
      <c r="B199" s="0" t="n">
        <v>198</v>
      </c>
      <c r="C199" s="0" t="n">
        <v>0.1364</v>
      </c>
      <c r="D199" s="0" t="n">
        <v>0.37</v>
      </c>
      <c r="E199" s="0" t="n">
        <v>0.4478</v>
      </c>
      <c r="F199" s="0" t="n">
        <v>4</v>
      </c>
      <c r="G199" s="0" t="n">
        <v>79</v>
      </c>
      <c r="H199" s="0" t="n">
        <v>83</v>
      </c>
    </row>
    <row r="200" customFormat="false" ht="15" hidden="false" customHeight="false" outlineLevel="0" collapsed="false">
      <c r="A200" s="0" t="n">
        <v>198</v>
      </c>
      <c r="B200" s="0" t="n">
        <v>199</v>
      </c>
      <c r="C200" s="0" t="n">
        <v>0.1667</v>
      </c>
      <c r="D200" s="0" t="n">
        <v>0.34</v>
      </c>
      <c r="E200" s="0" t="n">
        <v>0.4478</v>
      </c>
      <c r="F200" s="0" t="n">
        <v>6</v>
      </c>
      <c r="G200" s="0" t="n">
        <v>69</v>
      </c>
      <c r="H200" s="0" t="n">
        <v>75</v>
      </c>
    </row>
    <row r="201" customFormat="false" ht="15" hidden="false" customHeight="false" outlineLevel="0" collapsed="false">
      <c r="A201" s="0" t="n">
        <v>199</v>
      </c>
      <c r="B201" s="0" t="n">
        <v>200</v>
      </c>
      <c r="C201" s="0" t="n">
        <v>0.1818</v>
      </c>
      <c r="D201" s="0" t="n">
        <v>0.32</v>
      </c>
      <c r="E201" s="0" t="n">
        <v>0.4627</v>
      </c>
      <c r="F201" s="0" t="n">
        <v>8</v>
      </c>
      <c r="G201" s="0" t="n">
        <v>64</v>
      </c>
      <c r="H201" s="0" t="n">
        <v>72</v>
      </c>
    </row>
    <row r="202" customFormat="false" ht="15" hidden="false" customHeight="false" outlineLevel="0" collapsed="false">
      <c r="A202" s="0" t="n">
        <v>200</v>
      </c>
      <c r="B202" s="0" t="n">
        <v>201</v>
      </c>
      <c r="C202" s="0" t="n">
        <v>0.197</v>
      </c>
      <c r="D202" s="0" t="n">
        <v>0.35</v>
      </c>
      <c r="E202" s="0" t="n">
        <v>0.3582</v>
      </c>
      <c r="F202" s="0" t="n">
        <v>5</v>
      </c>
      <c r="G202" s="0" t="n">
        <v>77</v>
      </c>
      <c r="H202" s="0" t="n">
        <v>82</v>
      </c>
    </row>
    <row r="203" customFormat="false" ht="15" hidden="false" customHeight="false" outlineLevel="0" collapsed="false">
      <c r="A203" s="0" t="n">
        <v>201</v>
      </c>
      <c r="B203" s="0" t="n">
        <v>202</v>
      </c>
      <c r="C203" s="0" t="n">
        <v>0.1667</v>
      </c>
      <c r="D203" s="0" t="n">
        <v>0.34</v>
      </c>
      <c r="E203" s="0" t="n">
        <v>0.4478</v>
      </c>
      <c r="F203" s="0" t="n">
        <v>13</v>
      </c>
      <c r="G203" s="0" t="n">
        <v>79</v>
      </c>
      <c r="H203" s="0" t="n">
        <v>92</v>
      </c>
    </row>
    <row r="204" customFormat="false" ht="15" hidden="false" customHeight="false" outlineLevel="0" collapsed="false">
      <c r="A204" s="0" t="n">
        <v>202</v>
      </c>
      <c r="B204" s="0" t="n">
        <v>203</v>
      </c>
      <c r="C204" s="0" t="n">
        <v>0.1515</v>
      </c>
      <c r="D204" s="0" t="n">
        <v>0.37</v>
      </c>
      <c r="E204" s="0" t="n">
        <v>0.3881</v>
      </c>
      <c r="F204" s="0" t="n">
        <v>3</v>
      </c>
      <c r="G204" s="0" t="n">
        <v>59</v>
      </c>
      <c r="H204" s="0" t="n">
        <v>62</v>
      </c>
    </row>
    <row r="205" customFormat="false" ht="15" hidden="false" customHeight="false" outlineLevel="0" collapsed="false">
      <c r="A205" s="0" t="n">
        <v>203</v>
      </c>
      <c r="B205" s="0" t="n">
        <v>204</v>
      </c>
      <c r="C205" s="0" t="n">
        <v>0.1364</v>
      </c>
      <c r="D205" s="0" t="n">
        <v>0.4</v>
      </c>
      <c r="E205" s="0" t="n">
        <v>0.3284</v>
      </c>
      <c r="F205" s="0" t="n">
        <v>4</v>
      </c>
      <c r="G205" s="0" t="n">
        <v>44</v>
      </c>
      <c r="H205" s="0" t="n">
        <v>48</v>
      </c>
    </row>
    <row r="206" customFormat="false" ht="15" hidden="false" customHeight="false" outlineLevel="0" collapsed="false">
      <c r="A206" s="0" t="n">
        <v>204</v>
      </c>
      <c r="B206" s="0" t="n">
        <v>205</v>
      </c>
      <c r="C206" s="0" t="n">
        <v>0.1364</v>
      </c>
      <c r="D206" s="0" t="n">
        <v>0.43</v>
      </c>
      <c r="E206" s="0" t="n">
        <v>0.3284</v>
      </c>
      <c r="F206" s="0" t="n">
        <v>1</v>
      </c>
      <c r="G206" s="0" t="n">
        <v>40</v>
      </c>
      <c r="H206" s="0" t="n">
        <v>41</v>
      </c>
    </row>
    <row r="207" customFormat="false" ht="15" hidden="false" customHeight="false" outlineLevel="0" collapsed="false">
      <c r="A207" s="0" t="n">
        <v>205</v>
      </c>
      <c r="B207" s="0" t="n">
        <v>206</v>
      </c>
      <c r="C207" s="0" t="n">
        <v>0.1212</v>
      </c>
      <c r="D207" s="0" t="n">
        <v>0.46</v>
      </c>
      <c r="E207" s="0" t="n">
        <v>0.2537</v>
      </c>
      <c r="F207" s="0" t="n">
        <v>0</v>
      </c>
      <c r="G207" s="0" t="n">
        <v>38</v>
      </c>
      <c r="H207" s="0" t="n">
        <v>38</v>
      </c>
    </row>
    <row r="208" customFormat="false" ht="15" hidden="false" customHeight="false" outlineLevel="0" collapsed="false">
      <c r="A208" s="0" t="n">
        <v>206</v>
      </c>
      <c r="B208" s="0" t="n">
        <v>207</v>
      </c>
      <c r="C208" s="0" t="n">
        <v>0.1061</v>
      </c>
      <c r="D208" s="0" t="n">
        <v>0.46</v>
      </c>
      <c r="E208" s="0" t="n">
        <v>0.4179</v>
      </c>
      <c r="F208" s="0" t="n">
        <v>1</v>
      </c>
      <c r="G208" s="0" t="n">
        <v>19</v>
      </c>
      <c r="H208" s="0" t="n">
        <v>20</v>
      </c>
    </row>
    <row r="209" customFormat="false" ht="15" hidden="false" customHeight="false" outlineLevel="0" collapsed="false">
      <c r="A209" s="0" t="n">
        <v>207</v>
      </c>
      <c r="B209" s="0" t="n">
        <v>208</v>
      </c>
      <c r="C209" s="0" t="n">
        <v>0.1212</v>
      </c>
      <c r="D209" s="0" t="n">
        <v>0.46</v>
      </c>
      <c r="E209" s="0" t="n">
        <v>0.2985</v>
      </c>
      <c r="F209" s="0" t="n">
        <v>5</v>
      </c>
      <c r="G209" s="0" t="n">
        <v>10</v>
      </c>
      <c r="H209" s="0" t="n">
        <v>15</v>
      </c>
    </row>
    <row r="210" customFormat="false" ht="15" hidden="false" customHeight="false" outlineLevel="0" collapsed="false">
      <c r="A210" s="0" t="n">
        <v>208</v>
      </c>
      <c r="B210" s="0" t="n">
        <v>209</v>
      </c>
      <c r="C210" s="0" t="n">
        <v>0.1364</v>
      </c>
      <c r="D210" s="0" t="n">
        <v>0.5</v>
      </c>
      <c r="E210" s="0" t="n">
        <v>0.194</v>
      </c>
      <c r="F210" s="0" t="n">
        <v>0</v>
      </c>
      <c r="G210" s="0" t="n">
        <v>6</v>
      </c>
      <c r="H210" s="0" t="n">
        <v>6</v>
      </c>
    </row>
    <row r="211" customFormat="false" ht="15" hidden="false" customHeight="false" outlineLevel="0" collapsed="false">
      <c r="A211" s="0" t="n">
        <v>209</v>
      </c>
      <c r="B211" s="0" t="n">
        <v>210</v>
      </c>
      <c r="C211" s="0" t="n">
        <v>0.1212</v>
      </c>
      <c r="D211" s="0" t="n">
        <v>0.5</v>
      </c>
      <c r="E211" s="0" t="n">
        <v>0.2836</v>
      </c>
      <c r="F211" s="0" t="n">
        <v>2</v>
      </c>
      <c r="G211" s="0" t="n">
        <v>3</v>
      </c>
      <c r="H211" s="0" t="n">
        <v>5</v>
      </c>
    </row>
    <row r="212" customFormat="false" ht="15" hidden="false" customHeight="false" outlineLevel="0" collapsed="false">
      <c r="A212" s="0" t="n">
        <v>210</v>
      </c>
      <c r="B212" s="0" t="n">
        <v>211</v>
      </c>
      <c r="C212" s="0" t="n">
        <v>0.1212</v>
      </c>
      <c r="D212" s="0" t="n">
        <v>0.5</v>
      </c>
      <c r="E212" s="0" t="n">
        <v>0.2836</v>
      </c>
      <c r="F212" s="0" t="n">
        <v>1</v>
      </c>
      <c r="G212" s="0" t="n">
        <v>0</v>
      </c>
      <c r="H212" s="0" t="n">
        <v>1</v>
      </c>
    </row>
    <row r="213" customFormat="false" ht="15" hidden="false" customHeight="false" outlineLevel="0" collapsed="false">
      <c r="A213" s="0" t="n">
        <v>211</v>
      </c>
      <c r="B213" s="0" t="n">
        <v>212</v>
      </c>
      <c r="C213" s="0" t="n">
        <v>0.1212</v>
      </c>
      <c r="D213" s="0" t="n">
        <v>0.5</v>
      </c>
      <c r="E213" s="0" t="n">
        <v>0.2239</v>
      </c>
      <c r="F213" s="0" t="n">
        <v>0</v>
      </c>
      <c r="G213" s="0" t="n">
        <v>3</v>
      </c>
      <c r="H213" s="0" t="n">
        <v>3</v>
      </c>
    </row>
    <row r="214" customFormat="false" ht="15" hidden="false" customHeight="false" outlineLevel="0" collapsed="false">
      <c r="A214" s="0" t="n">
        <v>212</v>
      </c>
      <c r="B214" s="0" t="n">
        <v>213</v>
      </c>
      <c r="C214" s="0" t="n">
        <v>0.1212</v>
      </c>
      <c r="D214" s="0" t="n">
        <v>0.5</v>
      </c>
      <c r="E214" s="0" t="n">
        <v>0.2239</v>
      </c>
      <c r="F214" s="0" t="n">
        <v>0</v>
      </c>
      <c r="G214" s="0" t="n">
        <v>1</v>
      </c>
      <c r="H214" s="0" t="n">
        <v>1</v>
      </c>
    </row>
    <row r="215" customFormat="false" ht="15" hidden="false" customHeight="false" outlineLevel="0" collapsed="false">
      <c r="A215" s="0" t="n">
        <v>213</v>
      </c>
      <c r="B215" s="0" t="n">
        <v>214</v>
      </c>
      <c r="C215" s="0" t="n">
        <v>0.1212</v>
      </c>
      <c r="D215" s="0" t="n">
        <v>0.54</v>
      </c>
      <c r="E215" s="0" t="n">
        <v>0.1343</v>
      </c>
      <c r="F215" s="0" t="n">
        <v>1</v>
      </c>
      <c r="G215" s="0" t="n">
        <v>2</v>
      </c>
      <c r="H215" s="0" t="n">
        <v>3</v>
      </c>
    </row>
    <row r="216" customFormat="false" ht="15" hidden="false" customHeight="false" outlineLevel="0" collapsed="false">
      <c r="A216" s="0" t="n">
        <v>214</v>
      </c>
      <c r="B216" s="0" t="n">
        <v>215</v>
      </c>
      <c r="C216" s="0" t="n">
        <v>0.1061</v>
      </c>
      <c r="D216" s="0" t="n">
        <v>0.54</v>
      </c>
      <c r="E216" s="0" t="n">
        <v>0.2537</v>
      </c>
      <c r="F216" s="0" t="n">
        <v>0</v>
      </c>
      <c r="G216" s="0" t="n">
        <v>3</v>
      </c>
      <c r="H216" s="0" t="n">
        <v>3</v>
      </c>
    </row>
    <row r="217" customFormat="false" ht="15" hidden="false" customHeight="false" outlineLevel="0" collapsed="false">
      <c r="A217" s="0" t="n">
        <v>215</v>
      </c>
      <c r="B217" s="0" t="n">
        <v>216</v>
      </c>
      <c r="C217" s="0" t="n">
        <v>0.1212</v>
      </c>
      <c r="D217" s="0" t="n">
        <v>0.5</v>
      </c>
      <c r="E217" s="0" t="n">
        <v>0.2836</v>
      </c>
      <c r="F217" s="0" t="n">
        <v>0</v>
      </c>
      <c r="G217" s="0" t="n">
        <v>31</v>
      </c>
      <c r="H217" s="0" t="n">
        <v>31</v>
      </c>
    </row>
    <row r="218" customFormat="false" ht="15" hidden="false" customHeight="false" outlineLevel="0" collapsed="false">
      <c r="A218" s="0" t="n">
        <v>216</v>
      </c>
      <c r="B218" s="0" t="n">
        <v>217</v>
      </c>
      <c r="C218" s="0" t="n">
        <v>0.1212</v>
      </c>
      <c r="D218" s="0" t="n">
        <v>0.5</v>
      </c>
      <c r="E218" s="0" t="n">
        <v>0.2239</v>
      </c>
      <c r="F218" s="0" t="n">
        <v>2</v>
      </c>
      <c r="G218" s="0" t="n">
        <v>75</v>
      </c>
      <c r="H218" s="0" t="n">
        <v>77</v>
      </c>
    </row>
    <row r="219" customFormat="false" ht="15" hidden="false" customHeight="false" outlineLevel="0" collapsed="false">
      <c r="A219" s="0" t="n">
        <v>217</v>
      </c>
      <c r="B219" s="0" t="n">
        <v>218</v>
      </c>
      <c r="C219" s="0" t="n">
        <v>0.1212</v>
      </c>
      <c r="D219" s="0" t="n">
        <v>0.5</v>
      </c>
      <c r="E219" s="0" t="n">
        <v>0.2836</v>
      </c>
      <c r="F219" s="0" t="n">
        <v>4</v>
      </c>
      <c r="G219" s="0" t="n">
        <v>184</v>
      </c>
      <c r="H219" s="0" t="n">
        <v>188</v>
      </c>
    </row>
    <row r="220" customFormat="false" ht="15" hidden="false" customHeight="false" outlineLevel="0" collapsed="false">
      <c r="A220" s="0" t="n">
        <v>218</v>
      </c>
      <c r="B220" s="0" t="n">
        <v>219</v>
      </c>
      <c r="C220" s="0" t="n">
        <v>0.1212</v>
      </c>
      <c r="D220" s="0" t="n">
        <v>0.5</v>
      </c>
      <c r="E220" s="0" t="n">
        <v>0.2537</v>
      </c>
      <c r="F220" s="0" t="n">
        <v>2</v>
      </c>
      <c r="G220" s="0" t="n">
        <v>92</v>
      </c>
      <c r="H220" s="0" t="n">
        <v>94</v>
      </c>
    </row>
    <row r="221" customFormat="false" ht="15" hidden="false" customHeight="false" outlineLevel="0" collapsed="false">
      <c r="A221" s="0" t="n">
        <v>219</v>
      </c>
      <c r="B221" s="0" t="n">
        <v>220</v>
      </c>
      <c r="C221" s="0" t="n">
        <v>0.1212</v>
      </c>
      <c r="D221" s="0" t="n">
        <v>0.5</v>
      </c>
      <c r="E221" s="0" t="n">
        <v>0.2985</v>
      </c>
      <c r="F221" s="0" t="n">
        <v>0</v>
      </c>
      <c r="G221" s="0" t="n">
        <v>31</v>
      </c>
      <c r="H221" s="0" t="n">
        <v>31</v>
      </c>
    </row>
    <row r="222" customFormat="false" ht="15" hidden="false" customHeight="false" outlineLevel="0" collapsed="false">
      <c r="A222" s="0" t="n">
        <v>220</v>
      </c>
      <c r="B222" s="0" t="n">
        <v>221</v>
      </c>
      <c r="C222" s="0" t="n">
        <v>0.1364</v>
      </c>
      <c r="D222" s="0" t="n">
        <v>0.47</v>
      </c>
      <c r="E222" s="0" t="n">
        <v>0.2836</v>
      </c>
      <c r="F222" s="0" t="n">
        <v>2</v>
      </c>
      <c r="G222" s="0" t="n">
        <v>28</v>
      </c>
      <c r="H222" s="0" t="n">
        <v>30</v>
      </c>
    </row>
    <row r="223" customFormat="false" ht="15" hidden="false" customHeight="false" outlineLevel="0" collapsed="false">
      <c r="A223" s="0" t="n">
        <v>221</v>
      </c>
      <c r="B223" s="0" t="n">
        <v>222</v>
      </c>
      <c r="C223" s="0" t="n">
        <v>0.1818</v>
      </c>
      <c r="D223" s="0" t="n">
        <v>0.4</v>
      </c>
      <c r="E223" s="0" t="n">
        <v>0.2836</v>
      </c>
      <c r="F223" s="0" t="n">
        <v>5</v>
      </c>
      <c r="G223" s="0" t="n">
        <v>47</v>
      </c>
      <c r="H223" s="0" t="n">
        <v>52</v>
      </c>
    </row>
    <row r="224" customFormat="false" ht="15" hidden="false" customHeight="false" outlineLevel="0" collapsed="false">
      <c r="A224" s="0" t="n">
        <v>222</v>
      </c>
      <c r="B224" s="0" t="n">
        <v>223</v>
      </c>
      <c r="C224" s="0" t="n">
        <v>0.1818</v>
      </c>
      <c r="D224" s="0" t="n">
        <v>0.4</v>
      </c>
      <c r="E224" s="0" t="n">
        <v>0.2836</v>
      </c>
      <c r="F224" s="0" t="n">
        <v>4</v>
      </c>
      <c r="G224" s="0" t="n">
        <v>50</v>
      </c>
      <c r="H224" s="0" t="n">
        <v>54</v>
      </c>
    </row>
    <row r="225" customFormat="false" ht="15" hidden="false" customHeight="false" outlineLevel="0" collapsed="false">
      <c r="A225" s="0" t="n">
        <v>223</v>
      </c>
      <c r="B225" s="0" t="n">
        <v>224</v>
      </c>
      <c r="C225" s="0" t="n">
        <v>0.197</v>
      </c>
      <c r="D225" s="0" t="n">
        <v>0.4</v>
      </c>
      <c r="E225" s="0" t="n">
        <v>0.2239</v>
      </c>
      <c r="F225" s="0" t="n">
        <v>0</v>
      </c>
      <c r="G225" s="0" t="n">
        <v>47</v>
      </c>
      <c r="H225" s="0" t="n">
        <v>47</v>
      </c>
    </row>
    <row r="226" customFormat="false" ht="15" hidden="false" customHeight="false" outlineLevel="0" collapsed="false">
      <c r="A226" s="0" t="n">
        <v>224</v>
      </c>
      <c r="B226" s="0" t="n">
        <v>225</v>
      </c>
      <c r="C226" s="0" t="n">
        <v>0.197</v>
      </c>
      <c r="D226" s="0" t="n">
        <v>0.4</v>
      </c>
      <c r="E226" s="0" t="n">
        <v>0.2239</v>
      </c>
      <c r="F226" s="0" t="n">
        <v>2</v>
      </c>
      <c r="G226" s="0" t="n">
        <v>43</v>
      </c>
      <c r="H226" s="0" t="n">
        <v>45</v>
      </c>
    </row>
    <row r="227" customFormat="false" ht="15" hidden="false" customHeight="false" outlineLevel="0" collapsed="false">
      <c r="A227" s="0" t="n">
        <v>225</v>
      </c>
      <c r="B227" s="0" t="n">
        <v>226</v>
      </c>
      <c r="C227" s="0" t="n">
        <v>0.2121</v>
      </c>
      <c r="D227" s="0" t="n">
        <v>0.4</v>
      </c>
      <c r="E227" s="0" t="n">
        <v>0.1343</v>
      </c>
      <c r="F227" s="0" t="n">
        <v>4</v>
      </c>
      <c r="G227" s="0" t="n">
        <v>70</v>
      </c>
      <c r="H227" s="0" t="n">
        <v>74</v>
      </c>
    </row>
    <row r="228" customFormat="false" ht="15" hidden="false" customHeight="false" outlineLevel="0" collapsed="false">
      <c r="A228" s="0" t="n">
        <v>226</v>
      </c>
      <c r="B228" s="0" t="n">
        <v>227</v>
      </c>
      <c r="C228" s="0" t="n">
        <v>0.2273</v>
      </c>
      <c r="D228" s="0" t="n">
        <v>0.4</v>
      </c>
      <c r="E228" s="0" t="n">
        <v>0.1045</v>
      </c>
      <c r="F228" s="0" t="n">
        <v>4</v>
      </c>
      <c r="G228" s="0" t="n">
        <v>174</v>
      </c>
      <c r="H228" s="0" t="n">
        <v>178</v>
      </c>
    </row>
    <row r="229" customFormat="false" ht="15" hidden="false" customHeight="false" outlineLevel="0" collapsed="false">
      <c r="A229" s="0" t="n">
        <v>227</v>
      </c>
      <c r="B229" s="0" t="n">
        <v>228</v>
      </c>
      <c r="C229" s="0" t="n">
        <v>0.197</v>
      </c>
      <c r="D229" s="0" t="n">
        <v>0.4</v>
      </c>
      <c r="E229" s="0" t="n">
        <v>0.2239</v>
      </c>
      <c r="F229" s="0" t="n">
        <v>1</v>
      </c>
      <c r="G229" s="0" t="n">
        <v>154</v>
      </c>
      <c r="H229" s="0" t="n">
        <v>155</v>
      </c>
    </row>
    <row r="230" customFormat="false" ht="15" hidden="false" customHeight="false" outlineLevel="0" collapsed="false">
      <c r="A230" s="0" t="n">
        <v>228</v>
      </c>
      <c r="B230" s="0" t="n">
        <v>229</v>
      </c>
      <c r="C230" s="0" t="n">
        <v>0.1667</v>
      </c>
      <c r="D230" s="0" t="n">
        <v>0.47</v>
      </c>
      <c r="E230" s="0" t="n">
        <v>0.1642</v>
      </c>
      <c r="F230" s="0" t="n">
        <v>3</v>
      </c>
      <c r="G230" s="0" t="n">
        <v>92</v>
      </c>
      <c r="H230" s="0" t="n">
        <v>95</v>
      </c>
    </row>
    <row r="231" customFormat="false" ht="15" hidden="false" customHeight="false" outlineLevel="0" collapsed="false">
      <c r="A231" s="0" t="n">
        <v>229</v>
      </c>
      <c r="B231" s="0" t="n">
        <v>230</v>
      </c>
      <c r="C231" s="0" t="n">
        <v>0.1667</v>
      </c>
      <c r="D231" s="0" t="n">
        <v>0.5</v>
      </c>
      <c r="E231" s="0" t="n">
        <v>0.1642</v>
      </c>
      <c r="F231" s="0" t="n">
        <v>1</v>
      </c>
      <c r="G231" s="0" t="n">
        <v>73</v>
      </c>
      <c r="H231" s="0" t="n">
        <v>74</v>
      </c>
    </row>
    <row r="232" customFormat="false" ht="15" hidden="false" customHeight="false" outlineLevel="0" collapsed="false">
      <c r="A232" s="0" t="n">
        <v>230</v>
      </c>
      <c r="B232" s="0" t="n">
        <v>231</v>
      </c>
      <c r="C232" s="0" t="n">
        <v>0.1364</v>
      </c>
      <c r="D232" s="0" t="n">
        <v>0.59</v>
      </c>
      <c r="E232" s="0" t="n">
        <v>0.194</v>
      </c>
      <c r="F232" s="0" t="n">
        <v>1</v>
      </c>
      <c r="G232" s="0" t="n">
        <v>37</v>
      </c>
      <c r="H232" s="0" t="n">
        <v>38</v>
      </c>
    </row>
    <row r="233" customFormat="false" ht="15" hidden="false" customHeight="false" outlineLevel="0" collapsed="false">
      <c r="A233" s="0" t="n">
        <v>231</v>
      </c>
      <c r="B233" s="0" t="n">
        <v>232</v>
      </c>
      <c r="C233" s="0" t="n">
        <v>0.1515</v>
      </c>
      <c r="D233" s="0" t="n">
        <v>0.59</v>
      </c>
      <c r="E233" s="0" t="n">
        <v>0.1642</v>
      </c>
      <c r="F233" s="0" t="n">
        <v>2</v>
      </c>
      <c r="G233" s="0" t="n">
        <v>22</v>
      </c>
      <c r="H233" s="0" t="n">
        <v>24</v>
      </c>
    </row>
    <row r="234" customFormat="false" ht="15" hidden="false" customHeight="false" outlineLevel="0" collapsed="false">
      <c r="A234" s="0" t="n">
        <v>232</v>
      </c>
      <c r="B234" s="0" t="n">
        <v>233</v>
      </c>
      <c r="C234" s="0" t="n">
        <v>0.1515</v>
      </c>
      <c r="D234" s="0" t="n">
        <v>0.59</v>
      </c>
      <c r="E234" s="0" t="n">
        <v>0.1642</v>
      </c>
      <c r="F234" s="0" t="n">
        <v>0</v>
      </c>
      <c r="G234" s="0" t="n">
        <v>18</v>
      </c>
      <c r="H234" s="0" t="n">
        <v>18</v>
      </c>
    </row>
    <row r="235" customFormat="false" ht="15" hidden="false" customHeight="false" outlineLevel="0" collapsed="false">
      <c r="A235" s="0" t="n">
        <v>233</v>
      </c>
      <c r="B235" s="0" t="n">
        <v>234</v>
      </c>
      <c r="C235" s="0" t="n">
        <v>0.1667</v>
      </c>
      <c r="D235" s="0" t="n">
        <v>0.59</v>
      </c>
      <c r="E235" s="0" t="n">
        <v>0.1045</v>
      </c>
      <c r="F235" s="0" t="n">
        <v>2</v>
      </c>
      <c r="G235" s="0" t="n">
        <v>10</v>
      </c>
      <c r="H235" s="0" t="n">
        <v>12</v>
      </c>
    </row>
    <row r="236" customFormat="false" ht="15" hidden="false" customHeight="false" outlineLevel="0" collapsed="false">
      <c r="A236" s="0" t="n">
        <v>234</v>
      </c>
      <c r="B236" s="0" t="n">
        <v>235</v>
      </c>
      <c r="C236" s="0" t="n">
        <v>0.1515</v>
      </c>
      <c r="D236" s="0" t="n">
        <v>0.59</v>
      </c>
      <c r="E236" s="0" t="n">
        <v>0.1642</v>
      </c>
      <c r="F236" s="0" t="n">
        <v>0</v>
      </c>
      <c r="G236" s="0" t="n">
        <v>3</v>
      </c>
      <c r="H236" s="0" t="n">
        <v>3</v>
      </c>
    </row>
    <row r="237" customFormat="false" ht="15" hidden="false" customHeight="false" outlineLevel="0" collapsed="false">
      <c r="A237" s="0" t="n">
        <v>235</v>
      </c>
      <c r="B237" s="0" t="n">
        <v>236</v>
      </c>
      <c r="C237" s="0" t="n">
        <v>0.1515</v>
      </c>
      <c r="D237" s="0" t="n">
        <v>0.55</v>
      </c>
      <c r="E237" s="0" t="n">
        <v>0.194</v>
      </c>
      <c r="F237" s="0" t="n">
        <v>0</v>
      </c>
      <c r="G237" s="0" t="n">
        <v>3</v>
      </c>
      <c r="H237" s="0" t="n">
        <v>3</v>
      </c>
    </row>
    <row r="238" customFormat="false" ht="15" hidden="false" customHeight="false" outlineLevel="0" collapsed="false">
      <c r="A238" s="0" t="n">
        <v>236</v>
      </c>
      <c r="B238" s="0" t="n">
        <v>237</v>
      </c>
      <c r="C238" s="0" t="n">
        <v>0.1818</v>
      </c>
      <c r="D238" s="0" t="n">
        <v>0.55</v>
      </c>
      <c r="E238" s="0" t="n">
        <v>0.1343</v>
      </c>
      <c r="F238" s="0" t="n">
        <v>0</v>
      </c>
      <c r="G238" s="0" t="n">
        <v>6</v>
      </c>
      <c r="H238" s="0" t="n">
        <v>6</v>
      </c>
    </row>
    <row r="239" customFormat="false" ht="15" hidden="false" customHeight="false" outlineLevel="0" collapsed="false">
      <c r="A239" s="0" t="n">
        <v>237</v>
      </c>
      <c r="B239" s="0" t="n">
        <v>238</v>
      </c>
      <c r="C239" s="0" t="n">
        <v>0.1818</v>
      </c>
      <c r="D239" s="0" t="n">
        <v>0.55</v>
      </c>
      <c r="E239" s="0" t="n">
        <v>0.1343</v>
      </c>
      <c r="F239" s="0" t="n">
        <v>0</v>
      </c>
      <c r="G239" s="0" t="n">
        <v>27</v>
      </c>
      <c r="H239" s="0" t="n">
        <v>27</v>
      </c>
    </row>
    <row r="240" customFormat="false" ht="15" hidden="false" customHeight="false" outlineLevel="0" collapsed="false">
      <c r="A240" s="0" t="n">
        <v>238</v>
      </c>
      <c r="B240" s="0" t="n">
        <v>239</v>
      </c>
      <c r="C240" s="0" t="n">
        <v>0.2273</v>
      </c>
      <c r="D240" s="0" t="n">
        <v>0.55</v>
      </c>
      <c r="E240" s="0" t="n">
        <v>0</v>
      </c>
      <c r="F240" s="0" t="n">
        <v>2</v>
      </c>
      <c r="G240" s="0" t="n">
        <v>97</v>
      </c>
      <c r="H240" s="0" t="n">
        <v>99</v>
      </c>
    </row>
    <row r="241" customFormat="false" ht="15" hidden="false" customHeight="false" outlineLevel="0" collapsed="false">
      <c r="A241" s="0" t="n">
        <v>239</v>
      </c>
      <c r="B241" s="0" t="n">
        <v>240</v>
      </c>
      <c r="C241" s="0" t="n">
        <v>0.2121</v>
      </c>
      <c r="D241" s="0" t="n">
        <v>0.51</v>
      </c>
      <c r="E241" s="0" t="n">
        <v>0.0896</v>
      </c>
      <c r="F241" s="0" t="n">
        <v>3</v>
      </c>
      <c r="G241" s="0" t="n">
        <v>214</v>
      </c>
      <c r="H241" s="0" t="n">
        <v>217</v>
      </c>
    </row>
    <row r="242" customFormat="false" ht="15" hidden="false" customHeight="false" outlineLevel="0" collapsed="false">
      <c r="A242" s="0" t="n">
        <v>240</v>
      </c>
      <c r="B242" s="0" t="n">
        <v>241</v>
      </c>
      <c r="C242" s="0" t="n">
        <v>0.197</v>
      </c>
      <c r="D242" s="0" t="n">
        <v>0.51</v>
      </c>
      <c r="E242" s="0" t="n">
        <v>0.1642</v>
      </c>
      <c r="F242" s="0" t="n">
        <v>3</v>
      </c>
      <c r="G242" s="0" t="n">
        <v>127</v>
      </c>
      <c r="H242" s="0" t="n">
        <v>130</v>
      </c>
    </row>
    <row r="243" customFormat="false" ht="15" hidden="false" customHeight="false" outlineLevel="0" collapsed="false">
      <c r="A243" s="0" t="n">
        <v>241</v>
      </c>
      <c r="B243" s="0" t="n">
        <v>242</v>
      </c>
      <c r="C243" s="0" t="n">
        <v>0.2121</v>
      </c>
      <c r="D243" s="0" t="n">
        <v>0.51</v>
      </c>
      <c r="E243" s="0" t="n">
        <v>0.1642</v>
      </c>
      <c r="F243" s="0" t="n">
        <v>3</v>
      </c>
      <c r="G243" s="0" t="n">
        <v>51</v>
      </c>
      <c r="H243" s="0" t="n">
        <v>54</v>
      </c>
    </row>
    <row r="244" customFormat="false" ht="15" hidden="false" customHeight="false" outlineLevel="0" collapsed="false">
      <c r="A244" s="0" t="n">
        <v>242</v>
      </c>
      <c r="B244" s="0" t="n">
        <v>243</v>
      </c>
      <c r="C244" s="0" t="n">
        <v>0.2121</v>
      </c>
      <c r="D244" s="0" t="n">
        <v>0.47</v>
      </c>
      <c r="E244" s="0" t="n">
        <v>0.1343</v>
      </c>
      <c r="F244" s="0" t="n">
        <v>4</v>
      </c>
      <c r="G244" s="0" t="n">
        <v>31</v>
      </c>
      <c r="H244" s="0" t="n">
        <v>35</v>
      </c>
    </row>
    <row r="245" customFormat="false" ht="15" hidden="false" customHeight="false" outlineLevel="0" collapsed="false">
      <c r="A245" s="0" t="n">
        <v>243</v>
      </c>
      <c r="B245" s="0" t="n">
        <v>244</v>
      </c>
      <c r="C245" s="0" t="n">
        <v>0.2273</v>
      </c>
      <c r="D245" s="0" t="n">
        <v>0.51</v>
      </c>
      <c r="E245" s="0" t="n">
        <v>0.1045</v>
      </c>
      <c r="F245" s="0" t="n">
        <v>2</v>
      </c>
      <c r="G245" s="0" t="n">
        <v>55</v>
      </c>
      <c r="H245" s="0" t="n">
        <v>57</v>
      </c>
    </row>
    <row r="246" customFormat="false" ht="15" hidden="false" customHeight="false" outlineLevel="0" collapsed="false">
      <c r="A246" s="0" t="n">
        <v>244</v>
      </c>
      <c r="B246" s="0" t="n">
        <v>245</v>
      </c>
      <c r="C246" s="0" t="n">
        <v>0.2273</v>
      </c>
      <c r="D246" s="0" t="n">
        <v>0.59</v>
      </c>
      <c r="E246" s="0" t="n">
        <v>0.0896</v>
      </c>
      <c r="F246" s="0" t="n">
        <v>6</v>
      </c>
      <c r="G246" s="0" t="n">
        <v>46</v>
      </c>
      <c r="H246" s="0" t="n">
        <v>52</v>
      </c>
    </row>
    <row r="247" customFormat="false" ht="15" hidden="false" customHeight="false" outlineLevel="0" collapsed="false">
      <c r="A247" s="0" t="n">
        <v>245</v>
      </c>
      <c r="B247" s="0" t="n">
        <v>246</v>
      </c>
      <c r="C247" s="0" t="n">
        <v>0.2273</v>
      </c>
      <c r="D247" s="0" t="n">
        <v>0.59</v>
      </c>
      <c r="E247" s="0" t="n">
        <v>0.0896</v>
      </c>
      <c r="F247" s="0" t="n">
        <v>3</v>
      </c>
      <c r="G247" s="0" t="n">
        <v>60</v>
      </c>
      <c r="H247" s="0" t="n">
        <v>63</v>
      </c>
    </row>
    <row r="248" customFormat="false" ht="15" hidden="false" customHeight="false" outlineLevel="0" collapsed="false">
      <c r="A248" s="0" t="n">
        <v>246</v>
      </c>
      <c r="B248" s="0" t="n">
        <v>247</v>
      </c>
      <c r="C248" s="0" t="n">
        <v>0.197</v>
      </c>
      <c r="D248" s="0" t="n">
        <v>0.8</v>
      </c>
      <c r="E248" s="0" t="n">
        <v>0.0896</v>
      </c>
      <c r="F248" s="0" t="n">
        <v>2</v>
      </c>
      <c r="G248" s="0" t="n">
        <v>45</v>
      </c>
      <c r="H248" s="0" t="n">
        <v>47</v>
      </c>
    </row>
    <row r="249" customFormat="false" ht="15" hidden="false" customHeight="false" outlineLevel="0" collapsed="false">
      <c r="A249" s="0" t="n">
        <v>247</v>
      </c>
      <c r="B249" s="0" t="n">
        <v>248</v>
      </c>
      <c r="C249" s="0" t="n">
        <v>0.1515</v>
      </c>
      <c r="D249" s="0" t="n">
        <v>0.86</v>
      </c>
      <c r="E249" s="0" t="n">
        <v>0.2239</v>
      </c>
      <c r="F249" s="0" t="n">
        <v>4</v>
      </c>
      <c r="G249" s="0" t="n">
        <v>72</v>
      </c>
      <c r="H249" s="0" t="n">
        <v>76</v>
      </c>
    </row>
    <row r="250" customFormat="false" ht="15" hidden="false" customHeight="false" outlineLevel="0" collapsed="false">
      <c r="A250" s="0" t="n">
        <v>248</v>
      </c>
      <c r="B250" s="0" t="n">
        <v>249</v>
      </c>
      <c r="C250" s="0" t="n">
        <v>0.1515</v>
      </c>
      <c r="D250" s="0" t="n">
        <v>0.86</v>
      </c>
      <c r="E250" s="0" t="n">
        <v>0.2239</v>
      </c>
      <c r="F250" s="0" t="n">
        <v>6</v>
      </c>
      <c r="G250" s="0" t="n">
        <v>130</v>
      </c>
      <c r="H250" s="0" t="n">
        <v>136</v>
      </c>
    </row>
    <row r="251" customFormat="false" ht="15" hidden="false" customHeight="false" outlineLevel="0" collapsed="false">
      <c r="A251" s="0" t="n">
        <v>249</v>
      </c>
      <c r="B251" s="0" t="n">
        <v>250</v>
      </c>
      <c r="C251" s="0" t="n">
        <v>0.1818</v>
      </c>
      <c r="D251" s="0" t="n">
        <v>0.93</v>
      </c>
      <c r="E251" s="0" t="n">
        <v>0.1045</v>
      </c>
      <c r="F251" s="0" t="n">
        <v>1</v>
      </c>
      <c r="G251" s="0" t="n">
        <v>94</v>
      </c>
      <c r="H251" s="0" t="n">
        <v>95</v>
      </c>
    </row>
    <row r="252" customFormat="false" ht="15" hidden="false" customHeight="false" outlineLevel="0" collapsed="false">
      <c r="A252" s="0" t="n">
        <v>250</v>
      </c>
      <c r="B252" s="0" t="n">
        <v>251</v>
      </c>
      <c r="C252" s="0" t="n">
        <v>0.2273</v>
      </c>
      <c r="D252" s="0" t="n">
        <v>0.93</v>
      </c>
      <c r="E252" s="0" t="n">
        <v>0</v>
      </c>
      <c r="F252" s="0" t="n">
        <v>0</v>
      </c>
      <c r="G252" s="0" t="n">
        <v>51</v>
      </c>
      <c r="H252" s="0" t="n">
        <v>51</v>
      </c>
    </row>
    <row r="253" customFormat="false" ht="15" hidden="false" customHeight="false" outlineLevel="0" collapsed="false">
      <c r="A253" s="0" t="n">
        <v>251</v>
      </c>
      <c r="B253" s="0" t="n">
        <v>252</v>
      </c>
      <c r="C253" s="0" t="n">
        <v>0.1515</v>
      </c>
      <c r="D253" s="0" t="n">
        <v>0.93</v>
      </c>
      <c r="E253" s="0" t="n">
        <v>0.194</v>
      </c>
      <c r="F253" s="0" t="n">
        <v>0</v>
      </c>
      <c r="G253" s="0" t="n">
        <v>32</v>
      </c>
      <c r="H253" s="0" t="n">
        <v>32</v>
      </c>
    </row>
    <row r="254" customFormat="false" ht="15" hidden="false" customHeight="false" outlineLevel="0" collapsed="false">
      <c r="A254" s="0" t="n">
        <v>252</v>
      </c>
      <c r="B254" s="0" t="n">
        <v>253</v>
      </c>
      <c r="C254" s="0" t="n">
        <v>0.197</v>
      </c>
      <c r="D254" s="0" t="n">
        <v>0.86</v>
      </c>
      <c r="E254" s="0" t="n">
        <v>0.0896</v>
      </c>
      <c r="F254" s="0" t="n">
        <v>0</v>
      </c>
      <c r="G254" s="0" t="n">
        <v>20</v>
      </c>
      <c r="H254" s="0" t="n">
        <v>20</v>
      </c>
    </row>
    <row r="255" customFormat="false" ht="15" hidden="false" customHeight="false" outlineLevel="0" collapsed="false">
      <c r="A255" s="0" t="n">
        <v>253</v>
      </c>
      <c r="B255" s="0" t="n">
        <v>254</v>
      </c>
      <c r="C255" s="0" t="n">
        <v>0.1818</v>
      </c>
      <c r="D255" s="0" t="n">
        <v>0.93</v>
      </c>
      <c r="E255" s="0" t="n">
        <v>0.1045</v>
      </c>
      <c r="F255" s="0" t="n">
        <v>1</v>
      </c>
      <c r="G255" s="0" t="n">
        <v>28</v>
      </c>
      <c r="H255" s="0" t="n">
        <v>29</v>
      </c>
    </row>
    <row r="256" customFormat="false" ht="15" hidden="false" customHeight="false" outlineLevel="0" collapsed="false">
      <c r="A256" s="0" t="n">
        <v>254</v>
      </c>
      <c r="B256" s="0" t="n">
        <v>255</v>
      </c>
      <c r="C256" s="0" t="n">
        <v>0.197</v>
      </c>
      <c r="D256" s="0" t="n">
        <v>0.93</v>
      </c>
      <c r="E256" s="0" t="n">
        <v>0.0896</v>
      </c>
      <c r="F256" s="0" t="n">
        <v>1</v>
      </c>
      <c r="G256" s="0" t="n">
        <v>18</v>
      </c>
      <c r="H256" s="0" t="n">
        <v>19</v>
      </c>
    </row>
    <row r="257" customFormat="false" ht="15" hidden="false" customHeight="false" outlineLevel="0" collapsed="false">
      <c r="A257" s="0" t="n">
        <v>255</v>
      </c>
      <c r="B257" s="0" t="n">
        <v>256</v>
      </c>
      <c r="C257" s="0" t="n">
        <v>0.197</v>
      </c>
      <c r="D257" s="0" t="n">
        <v>0.86</v>
      </c>
      <c r="E257" s="0" t="n">
        <v>0.0896</v>
      </c>
      <c r="F257" s="0" t="n">
        <v>0</v>
      </c>
      <c r="G257" s="0" t="n">
        <v>7</v>
      </c>
      <c r="H257" s="0" t="n">
        <v>7</v>
      </c>
    </row>
    <row r="258" customFormat="false" ht="15" hidden="false" customHeight="false" outlineLevel="0" collapsed="false">
      <c r="A258" s="0" t="n">
        <v>256</v>
      </c>
      <c r="B258" s="0" t="n">
        <v>257</v>
      </c>
      <c r="C258" s="0" t="n">
        <v>0.1818</v>
      </c>
      <c r="D258" s="0" t="n">
        <v>0.86</v>
      </c>
      <c r="E258" s="0" t="n">
        <v>0.1045</v>
      </c>
      <c r="F258" s="0" t="n">
        <v>0</v>
      </c>
      <c r="G258" s="0" t="n">
        <v>6</v>
      </c>
      <c r="H258" s="0" t="n">
        <v>6</v>
      </c>
    </row>
    <row r="259" customFormat="false" ht="15" hidden="false" customHeight="false" outlineLevel="0" collapsed="false">
      <c r="A259" s="0" t="n">
        <v>257</v>
      </c>
      <c r="B259" s="0" t="n">
        <v>258</v>
      </c>
      <c r="C259" s="0" t="n">
        <v>0.1515</v>
      </c>
      <c r="D259" s="0" t="n">
        <v>0.86</v>
      </c>
      <c r="E259" s="0" t="n">
        <v>0.1343</v>
      </c>
      <c r="F259" s="0" t="n">
        <v>0</v>
      </c>
      <c r="G259" s="0" t="n">
        <v>1</v>
      </c>
      <c r="H259" s="0" t="n">
        <v>1</v>
      </c>
    </row>
    <row r="260" customFormat="false" ht="15" hidden="false" customHeight="false" outlineLevel="0" collapsed="false">
      <c r="A260" s="0" t="n">
        <v>258</v>
      </c>
      <c r="B260" s="0" t="n">
        <v>259</v>
      </c>
      <c r="C260" s="0" t="n">
        <v>0.1515</v>
      </c>
      <c r="D260" s="0" t="n">
        <v>0.86</v>
      </c>
      <c r="E260" s="0" t="n">
        <v>0.1642</v>
      </c>
      <c r="F260" s="0" t="n">
        <v>0</v>
      </c>
      <c r="G260" s="0" t="n">
        <v>5</v>
      </c>
      <c r="H260" s="0" t="n">
        <v>5</v>
      </c>
    </row>
    <row r="261" customFormat="false" ht="15" hidden="false" customHeight="false" outlineLevel="0" collapsed="false">
      <c r="A261" s="0" t="n">
        <v>259</v>
      </c>
      <c r="B261" s="0" t="n">
        <v>260</v>
      </c>
      <c r="C261" s="0" t="n">
        <v>0.1515</v>
      </c>
      <c r="D261" s="0" t="n">
        <v>0.93</v>
      </c>
      <c r="E261" s="0" t="n">
        <v>0.1343</v>
      </c>
      <c r="F261" s="0" t="n">
        <v>0</v>
      </c>
      <c r="G261" s="0" t="n">
        <v>16</v>
      </c>
      <c r="H261" s="0" t="n">
        <v>16</v>
      </c>
    </row>
    <row r="262" customFormat="false" ht="15" hidden="false" customHeight="false" outlineLevel="0" collapsed="false">
      <c r="A262" s="0" t="n">
        <v>260</v>
      </c>
      <c r="B262" s="0" t="n">
        <v>261</v>
      </c>
      <c r="C262" s="0" t="n">
        <v>0.1515</v>
      </c>
      <c r="D262" s="0" t="n">
        <v>0.69</v>
      </c>
      <c r="E262" s="0" t="n">
        <v>0.1343</v>
      </c>
      <c r="F262" s="0" t="n">
        <v>0</v>
      </c>
      <c r="G262" s="0" t="n">
        <v>54</v>
      </c>
      <c r="H262" s="0" t="n">
        <v>54</v>
      </c>
    </row>
    <row r="263" customFormat="false" ht="15" hidden="false" customHeight="false" outlineLevel="0" collapsed="false">
      <c r="A263" s="0" t="n">
        <v>261</v>
      </c>
      <c r="B263" s="0" t="n">
        <v>262</v>
      </c>
      <c r="C263" s="0" t="n">
        <v>0.1667</v>
      </c>
      <c r="D263" s="0" t="n">
        <v>0.59</v>
      </c>
      <c r="E263" s="0" t="n">
        <v>0.1642</v>
      </c>
      <c r="F263" s="0" t="n">
        <v>3</v>
      </c>
      <c r="G263" s="0" t="n">
        <v>125</v>
      </c>
      <c r="H263" s="0" t="n">
        <v>128</v>
      </c>
    </row>
    <row r="264" customFormat="false" ht="15" hidden="false" customHeight="false" outlineLevel="0" collapsed="false">
      <c r="A264" s="0" t="n">
        <v>262</v>
      </c>
      <c r="B264" s="0" t="n">
        <v>263</v>
      </c>
      <c r="C264" s="0" t="n">
        <v>0.1364</v>
      </c>
      <c r="D264" s="0" t="n">
        <v>0.59</v>
      </c>
      <c r="E264" s="0" t="n">
        <v>0.3284</v>
      </c>
      <c r="F264" s="0" t="n">
        <v>3</v>
      </c>
      <c r="G264" s="0" t="n">
        <v>78</v>
      </c>
      <c r="H264" s="0" t="n">
        <v>81</v>
      </c>
    </row>
    <row r="265" customFormat="false" ht="15" hidden="false" customHeight="false" outlineLevel="0" collapsed="false">
      <c r="A265" s="0" t="n">
        <v>263</v>
      </c>
      <c r="B265" s="0" t="n">
        <v>264</v>
      </c>
      <c r="C265" s="0" t="n">
        <v>0.1818</v>
      </c>
      <c r="D265" s="0" t="n">
        <v>0.55</v>
      </c>
      <c r="E265" s="0" t="n">
        <v>0.2239</v>
      </c>
      <c r="F265" s="0" t="n">
        <v>0</v>
      </c>
      <c r="G265" s="0" t="n">
        <v>39</v>
      </c>
      <c r="H265" s="0" t="n">
        <v>39</v>
      </c>
    </row>
    <row r="266" customFormat="false" ht="15" hidden="false" customHeight="false" outlineLevel="0" collapsed="false">
      <c r="A266" s="0" t="n">
        <v>264</v>
      </c>
      <c r="B266" s="0" t="n">
        <v>265</v>
      </c>
      <c r="C266" s="0" t="n">
        <v>0.1818</v>
      </c>
      <c r="D266" s="0" t="n">
        <v>0.51</v>
      </c>
      <c r="E266" s="0" t="n">
        <v>0.3881</v>
      </c>
      <c r="F266" s="0" t="n">
        <v>3</v>
      </c>
      <c r="G266" s="0" t="n">
        <v>32</v>
      </c>
      <c r="H266" s="0" t="n">
        <v>35</v>
      </c>
    </row>
    <row r="267" customFormat="false" ht="15" hidden="false" customHeight="false" outlineLevel="0" collapsed="false">
      <c r="A267" s="0" t="n">
        <v>265</v>
      </c>
      <c r="B267" s="0" t="n">
        <v>266</v>
      </c>
      <c r="C267" s="0" t="n">
        <v>0.1515</v>
      </c>
      <c r="D267" s="0" t="n">
        <v>0.47</v>
      </c>
      <c r="E267" s="0" t="n">
        <v>0.5821</v>
      </c>
      <c r="F267" s="0" t="n">
        <v>3</v>
      </c>
      <c r="G267" s="0" t="n">
        <v>52</v>
      </c>
      <c r="H267" s="0" t="n">
        <v>55</v>
      </c>
    </row>
    <row r="268" customFormat="false" ht="15" hidden="false" customHeight="false" outlineLevel="0" collapsed="false">
      <c r="A268" s="0" t="n">
        <v>266</v>
      </c>
      <c r="B268" s="0" t="n">
        <v>267</v>
      </c>
      <c r="C268" s="0" t="n">
        <v>0.197</v>
      </c>
      <c r="D268" s="0" t="n">
        <v>0.44</v>
      </c>
      <c r="E268" s="0" t="n">
        <v>0.3582</v>
      </c>
      <c r="F268" s="0" t="n">
        <v>0</v>
      </c>
      <c r="G268" s="0" t="n">
        <v>49</v>
      </c>
      <c r="H268" s="0" t="n">
        <v>49</v>
      </c>
    </row>
    <row r="269" customFormat="false" ht="15" hidden="false" customHeight="false" outlineLevel="0" collapsed="false">
      <c r="A269" s="0" t="n">
        <v>267</v>
      </c>
      <c r="B269" s="0" t="n">
        <v>268</v>
      </c>
      <c r="C269" s="0" t="n">
        <v>0.1818</v>
      </c>
      <c r="D269" s="0" t="n">
        <v>0.47</v>
      </c>
      <c r="E269" s="0" t="n">
        <v>0.3284</v>
      </c>
      <c r="F269" s="0" t="n">
        <v>0</v>
      </c>
      <c r="G269" s="0" t="n">
        <v>44</v>
      </c>
      <c r="H269" s="0" t="n">
        <v>44</v>
      </c>
    </row>
    <row r="270" customFormat="false" ht="15" hidden="false" customHeight="false" outlineLevel="0" collapsed="false">
      <c r="A270" s="0" t="n">
        <v>268</v>
      </c>
      <c r="B270" s="0" t="n">
        <v>269</v>
      </c>
      <c r="C270" s="0" t="n">
        <v>0.1667</v>
      </c>
      <c r="D270" s="0" t="n">
        <v>0.47</v>
      </c>
      <c r="E270" s="0" t="n">
        <v>0.4179</v>
      </c>
      <c r="F270" s="0" t="n">
        <v>1</v>
      </c>
      <c r="G270" s="0" t="n">
        <v>48</v>
      </c>
      <c r="H270" s="0" t="n">
        <v>49</v>
      </c>
    </row>
    <row r="271" customFormat="false" ht="15" hidden="false" customHeight="false" outlineLevel="0" collapsed="false">
      <c r="A271" s="0" t="n">
        <v>269</v>
      </c>
      <c r="B271" s="0" t="n">
        <v>270</v>
      </c>
      <c r="C271" s="0" t="n">
        <v>0.197</v>
      </c>
      <c r="D271" s="0" t="n">
        <v>0.44</v>
      </c>
      <c r="E271" s="0" t="n">
        <v>0.3284</v>
      </c>
      <c r="F271" s="0" t="n">
        <v>5</v>
      </c>
      <c r="G271" s="0" t="n">
        <v>63</v>
      </c>
      <c r="H271" s="0" t="n">
        <v>68</v>
      </c>
    </row>
    <row r="272" customFormat="false" ht="15" hidden="false" customHeight="false" outlineLevel="0" collapsed="false">
      <c r="A272" s="0" t="n">
        <v>270</v>
      </c>
      <c r="B272" s="0" t="n">
        <v>271</v>
      </c>
      <c r="C272" s="0" t="n">
        <v>0.1818</v>
      </c>
      <c r="D272" s="0" t="n">
        <v>0.47</v>
      </c>
      <c r="E272" s="0" t="n">
        <v>0.3582</v>
      </c>
      <c r="F272" s="0" t="n">
        <v>0</v>
      </c>
      <c r="G272" s="0" t="n">
        <v>139</v>
      </c>
      <c r="H272" s="0" t="n">
        <v>139</v>
      </c>
    </row>
    <row r="273" customFormat="false" ht="15" hidden="false" customHeight="false" outlineLevel="0" collapsed="false">
      <c r="A273" s="0" t="n">
        <v>271</v>
      </c>
      <c r="B273" s="0" t="n">
        <v>272</v>
      </c>
      <c r="C273" s="0" t="n">
        <v>0.1515</v>
      </c>
      <c r="D273" s="0" t="n">
        <v>0.47</v>
      </c>
      <c r="E273" s="0" t="n">
        <v>0.5224</v>
      </c>
      <c r="F273" s="0" t="n">
        <v>2</v>
      </c>
      <c r="G273" s="0" t="n">
        <v>135</v>
      </c>
      <c r="H273" s="0" t="n">
        <v>137</v>
      </c>
    </row>
    <row r="274" customFormat="false" ht="15" hidden="false" customHeight="false" outlineLevel="0" collapsed="false">
      <c r="A274" s="0" t="n">
        <v>272</v>
      </c>
      <c r="B274" s="0" t="n">
        <v>273</v>
      </c>
      <c r="C274" s="0" t="n">
        <v>0.1515</v>
      </c>
      <c r="D274" s="0" t="n">
        <v>0.47</v>
      </c>
      <c r="E274" s="0" t="n">
        <v>0.4179</v>
      </c>
      <c r="F274" s="0" t="n">
        <v>1</v>
      </c>
      <c r="G274" s="0" t="n">
        <v>82</v>
      </c>
      <c r="H274" s="0" t="n">
        <v>83</v>
      </c>
    </row>
    <row r="275" customFormat="false" ht="15" hidden="false" customHeight="false" outlineLevel="0" collapsed="false">
      <c r="A275" s="0" t="n">
        <v>273</v>
      </c>
      <c r="B275" s="0" t="n">
        <v>274</v>
      </c>
      <c r="C275" s="0" t="n">
        <v>0.1364</v>
      </c>
      <c r="D275" s="0" t="n">
        <v>0.5</v>
      </c>
      <c r="E275" s="0" t="n">
        <v>0.3284</v>
      </c>
      <c r="F275" s="0" t="n">
        <v>2</v>
      </c>
      <c r="G275" s="0" t="n">
        <v>54</v>
      </c>
      <c r="H275" s="0" t="n">
        <v>56</v>
      </c>
    </row>
    <row r="276" customFormat="false" ht="15" hidden="false" customHeight="false" outlineLevel="0" collapsed="false">
      <c r="A276" s="0" t="n">
        <v>274</v>
      </c>
      <c r="B276" s="0" t="n">
        <v>275</v>
      </c>
      <c r="C276" s="0" t="n">
        <v>0.1364</v>
      </c>
      <c r="D276" s="0" t="n">
        <v>0.55</v>
      </c>
      <c r="E276" s="0" t="n">
        <v>0.3284</v>
      </c>
      <c r="F276" s="0" t="n">
        <v>0</v>
      </c>
      <c r="G276" s="0" t="n">
        <v>57</v>
      </c>
      <c r="H276" s="0" t="n">
        <v>57</v>
      </c>
    </row>
    <row r="277" customFormat="false" ht="15" hidden="false" customHeight="false" outlineLevel="0" collapsed="false">
      <c r="A277" s="0" t="n">
        <v>275</v>
      </c>
      <c r="B277" s="0" t="n">
        <v>276</v>
      </c>
      <c r="C277" s="0" t="n">
        <v>0.1212</v>
      </c>
      <c r="D277" s="0" t="n">
        <v>0.55</v>
      </c>
      <c r="E277" s="0" t="n">
        <v>0.4478</v>
      </c>
      <c r="F277" s="0" t="n">
        <v>1</v>
      </c>
      <c r="G277" s="0" t="n">
        <v>32</v>
      </c>
      <c r="H277" s="0" t="n">
        <v>33</v>
      </c>
    </row>
    <row r="278" customFormat="false" ht="15" hidden="false" customHeight="false" outlineLevel="0" collapsed="false">
      <c r="A278" s="0" t="n">
        <v>276</v>
      </c>
      <c r="B278" s="0" t="n">
        <v>277</v>
      </c>
      <c r="C278" s="0" t="n">
        <v>0.1061</v>
      </c>
      <c r="D278" s="0" t="n">
        <v>0.59</v>
      </c>
      <c r="E278" s="0" t="n">
        <v>0.4179</v>
      </c>
      <c r="F278" s="0" t="n">
        <v>1</v>
      </c>
      <c r="G278" s="0" t="n">
        <v>19</v>
      </c>
      <c r="H278" s="0" t="n">
        <v>20</v>
      </c>
    </row>
    <row r="279" customFormat="false" ht="15" hidden="false" customHeight="false" outlineLevel="0" collapsed="false">
      <c r="A279" s="0" t="n">
        <v>277</v>
      </c>
      <c r="B279" s="0" t="n">
        <v>278</v>
      </c>
      <c r="C279" s="0" t="n">
        <v>0.1212</v>
      </c>
      <c r="D279" s="0" t="n">
        <v>0.59</v>
      </c>
      <c r="E279" s="0" t="n">
        <v>0.2836</v>
      </c>
      <c r="F279" s="0" t="n">
        <v>1</v>
      </c>
      <c r="G279" s="0" t="n">
        <v>6</v>
      </c>
      <c r="H279" s="0" t="n">
        <v>7</v>
      </c>
    </row>
    <row r="280" customFormat="false" ht="15" hidden="false" customHeight="false" outlineLevel="0" collapsed="false">
      <c r="A280" s="0" t="n">
        <v>278</v>
      </c>
      <c r="B280" s="0" t="n">
        <v>279</v>
      </c>
      <c r="C280" s="0" t="n">
        <v>0.1212</v>
      </c>
      <c r="D280" s="0" t="n">
        <v>0.5</v>
      </c>
      <c r="E280" s="0" t="n">
        <v>0.2836</v>
      </c>
      <c r="F280" s="0" t="n">
        <v>0</v>
      </c>
      <c r="G280" s="0" t="n">
        <v>2</v>
      </c>
      <c r="H280" s="0" t="n">
        <v>2</v>
      </c>
    </row>
    <row r="281" customFormat="false" ht="15" hidden="false" customHeight="false" outlineLevel="0" collapsed="false">
      <c r="A281" s="0" t="n">
        <v>279</v>
      </c>
      <c r="B281" s="0" t="n">
        <v>280</v>
      </c>
      <c r="C281" s="0" t="n">
        <v>0.1212</v>
      </c>
      <c r="D281" s="0" t="n">
        <v>0.5</v>
      </c>
      <c r="E281" s="0" t="n">
        <v>0.3582</v>
      </c>
      <c r="F281" s="0" t="n">
        <v>0</v>
      </c>
      <c r="G281" s="0" t="n">
        <v>2</v>
      </c>
      <c r="H281" s="0" t="n">
        <v>2</v>
      </c>
    </row>
    <row r="282" customFormat="false" ht="15" hidden="false" customHeight="false" outlineLevel="0" collapsed="false">
      <c r="A282" s="0" t="n">
        <v>280</v>
      </c>
      <c r="B282" s="0" t="n">
        <v>281</v>
      </c>
      <c r="C282" s="0" t="n">
        <v>0.1212</v>
      </c>
      <c r="D282" s="0" t="n">
        <v>0.5</v>
      </c>
      <c r="E282" s="0" t="n">
        <v>0.3284</v>
      </c>
      <c r="F282" s="0" t="n">
        <v>0</v>
      </c>
      <c r="G282" s="0" t="n">
        <v>3</v>
      </c>
      <c r="H282" s="0" t="n">
        <v>3</v>
      </c>
    </row>
    <row r="283" customFormat="false" ht="15" hidden="false" customHeight="false" outlineLevel="0" collapsed="false">
      <c r="A283" s="0" t="n">
        <v>281</v>
      </c>
      <c r="B283" s="0" t="n">
        <v>282</v>
      </c>
      <c r="C283" s="0" t="n">
        <v>0.1212</v>
      </c>
      <c r="D283" s="0" t="n">
        <v>0.5</v>
      </c>
      <c r="E283" s="0" t="n">
        <v>0.2537</v>
      </c>
      <c r="F283" s="0" t="n">
        <v>0</v>
      </c>
      <c r="G283" s="0" t="n">
        <v>4</v>
      </c>
      <c r="H283" s="0" t="n">
        <v>4</v>
      </c>
    </row>
    <row r="284" customFormat="false" ht="15" hidden="false" customHeight="false" outlineLevel="0" collapsed="false">
      <c r="A284" s="0" t="n">
        <v>282</v>
      </c>
      <c r="B284" s="0" t="n">
        <v>283</v>
      </c>
      <c r="C284" s="0" t="n">
        <v>0.1212</v>
      </c>
      <c r="D284" s="0" t="n">
        <v>0.5</v>
      </c>
      <c r="E284" s="0" t="n">
        <v>0.2985</v>
      </c>
      <c r="F284" s="0" t="n">
        <v>0</v>
      </c>
      <c r="G284" s="0" t="n">
        <v>3</v>
      </c>
      <c r="H284" s="0" t="n">
        <v>3</v>
      </c>
    </row>
    <row r="285" customFormat="false" ht="15" hidden="false" customHeight="false" outlineLevel="0" collapsed="false">
      <c r="A285" s="0" t="n">
        <v>283</v>
      </c>
      <c r="B285" s="0" t="n">
        <v>284</v>
      </c>
      <c r="C285" s="0" t="n">
        <v>0.1515</v>
      </c>
      <c r="D285" s="0" t="n">
        <v>0.54</v>
      </c>
      <c r="E285" s="0" t="n">
        <v>0.1343</v>
      </c>
      <c r="F285" s="0" t="n">
        <v>0</v>
      </c>
      <c r="G285" s="0" t="n">
        <v>28</v>
      </c>
      <c r="H285" s="0" t="n">
        <v>28</v>
      </c>
    </row>
    <row r="286" customFormat="false" ht="15" hidden="false" customHeight="false" outlineLevel="0" collapsed="false">
      <c r="A286" s="0" t="n">
        <v>284</v>
      </c>
      <c r="B286" s="0" t="n">
        <v>285</v>
      </c>
      <c r="C286" s="0" t="n">
        <v>0.1515</v>
      </c>
      <c r="D286" s="0" t="n">
        <v>0.54</v>
      </c>
      <c r="E286" s="0" t="n">
        <v>0.1343</v>
      </c>
      <c r="F286" s="0" t="n">
        <v>0</v>
      </c>
      <c r="G286" s="0" t="n">
        <v>72</v>
      </c>
      <c r="H286" s="0" t="n">
        <v>72</v>
      </c>
    </row>
    <row r="287" customFormat="false" ht="15" hidden="false" customHeight="false" outlineLevel="0" collapsed="false">
      <c r="A287" s="0" t="n">
        <v>285</v>
      </c>
      <c r="B287" s="0" t="n">
        <v>286</v>
      </c>
      <c r="C287" s="0" t="n">
        <v>0.1364</v>
      </c>
      <c r="D287" s="0" t="n">
        <v>0.5</v>
      </c>
      <c r="E287" s="0" t="n">
        <v>0.194</v>
      </c>
      <c r="F287" s="0" t="n">
        <v>5</v>
      </c>
      <c r="G287" s="0" t="n">
        <v>197</v>
      </c>
      <c r="H287" s="0" t="n">
        <v>202</v>
      </c>
    </row>
    <row r="288" customFormat="false" ht="15" hidden="false" customHeight="false" outlineLevel="0" collapsed="false">
      <c r="A288" s="0" t="n">
        <v>286</v>
      </c>
      <c r="B288" s="0" t="n">
        <v>287</v>
      </c>
      <c r="C288" s="0" t="n">
        <v>0.1212</v>
      </c>
      <c r="D288" s="0" t="n">
        <v>0.5</v>
      </c>
      <c r="E288" s="0" t="n">
        <v>0.3284</v>
      </c>
      <c r="F288" s="0" t="n">
        <v>2</v>
      </c>
      <c r="G288" s="0" t="n">
        <v>137</v>
      </c>
      <c r="H288" s="0" t="n">
        <v>139</v>
      </c>
    </row>
    <row r="289" customFormat="false" ht="15" hidden="false" customHeight="false" outlineLevel="0" collapsed="false">
      <c r="A289" s="0" t="n">
        <v>287</v>
      </c>
      <c r="B289" s="0" t="n">
        <v>288</v>
      </c>
      <c r="C289" s="0" t="n">
        <v>0.1364</v>
      </c>
      <c r="D289" s="0" t="n">
        <v>0.5</v>
      </c>
      <c r="E289" s="0" t="n">
        <v>0.3582</v>
      </c>
      <c r="F289" s="0" t="n">
        <v>2</v>
      </c>
      <c r="G289" s="0" t="n">
        <v>36</v>
      </c>
      <c r="H289" s="0" t="n">
        <v>38</v>
      </c>
    </row>
    <row r="290" customFormat="false" ht="15" hidden="false" customHeight="false" outlineLevel="0" collapsed="false">
      <c r="A290" s="0" t="n">
        <v>288</v>
      </c>
      <c r="B290" s="0" t="n">
        <v>289</v>
      </c>
      <c r="C290" s="0" t="n">
        <v>0.1667</v>
      </c>
      <c r="D290" s="0" t="n">
        <v>0.44</v>
      </c>
      <c r="E290" s="0" t="n">
        <v>0.4478</v>
      </c>
      <c r="F290" s="0" t="n">
        <v>4</v>
      </c>
      <c r="G290" s="0" t="n">
        <v>33</v>
      </c>
      <c r="H290" s="0" t="n">
        <v>37</v>
      </c>
    </row>
    <row r="291" customFormat="false" ht="15" hidden="false" customHeight="false" outlineLevel="0" collapsed="false">
      <c r="A291" s="0" t="n">
        <v>289</v>
      </c>
      <c r="B291" s="0" t="n">
        <v>290</v>
      </c>
      <c r="C291" s="0" t="n">
        <v>0.1667</v>
      </c>
      <c r="D291" s="0" t="n">
        <v>0.44</v>
      </c>
      <c r="E291" s="0" t="n">
        <v>0.4179</v>
      </c>
      <c r="F291" s="0" t="n">
        <v>3</v>
      </c>
      <c r="G291" s="0" t="n">
        <v>49</v>
      </c>
      <c r="H291" s="0" t="n">
        <v>52</v>
      </c>
    </row>
    <row r="292" customFormat="false" ht="15" hidden="false" customHeight="false" outlineLevel="0" collapsed="false">
      <c r="A292" s="0" t="n">
        <v>290</v>
      </c>
      <c r="B292" s="0" t="n">
        <v>291</v>
      </c>
      <c r="C292" s="0" t="n">
        <v>0.197</v>
      </c>
      <c r="D292" s="0" t="n">
        <v>0.41</v>
      </c>
      <c r="E292" s="0" t="n">
        <v>0.4478</v>
      </c>
      <c r="F292" s="0" t="n">
        <v>2</v>
      </c>
      <c r="G292" s="0" t="n">
        <v>81</v>
      </c>
      <c r="H292" s="0" t="n">
        <v>83</v>
      </c>
    </row>
    <row r="293" customFormat="false" ht="15" hidden="false" customHeight="false" outlineLevel="0" collapsed="false">
      <c r="A293" s="0" t="n">
        <v>291</v>
      </c>
      <c r="B293" s="0" t="n">
        <v>292</v>
      </c>
      <c r="C293" s="0" t="n">
        <v>0.197</v>
      </c>
      <c r="D293" s="0" t="n">
        <v>0.41</v>
      </c>
      <c r="E293" s="0" t="n">
        <v>0.3881</v>
      </c>
      <c r="F293" s="0" t="n">
        <v>3</v>
      </c>
      <c r="G293" s="0" t="n">
        <v>39</v>
      </c>
      <c r="H293" s="0" t="n">
        <v>42</v>
      </c>
    </row>
    <row r="294" customFormat="false" ht="15" hidden="false" customHeight="false" outlineLevel="0" collapsed="false">
      <c r="A294" s="0" t="n">
        <v>292</v>
      </c>
      <c r="B294" s="0" t="n">
        <v>293</v>
      </c>
      <c r="C294" s="0" t="n">
        <v>0.2121</v>
      </c>
      <c r="D294" s="0" t="n">
        <v>0.38</v>
      </c>
      <c r="E294" s="0" t="n">
        <v>0.2985</v>
      </c>
      <c r="F294" s="0" t="n">
        <v>5</v>
      </c>
      <c r="G294" s="0" t="n">
        <v>55</v>
      </c>
      <c r="H294" s="0" t="n">
        <v>60</v>
      </c>
    </row>
    <row r="295" customFormat="false" ht="15" hidden="false" customHeight="false" outlineLevel="0" collapsed="false">
      <c r="A295" s="0" t="n">
        <v>293</v>
      </c>
      <c r="B295" s="0" t="n">
        <v>294</v>
      </c>
      <c r="C295" s="0" t="n">
        <v>0.2121</v>
      </c>
      <c r="D295" s="0" t="n">
        <v>0.38</v>
      </c>
      <c r="E295" s="0" t="n">
        <v>0.3582</v>
      </c>
      <c r="F295" s="0" t="n">
        <v>2</v>
      </c>
      <c r="G295" s="0" t="n">
        <v>76</v>
      </c>
      <c r="H295" s="0" t="n">
        <v>78</v>
      </c>
    </row>
    <row r="296" customFormat="false" ht="15" hidden="false" customHeight="false" outlineLevel="0" collapsed="false">
      <c r="A296" s="0" t="n">
        <v>294</v>
      </c>
      <c r="B296" s="0" t="n">
        <v>295</v>
      </c>
      <c r="C296" s="0" t="n">
        <v>0.1818</v>
      </c>
      <c r="D296" s="0" t="n">
        <v>0.4</v>
      </c>
      <c r="E296" s="0" t="n">
        <v>0.2836</v>
      </c>
      <c r="F296" s="0" t="n">
        <v>4</v>
      </c>
      <c r="G296" s="0" t="n">
        <v>158</v>
      </c>
      <c r="H296" s="0" t="n">
        <v>162</v>
      </c>
    </row>
    <row r="297" customFormat="false" ht="15" hidden="false" customHeight="false" outlineLevel="0" collapsed="false">
      <c r="A297" s="0" t="n">
        <v>295</v>
      </c>
      <c r="B297" s="0" t="n">
        <v>296</v>
      </c>
      <c r="C297" s="0" t="n">
        <v>0.1818</v>
      </c>
      <c r="D297" s="0" t="n">
        <v>0.4</v>
      </c>
      <c r="E297" s="0" t="n">
        <v>0.3284</v>
      </c>
      <c r="F297" s="0" t="n">
        <v>3</v>
      </c>
      <c r="G297" s="0" t="n">
        <v>141</v>
      </c>
      <c r="H297" s="0" t="n">
        <v>144</v>
      </c>
    </row>
    <row r="298" customFormat="false" ht="15" hidden="false" customHeight="false" outlineLevel="0" collapsed="false">
      <c r="A298" s="0" t="n">
        <v>296</v>
      </c>
      <c r="B298" s="0" t="n">
        <v>297</v>
      </c>
      <c r="C298" s="0" t="n">
        <v>0.1515</v>
      </c>
      <c r="D298" s="0" t="n">
        <v>0.47</v>
      </c>
      <c r="E298" s="0" t="n">
        <v>0.2537</v>
      </c>
      <c r="F298" s="0" t="n">
        <v>1</v>
      </c>
      <c r="G298" s="0" t="n">
        <v>98</v>
      </c>
      <c r="H298" s="0" t="n">
        <v>99</v>
      </c>
    </row>
    <row r="299" customFormat="false" ht="15" hidden="false" customHeight="false" outlineLevel="0" collapsed="false">
      <c r="A299" s="0" t="n">
        <v>297</v>
      </c>
      <c r="B299" s="0" t="n">
        <v>298</v>
      </c>
      <c r="C299" s="0" t="n">
        <v>0.1515</v>
      </c>
      <c r="D299" s="0" t="n">
        <v>0.47</v>
      </c>
      <c r="E299" s="0" t="n">
        <v>0.2239</v>
      </c>
      <c r="F299" s="0" t="n">
        <v>0</v>
      </c>
      <c r="G299" s="0" t="n">
        <v>64</v>
      </c>
      <c r="H299" s="0" t="n">
        <v>64</v>
      </c>
    </row>
    <row r="300" customFormat="false" ht="15" hidden="false" customHeight="false" outlineLevel="0" collapsed="false">
      <c r="A300" s="0" t="n">
        <v>298</v>
      </c>
      <c r="B300" s="0" t="n">
        <v>299</v>
      </c>
      <c r="C300" s="0" t="n">
        <v>0.1212</v>
      </c>
      <c r="D300" s="0" t="n">
        <v>0.46</v>
      </c>
      <c r="E300" s="0" t="n">
        <v>0.2985</v>
      </c>
      <c r="F300" s="0" t="n">
        <v>0</v>
      </c>
      <c r="G300" s="0" t="n">
        <v>40</v>
      </c>
      <c r="H300" s="0" t="n">
        <v>40</v>
      </c>
    </row>
    <row r="301" customFormat="false" ht="15" hidden="false" customHeight="false" outlineLevel="0" collapsed="false">
      <c r="A301" s="0" t="n">
        <v>299</v>
      </c>
      <c r="B301" s="0" t="n">
        <v>300</v>
      </c>
      <c r="C301" s="0" t="n">
        <v>0.1212</v>
      </c>
      <c r="D301" s="0" t="n">
        <v>0.46</v>
      </c>
      <c r="E301" s="0" t="n">
        <v>0.3284</v>
      </c>
      <c r="F301" s="0" t="n">
        <v>0</v>
      </c>
      <c r="G301" s="0" t="n">
        <v>30</v>
      </c>
      <c r="H301" s="0" t="n">
        <v>30</v>
      </c>
    </row>
    <row r="302" customFormat="false" ht="15" hidden="false" customHeight="false" outlineLevel="0" collapsed="false">
      <c r="A302" s="0" t="n">
        <v>300</v>
      </c>
      <c r="B302" s="0" t="n">
        <v>301</v>
      </c>
      <c r="C302" s="0" t="n">
        <v>0.1364</v>
      </c>
      <c r="D302" s="0" t="n">
        <v>0.5</v>
      </c>
      <c r="E302" s="0" t="n">
        <v>0.194</v>
      </c>
      <c r="F302" s="0" t="n">
        <v>1</v>
      </c>
      <c r="G302" s="0" t="n">
        <v>14</v>
      </c>
      <c r="H302" s="0" t="n">
        <v>15</v>
      </c>
    </row>
    <row r="303" customFormat="false" ht="15" hidden="false" customHeight="false" outlineLevel="0" collapsed="false">
      <c r="A303" s="0" t="n">
        <v>301</v>
      </c>
      <c r="B303" s="0" t="n">
        <v>302</v>
      </c>
      <c r="C303" s="0" t="n">
        <v>0.1364</v>
      </c>
      <c r="D303" s="0" t="n">
        <v>0.5</v>
      </c>
      <c r="E303" s="0" t="n">
        <v>0.194</v>
      </c>
      <c r="F303" s="0" t="n">
        <v>0</v>
      </c>
      <c r="G303" s="0" t="n">
        <v>14</v>
      </c>
      <c r="H303" s="0" t="n">
        <v>14</v>
      </c>
    </row>
    <row r="304" customFormat="false" ht="15" hidden="false" customHeight="false" outlineLevel="0" collapsed="false">
      <c r="A304" s="0" t="n">
        <v>302</v>
      </c>
      <c r="B304" s="0" t="n">
        <v>303</v>
      </c>
      <c r="C304" s="0" t="n">
        <v>0.1212</v>
      </c>
      <c r="D304" s="0" t="n">
        <v>0.54</v>
      </c>
      <c r="E304" s="0" t="n">
        <v>0.1642</v>
      </c>
      <c r="F304" s="0" t="n">
        <v>0</v>
      </c>
      <c r="G304" s="0" t="n">
        <v>5</v>
      </c>
      <c r="H304" s="0" t="n">
        <v>5</v>
      </c>
    </row>
    <row r="305" customFormat="false" ht="15" hidden="false" customHeight="false" outlineLevel="0" collapsed="false">
      <c r="A305" s="0" t="n">
        <v>303</v>
      </c>
      <c r="B305" s="0" t="n">
        <v>304</v>
      </c>
      <c r="C305" s="0" t="n">
        <v>0.1212</v>
      </c>
      <c r="D305" s="0" t="n">
        <v>0.54</v>
      </c>
      <c r="E305" s="0" t="n">
        <v>0.1343</v>
      </c>
      <c r="F305" s="0" t="n">
        <v>0</v>
      </c>
      <c r="G305" s="0" t="n">
        <v>1</v>
      </c>
      <c r="H305" s="0" t="n">
        <v>1</v>
      </c>
    </row>
    <row r="306" customFormat="false" ht="15" hidden="false" customHeight="false" outlineLevel="0" collapsed="false">
      <c r="A306" s="0" t="n">
        <v>304</v>
      </c>
      <c r="B306" s="0" t="n">
        <v>305</v>
      </c>
      <c r="C306" s="0" t="n">
        <v>0.1364</v>
      </c>
      <c r="D306" s="0" t="n">
        <v>0.54</v>
      </c>
      <c r="E306" s="0" t="n">
        <v>0.1045</v>
      </c>
      <c r="F306" s="0" t="n">
        <v>0</v>
      </c>
      <c r="G306" s="0" t="n">
        <v>1</v>
      </c>
      <c r="H306" s="0" t="n">
        <v>1</v>
      </c>
    </row>
    <row r="307" customFormat="false" ht="15" hidden="false" customHeight="false" outlineLevel="0" collapsed="false">
      <c r="A307" s="0" t="n">
        <v>305</v>
      </c>
      <c r="B307" s="0" t="n">
        <v>306</v>
      </c>
      <c r="C307" s="0" t="n">
        <v>0.1364</v>
      </c>
      <c r="D307" s="0" t="n">
        <v>0.54</v>
      </c>
      <c r="E307" s="0" t="n">
        <v>0.0896</v>
      </c>
      <c r="F307" s="0" t="n">
        <v>0</v>
      </c>
      <c r="G307" s="0" t="n">
        <v>8</v>
      </c>
      <c r="H307" s="0" t="n">
        <v>8</v>
      </c>
    </row>
    <row r="308" customFormat="false" ht="15" hidden="false" customHeight="false" outlineLevel="0" collapsed="false">
      <c r="A308" s="0" t="n">
        <v>306</v>
      </c>
      <c r="B308" s="0" t="n">
        <v>307</v>
      </c>
      <c r="C308" s="0" t="n">
        <v>0.1818</v>
      </c>
      <c r="D308" s="0" t="n">
        <v>0.54</v>
      </c>
      <c r="E308" s="0" t="n">
        <v>0</v>
      </c>
      <c r="F308" s="0" t="n">
        <v>0</v>
      </c>
      <c r="G308" s="0" t="n">
        <v>17</v>
      </c>
      <c r="H308" s="0" t="n">
        <v>17</v>
      </c>
    </row>
    <row r="309" customFormat="false" ht="15" hidden="false" customHeight="false" outlineLevel="0" collapsed="false">
      <c r="A309" s="0" t="n">
        <v>307</v>
      </c>
      <c r="B309" s="0" t="n">
        <v>308</v>
      </c>
      <c r="C309" s="0" t="n">
        <v>0.1212</v>
      </c>
      <c r="D309" s="0" t="n">
        <v>0.74</v>
      </c>
      <c r="E309" s="0" t="n">
        <v>0.1642</v>
      </c>
      <c r="F309" s="0" t="n">
        <v>0</v>
      </c>
      <c r="G309" s="0" t="n">
        <v>70</v>
      </c>
      <c r="H309" s="0" t="n">
        <v>70</v>
      </c>
    </row>
    <row r="310" customFormat="false" ht="15" hidden="false" customHeight="false" outlineLevel="0" collapsed="false">
      <c r="A310" s="0" t="n">
        <v>308</v>
      </c>
      <c r="B310" s="0" t="n">
        <v>309</v>
      </c>
      <c r="C310" s="0" t="n">
        <v>0.1667</v>
      </c>
      <c r="D310" s="0" t="n">
        <v>0.68</v>
      </c>
      <c r="E310" s="0" t="n">
        <v>0</v>
      </c>
      <c r="F310" s="0" t="n">
        <v>2</v>
      </c>
      <c r="G310" s="0" t="n">
        <v>156</v>
      </c>
      <c r="H310" s="0" t="n">
        <v>158</v>
      </c>
    </row>
    <row r="311" customFormat="false" ht="15" hidden="false" customHeight="false" outlineLevel="0" collapsed="false">
      <c r="A311" s="0" t="n">
        <v>309</v>
      </c>
      <c r="B311" s="0" t="n">
        <v>310</v>
      </c>
      <c r="C311" s="0" t="n">
        <v>0.1515</v>
      </c>
      <c r="D311" s="0" t="n">
        <v>0.69</v>
      </c>
      <c r="E311" s="0" t="n">
        <v>0.1343</v>
      </c>
      <c r="F311" s="0" t="n">
        <v>0</v>
      </c>
      <c r="G311" s="0" t="n">
        <v>117</v>
      </c>
      <c r="H311" s="0" t="n">
        <v>117</v>
      </c>
    </row>
    <row r="312" customFormat="false" ht="15" hidden="false" customHeight="false" outlineLevel="0" collapsed="false">
      <c r="A312" s="0" t="n">
        <v>310</v>
      </c>
      <c r="B312" s="0" t="n">
        <v>311</v>
      </c>
      <c r="C312" s="0" t="n">
        <v>0.1818</v>
      </c>
      <c r="D312" s="0" t="n">
        <v>0.55</v>
      </c>
      <c r="E312" s="0" t="n">
        <v>0.194</v>
      </c>
      <c r="F312" s="0" t="n">
        <v>4</v>
      </c>
      <c r="G312" s="0" t="n">
        <v>40</v>
      </c>
      <c r="H312" s="0" t="n">
        <v>44</v>
      </c>
    </row>
    <row r="313" customFormat="false" ht="15" hidden="false" customHeight="false" outlineLevel="0" collapsed="false">
      <c r="A313" s="0" t="n">
        <v>311</v>
      </c>
      <c r="B313" s="0" t="n">
        <v>312</v>
      </c>
      <c r="C313" s="0" t="n">
        <v>0.1667</v>
      </c>
      <c r="D313" s="0" t="n">
        <v>0.51</v>
      </c>
      <c r="E313" s="0" t="n">
        <v>0.2836</v>
      </c>
      <c r="F313" s="0" t="n">
        <v>6</v>
      </c>
      <c r="G313" s="0" t="n">
        <v>47</v>
      </c>
      <c r="H313" s="0" t="n">
        <v>53</v>
      </c>
    </row>
    <row r="314" customFormat="false" ht="15" hidden="false" customHeight="false" outlineLevel="0" collapsed="false">
      <c r="A314" s="0" t="n">
        <v>312</v>
      </c>
      <c r="B314" s="0" t="n">
        <v>313</v>
      </c>
      <c r="C314" s="0" t="n">
        <v>0.197</v>
      </c>
      <c r="D314" s="0" t="n">
        <v>0.44</v>
      </c>
      <c r="E314" s="0" t="n">
        <v>0.2537</v>
      </c>
      <c r="F314" s="0" t="n">
        <v>2</v>
      </c>
      <c r="G314" s="0" t="n">
        <v>59</v>
      </c>
      <c r="H314" s="0" t="n">
        <v>61</v>
      </c>
    </row>
    <row r="315" customFormat="false" ht="15" hidden="false" customHeight="false" outlineLevel="0" collapsed="false">
      <c r="A315" s="0" t="n">
        <v>313</v>
      </c>
      <c r="B315" s="0" t="n">
        <v>314</v>
      </c>
      <c r="C315" s="0" t="n">
        <v>0.197</v>
      </c>
      <c r="D315" s="0" t="n">
        <v>0.37</v>
      </c>
      <c r="E315" s="0" t="n">
        <v>0.3881</v>
      </c>
      <c r="F315" s="0" t="n">
        <v>4</v>
      </c>
      <c r="G315" s="0" t="n">
        <v>73</v>
      </c>
      <c r="H315" s="0" t="n">
        <v>77</v>
      </c>
    </row>
    <row r="316" customFormat="false" ht="15" hidden="false" customHeight="false" outlineLevel="0" collapsed="false">
      <c r="A316" s="0" t="n">
        <v>314</v>
      </c>
      <c r="B316" s="0" t="n">
        <v>315</v>
      </c>
      <c r="C316" s="0" t="n">
        <v>0.2121</v>
      </c>
      <c r="D316" s="0" t="n">
        <v>0.41</v>
      </c>
      <c r="E316" s="0" t="n">
        <v>0.2836</v>
      </c>
      <c r="F316" s="0" t="n">
        <v>5</v>
      </c>
      <c r="G316" s="0" t="n">
        <v>59</v>
      </c>
      <c r="H316" s="0" t="n">
        <v>64</v>
      </c>
    </row>
    <row r="317" customFormat="false" ht="15" hidden="false" customHeight="false" outlineLevel="0" collapsed="false">
      <c r="A317" s="0" t="n">
        <v>315</v>
      </c>
      <c r="B317" s="0" t="n">
        <v>316</v>
      </c>
      <c r="C317" s="0" t="n">
        <v>0.2424</v>
      </c>
      <c r="D317" s="0" t="n">
        <v>0.38</v>
      </c>
      <c r="E317" s="0" t="n">
        <v>0.1642</v>
      </c>
      <c r="F317" s="0" t="n">
        <v>9</v>
      </c>
      <c r="G317" s="0" t="n">
        <v>59</v>
      </c>
      <c r="H317" s="0" t="n">
        <v>68</v>
      </c>
    </row>
    <row r="318" customFormat="false" ht="15" hidden="false" customHeight="false" outlineLevel="0" collapsed="false">
      <c r="A318" s="0" t="n">
        <v>316</v>
      </c>
      <c r="B318" s="0" t="n">
        <v>317</v>
      </c>
      <c r="C318" s="0" t="n">
        <v>0.2424</v>
      </c>
      <c r="D318" s="0" t="n">
        <v>0.41</v>
      </c>
      <c r="E318" s="0" t="n">
        <v>0.1045</v>
      </c>
      <c r="F318" s="0" t="n">
        <v>3</v>
      </c>
      <c r="G318" s="0" t="n">
        <v>87</v>
      </c>
      <c r="H318" s="0" t="n">
        <v>90</v>
      </c>
    </row>
    <row r="319" customFormat="false" ht="15" hidden="false" customHeight="false" outlineLevel="0" collapsed="false">
      <c r="A319" s="0" t="n">
        <v>317</v>
      </c>
      <c r="B319" s="0" t="n">
        <v>318</v>
      </c>
      <c r="C319" s="0" t="n">
        <v>0.2273</v>
      </c>
      <c r="D319" s="0" t="n">
        <v>0.41</v>
      </c>
      <c r="E319" s="0" t="n">
        <v>0.1642</v>
      </c>
      <c r="F319" s="0" t="n">
        <v>4</v>
      </c>
      <c r="G319" s="0" t="n">
        <v>155</v>
      </c>
      <c r="H319" s="0" t="n">
        <v>159</v>
      </c>
    </row>
    <row r="320" customFormat="false" ht="15" hidden="false" customHeight="false" outlineLevel="0" collapsed="false">
      <c r="A320" s="0" t="n">
        <v>318</v>
      </c>
      <c r="B320" s="0" t="n">
        <v>319</v>
      </c>
      <c r="C320" s="0" t="n">
        <v>0.2576</v>
      </c>
      <c r="D320" s="0" t="n">
        <v>0.47</v>
      </c>
      <c r="E320" s="0" t="n">
        <v>0</v>
      </c>
      <c r="F320" s="0" t="n">
        <v>5</v>
      </c>
      <c r="G320" s="0" t="n">
        <v>134</v>
      </c>
      <c r="H320" s="0" t="n">
        <v>139</v>
      </c>
    </row>
    <row r="321" customFormat="false" ht="15" hidden="false" customHeight="false" outlineLevel="0" collapsed="false">
      <c r="A321" s="0" t="n">
        <v>319</v>
      </c>
      <c r="B321" s="0" t="n">
        <v>320</v>
      </c>
      <c r="C321" s="0" t="n">
        <v>0.197</v>
      </c>
      <c r="D321" s="0" t="n">
        <v>0.59</v>
      </c>
      <c r="E321" s="0" t="n">
        <v>0.0896</v>
      </c>
      <c r="F321" s="0" t="n">
        <v>3</v>
      </c>
      <c r="G321" s="0" t="n">
        <v>89</v>
      </c>
      <c r="H321" s="0" t="n">
        <v>92</v>
      </c>
    </row>
    <row r="322" customFormat="false" ht="15" hidden="false" customHeight="false" outlineLevel="0" collapsed="false">
      <c r="A322" s="0" t="n">
        <v>320</v>
      </c>
      <c r="B322" s="0" t="n">
        <v>321</v>
      </c>
      <c r="C322" s="0" t="n">
        <v>0.2424</v>
      </c>
      <c r="D322" s="0" t="n">
        <v>0.59</v>
      </c>
      <c r="E322" s="0" t="n">
        <v>0</v>
      </c>
      <c r="F322" s="0" t="n">
        <v>0</v>
      </c>
      <c r="G322" s="0" t="n">
        <v>68</v>
      </c>
      <c r="H322" s="0" t="n">
        <v>68</v>
      </c>
    </row>
    <row r="323" customFormat="false" ht="15" hidden="false" customHeight="false" outlineLevel="0" collapsed="false">
      <c r="A323" s="0" t="n">
        <v>321</v>
      </c>
      <c r="B323" s="0" t="n">
        <v>322</v>
      </c>
      <c r="C323" s="0" t="n">
        <v>0.2273</v>
      </c>
      <c r="D323" s="0" t="n">
        <v>0.69</v>
      </c>
      <c r="E323" s="0" t="n">
        <v>0</v>
      </c>
      <c r="F323" s="0" t="n">
        <v>4</v>
      </c>
      <c r="G323" s="0" t="n">
        <v>48</v>
      </c>
      <c r="H323" s="0" t="n">
        <v>52</v>
      </c>
    </row>
    <row r="324" customFormat="false" ht="15" hidden="false" customHeight="false" outlineLevel="0" collapsed="false">
      <c r="A324" s="0" t="n">
        <v>322</v>
      </c>
      <c r="B324" s="0" t="n">
        <v>323</v>
      </c>
      <c r="C324" s="0" t="n">
        <v>0.2273</v>
      </c>
      <c r="D324" s="0" t="n">
        <v>0.69</v>
      </c>
      <c r="E324" s="0" t="n">
        <v>0</v>
      </c>
      <c r="F324" s="0" t="n">
        <v>2</v>
      </c>
      <c r="G324" s="0" t="n">
        <v>34</v>
      </c>
      <c r="H324" s="0" t="n">
        <v>36</v>
      </c>
    </row>
    <row r="325" customFormat="false" ht="15" hidden="false" customHeight="false" outlineLevel="0" collapsed="false">
      <c r="A325" s="0" t="n">
        <v>323</v>
      </c>
      <c r="B325" s="0" t="n">
        <v>324</v>
      </c>
      <c r="C325" s="0" t="n">
        <v>0.2424</v>
      </c>
      <c r="D325" s="0" t="n">
        <v>0.55</v>
      </c>
      <c r="E325" s="0" t="n">
        <v>0</v>
      </c>
      <c r="F325" s="0" t="n">
        <v>1</v>
      </c>
      <c r="G325" s="0" t="n">
        <v>26</v>
      </c>
      <c r="H325" s="0" t="n">
        <v>27</v>
      </c>
    </row>
    <row r="326" customFormat="false" ht="15" hidden="false" customHeight="false" outlineLevel="0" collapsed="false">
      <c r="A326" s="0" t="n">
        <v>324</v>
      </c>
      <c r="B326" s="0" t="n">
        <v>325</v>
      </c>
      <c r="C326" s="0" t="n">
        <v>0.2424</v>
      </c>
      <c r="D326" s="0" t="n">
        <v>0.55</v>
      </c>
      <c r="E326" s="0" t="n">
        <v>0</v>
      </c>
      <c r="F326" s="0" t="n">
        <v>3</v>
      </c>
      <c r="G326" s="0" t="n">
        <v>25</v>
      </c>
      <c r="H326" s="0" t="n">
        <v>28</v>
      </c>
    </row>
    <row r="327" customFormat="false" ht="15" hidden="false" customHeight="false" outlineLevel="0" collapsed="false">
      <c r="A327" s="0" t="n">
        <v>325</v>
      </c>
      <c r="B327" s="0" t="n">
        <v>326</v>
      </c>
      <c r="C327" s="0" t="n">
        <v>0.197</v>
      </c>
      <c r="D327" s="0" t="n">
        <v>0.59</v>
      </c>
      <c r="E327" s="0" t="n">
        <v>0.0896</v>
      </c>
      <c r="F327" s="0" t="n">
        <v>2</v>
      </c>
      <c r="G327" s="0" t="n">
        <v>18</v>
      </c>
      <c r="H327" s="0" t="n">
        <v>20</v>
      </c>
    </row>
    <row r="328" customFormat="false" ht="15" hidden="false" customHeight="false" outlineLevel="0" collapsed="false">
      <c r="A328" s="0" t="n">
        <v>326</v>
      </c>
      <c r="B328" s="0" t="n">
        <v>327</v>
      </c>
      <c r="C328" s="0" t="n">
        <v>0.197</v>
      </c>
      <c r="D328" s="0" t="n">
        <v>0.59</v>
      </c>
      <c r="E328" s="0" t="n">
        <v>0.0896</v>
      </c>
      <c r="F328" s="0" t="n">
        <v>0</v>
      </c>
      <c r="G328" s="0" t="n">
        <v>12</v>
      </c>
      <c r="H328" s="0" t="n">
        <v>12</v>
      </c>
    </row>
    <row r="329" customFormat="false" ht="15" hidden="false" customHeight="false" outlineLevel="0" collapsed="false">
      <c r="A329" s="0" t="n">
        <v>327</v>
      </c>
      <c r="B329" s="0" t="n">
        <v>328</v>
      </c>
      <c r="C329" s="0" t="n">
        <v>0.2273</v>
      </c>
      <c r="D329" s="0" t="n">
        <v>0.59</v>
      </c>
      <c r="E329" s="0" t="n">
        <v>0</v>
      </c>
      <c r="F329" s="0" t="n">
        <v>1</v>
      </c>
      <c r="G329" s="0" t="n">
        <v>7</v>
      </c>
      <c r="H329" s="0" t="n">
        <v>8</v>
      </c>
    </row>
    <row r="330" customFormat="false" ht="15" hidden="false" customHeight="false" outlineLevel="0" collapsed="false">
      <c r="A330" s="0" t="n">
        <v>328</v>
      </c>
      <c r="B330" s="0" t="n">
        <v>329</v>
      </c>
      <c r="C330" s="0" t="n">
        <v>0.2273</v>
      </c>
      <c r="D330" s="0" t="n">
        <v>0.59</v>
      </c>
      <c r="E330" s="0" t="n">
        <v>0</v>
      </c>
      <c r="F330" s="0" t="n">
        <v>0</v>
      </c>
      <c r="G330" s="0" t="n">
        <v>5</v>
      </c>
      <c r="H330" s="0" t="n">
        <v>5</v>
      </c>
    </row>
    <row r="331" customFormat="false" ht="15" hidden="false" customHeight="false" outlineLevel="0" collapsed="false">
      <c r="A331" s="0" t="n">
        <v>329</v>
      </c>
      <c r="B331" s="0" t="n">
        <v>330</v>
      </c>
      <c r="C331" s="0" t="n">
        <v>0.2273</v>
      </c>
      <c r="D331" s="0" t="n">
        <v>0.59</v>
      </c>
      <c r="E331" s="0" t="n">
        <v>0</v>
      </c>
      <c r="F331" s="0" t="n">
        <v>0</v>
      </c>
      <c r="G331" s="0" t="n">
        <v>1</v>
      </c>
      <c r="H331" s="0" t="n">
        <v>1</v>
      </c>
    </row>
    <row r="332" customFormat="false" ht="15" hidden="false" customHeight="false" outlineLevel="0" collapsed="false">
      <c r="A332" s="0" t="n">
        <v>330</v>
      </c>
      <c r="B332" s="0" t="n">
        <v>331</v>
      </c>
      <c r="C332" s="0" t="n">
        <v>0.1667</v>
      </c>
      <c r="D332" s="0" t="n">
        <v>0.63</v>
      </c>
      <c r="E332" s="0" t="n">
        <v>0.1045</v>
      </c>
      <c r="F332" s="0" t="n">
        <v>1</v>
      </c>
      <c r="G332" s="0" t="n">
        <v>2</v>
      </c>
      <c r="H332" s="0" t="n">
        <v>3</v>
      </c>
    </row>
    <row r="333" customFormat="false" ht="15" hidden="false" customHeight="false" outlineLevel="0" collapsed="false">
      <c r="A333" s="0" t="n">
        <v>331</v>
      </c>
      <c r="B333" s="0" t="n">
        <v>332</v>
      </c>
      <c r="C333" s="0" t="n">
        <v>0.2121</v>
      </c>
      <c r="D333" s="0" t="n">
        <v>0.63</v>
      </c>
      <c r="E333" s="0" t="n">
        <v>0</v>
      </c>
      <c r="F333" s="0" t="n">
        <v>1</v>
      </c>
      <c r="G333" s="0" t="n">
        <v>9</v>
      </c>
      <c r="H333" s="0" t="n">
        <v>10</v>
      </c>
    </row>
    <row r="334" customFormat="false" ht="15" hidden="false" customHeight="false" outlineLevel="0" collapsed="false">
      <c r="A334" s="0" t="n">
        <v>332</v>
      </c>
      <c r="B334" s="0" t="n">
        <v>333</v>
      </c>
      <c r="C334" s="0" t="n">
        <v>0.1515</v>
      </c>
      <c r="D334" s="0" t="n">
        <v>0.63</v>
      </c>
      <c r="E334" s="0" t="n">
        <v>0.1343</v>
      </c>
      <c r="F334" s="0" t="n">
        <v>1</v>
      </c>
      <c r="G334" s="0" t="n">
        <v>22</v>
      </c>
      <c r="H334" s="0" t="n">
        <v>23</v>
      </c>
    </row>
    <row r="335" customFormat="false" ht="15" hidden="false" customHeight="false" outlineLevel="0" collapsed="false">
      <c r="A335" s="0" t="n">
        <v>333</v>
      </c>
      <c r="B335" s="0" t="n">
        <v>334</v>
      </c>
      <c r="C335" s="0" t="n">
        <v>0.1818</v>
      </c>
      <c r="D335" s="0" t="n">
        <v>0.64</v>
      </c>
      <c r="E335" s="0" t="n">
        <v>0.1343</v>
      </c>
      <c r="F335" s="0" t="n">
        <v>2</v>
      </c>
      <c r="G335" s="0" t="n">
        <v>31</v>
      </c>
      <c r="H335" s="0" t="n">
        <v>33</v>
      </c>
    </row>
    <row r="336" customFormat="false" ht="15" hidden="false" customHeight="false" outlineLevel="0" collapsed="false">
      <c r="A336" s="0" t="n">
        <v>334</v>
      </c>
      <c r="B336" s="0" t="n">
        <v>335</v>
      </c>
      <c r="C336" s="0" t="n">
        <v>0.197</v>
      </c>
      <c r="D336" s="0" t="n">
        <v>0.59</v>
      </c>
      <c r="E336" s="0" t="n">
        <v>0.1642</v>
      </c>
      <c r="F336" s="0" t="n">
        <v>2</v>
      </c>
      <c r="G336" s="0" t="n">
        <v>57</v>
      </c>
      <c r="H336" s="0" t="n">
        <v>59</v>
      </c>
    </row>
    <row r="337" customFormat="false" ht="15" hidden="false" customHeight="false" outlineLevel="0" collapsed="false">
      <c r="A337" s="0" t="n">
        <v>335</v>
      </c>
      <c r="B337" s="0" t="n">
        <v>336</v>
      </c>
      <c r="C337" s="0" t="n">
        <v>0.197</v>
      </c>
      <c r="D337" s="0" t="n">
        <v>0.55</v>
      </c>
      <c r="E337" s="0" t="n">
        <v>0.2239</v>
      </c>
      <c r="F337" s="0" t="n">
        <v>18</v>
      </c>
      <c r="G337" s="0" t="n">
        <v>54</v>
      </c>
      <c r="H337" s="0" t="n">
        <v>72</v>
      </c>
    </row>
    <row r="338" customFormat="false" ht="15" hidden="false" customHeight="false" outlineLevel="0" collapsed="false">
      <c r="A338" s="0" t="n">
        <v>336</v>
      </c>
      <c r="B338" s="0" t="n">
        <v>337</v>
      </c>
      <c r="C338" s="0" t="n">
        <v>0.2273</v>
      </c>
      <c r="D338" s="0" t="n">
        <v>0.48</v>
      </c>
      <c r="E338" s="0" t="n">
        <v>0.2239</v>
      </c>
      <c r="F338" s="0" t="n">
        <v>15</v>
      </c>
      <c r="G338" s="0" t="n">
        <v>74</v>
      </c>
      <c r="H338" s="0" t="n">
        <v>89</v>
      </c>
    </row>
    <row r="339" customFormat="false" ht="15" hidden="false" customHeight="false" outlineLevel="0" collapsed="false">
      <c r="A339" s="0" t="n">
        <v>337</v>
      </c>
      <c r="B339" s="0" t="n">
        <v>338</v>
      </c>
      <c r="C339" s="0" t="n">
        <v>0.2576</v>
      </c>
      <c r="D339" s="0" t="n">
        <v>0.38</v>
      </c>
      <c r="E339" s="0" t="n">
        <v>0.2985</v>
      </c>
      <c r="F339" s="0" t="n">
        <v>21</v>
      </c>
      <c r="G339" s="0" t="n">
        <v>80</v>
      </c>
      <c r="H339" s="0" t="n">
        <v>101</v>
      </c>
    </row>
    <row r="340" customFormat="false" ht="15" hidden="false" customHeight="false" outlineLevel="0" collapsed="false">
      <c r="A340" s="0" t="n">
        <v>338</v>
      </c>
      <c r="B340" s="0" t="n">
        <v>339</v>
      </c>
      <c r="C340" s="0" t="n">
        <v>0.2879</v>
      </c>
      <c r="D340" s="0" t="n">
        <v>0.39</v>
      </c>
      <c r="E340" s="0" t="n">
        <v>0.2836</v>
      </c>
      <c r="F340" s="0" t="n">
        <v>26</v>
      </c>
      <c r="G340" s="0" t="n">
        <v>92</v>
      </c>
      <c r="H340" s="0" t="n">
        <v>118</v>
      </c>
    </row>
    <row r="341" customFormat="false" ht="15" hidden="false" customHeight="false" outlineLevel="0" collapsed="false">
      <c r="A341" s="0" t="n">
        <v>339</v>
      </c>
      <c r="B341" s="0" t="n">
        <v>340</v>
      </c>
      <c r="C341" s="0" t="n">
        <v>0.3182</v>
      </c>
      <c r="D341" s="0" t="n">
        <v>0.36</v>
      </c>
      <c r="E341" s="0" t="n">
        <v>0.194</v>
      </c>
      <c r="F341" s="0" t="n">
        <v>21</v>
      </c>
      <c r="G341" s="0" t="n">
        <v>108</v>
      </c>
      <c r="H341" s="0" t="n">
        <v>129</v>
      </c>
    </row>
    <row r="342" customFormat="false" ht="15" hidden="false" customHeight="false" outlineLevel="0" collapsed="false">
      <c r="A342" s="0" t="n">
        <v>340</v>
      </c>
      <c r="B342" s="0" t="n">
        <v>341</v>
      </c>
      <c r="C342" s="0" t="n">
        <v>0.3333</v>
      </c>
      <c r="D342" s="0" t="n">
        <v>0.34</v>
      </c>
      <c r="E342" s="0" t="n">
        <v>0.194</v>
      </c>
      <c r="F342" s="0" t="n">
        <v>33</v>
      </c>
      <c r="G342" s="0" t="n">
        <v>95</v>
      </c>
      <c r="H342" s="0" t="n">
        <v>128</v>
      </c>
    </row>
    <row r="343" customFormat="false" ht="15" hidden="false" customHeight="false" outlineLevel="0" collapsed="false">
      <c r="A343" s="0" t="n">
        <v>341</v>
      </c>
      <c r="B343" s="0" t="n">
        <v>342</v>
      </c>
      <c r="C343" s="0" t="n">
        <v>0.303</v>
      </c>
      <c r="D343" s="0" t="n">
        <v>0.36</v>
      </c>
      <c r="E343" s="0" t="n">
        <v>0.2836</v>
      </c>
      <c r="F343" s="0" t="n">
        <v>29</v>
      </c>
      <c r="G343" s="0" t="n">
        <v>54</v>
      </c>
      <c r="H343" s="0" t="n">
        <v>83</v>
      </c>
    </row>
    <row r="344" customFormat="false" ht="15" hidden="false" customHeight="false" outlineLevel="0" collapsed="false">
      <c r="A344" s="0" t="n">
        <v>342</v>
      </c>
      <c r="B344" s="0" t="n">
        <v>343</v>
      </c>
      <c r="C344" s="0" t="n">
        <v>0.2879</v>
      </c>
      <c r="D344" s="0" t="n">
        <v>0.45</v>
      </c>
      <c r="E344" s="0" t="n">
        <v>0.2537</v>
      </c>
      <c r="F344" s="0" t="n">
        <v>15</v>
      </c>
      <c r="G344" s="0" t="n">
        <v>69</v>
      </c>
      <c r="H344" s="0" t="n">
        <v>84</v>
      </c>
    </row>
    <row r="345" customFormat="false" ht="15" hidden="false" customHeight="false" outlineLevel="0" collapsed="false">
      <c r="A345" s="0" t="n">
        <v>343</v>
      </c>
      <c r="B345" s="0" t="n">
        <v>344</v>
      </c>
      <c r="C345" s="0" t="n">
        <v>0.303</v>
      </c>
      <c r="D345" s="0" t="n">
        <v>0.39</v>
      </c>
      <c r="E345" s="0" t="n">
        <v>0.2537</v>
      </c>
      <c r="F345" s="0" t="n">
        <v>14</v>
      </c>
      <c r="G345" s="0" t="n">
        <v>60</v>
      </c>
      <c r="H345" s="0" t="n">
        <v>74</v>
      </c>
    </row>
    <row r="346" customFormat="false" ht="15" hidden="false" customHeight="false" outlineLevel="0" collapsed="false">
      <c r="A346" s="0" t="n">
        <v>344</v>
      </c>
      <c r="B346" s="0" t="n">
        <v>345</v>
      </c>
      <c r="C346" s="0" t="n">
        <v>0.303</v>
      </c>
      <c r="D346" s="0" t="n">
        <v>0.39</v>
      </c>
      <c r="E346" s="0" t="n">
        <v>0.2537</v>
      </c>
      <c r="F346" s="0" t="n">
        <v>6</v>
      </c>
      <c r="G346" s="0" t="n">
        <v>35</v>
      </c>
      <c r="H346" s="0" t="n">
        <v>41</v>
      </c>
    </row>
    <row r="347" customFormat="false" ht="15" hidden="false" customHeight="false" outlineLevel="0" collapsed="false">
      <c r="A347" s="0" t="n">
        <v>345</v>
      </c>
      <c r="B347" s="0" t="n">
        <v>346</v>
      </c>
      <c r="C347" s="0" t="n">
        <v>0.303</v>
      </c>
      <c r="D347" s="0" t="n">
        <v>0.39</v>
      </c>
      <c r="E347" s="0" t="n">
        <v>0.2239</v>
      </c>
      <c r="F347" s="0" t="n">
        <v>6</v>
      </c>
      <c r="G347" s="0" t="n">
        <v>51</v>
      </c>
      <c r="H347" s="0" t="n">
        <v>57</v>
      </c>
    </row>
    <row r="348" customFormat="false" ht="15" hidden="false" customHeight="false" outlineLevel="0" collapsed="false">
      <c r="A348" s="0" t="n">
        <v>346</v>
      </c>
      <c r="B348" s="0" t="n">
        <v>347</v>
      </c>
      <c r="C348" s="0" t="n">
        <v>0.3182</v>
      </c>
      <c r="D348" s="0" t="n">
        <v>0.42</v>
      </c>
      <c r="E348" s="0" t="n">
        <v>0.1045</v>
      </c>
      <c r="F348" s="0" t="n">
        <v>0</v>
      </c>
      <c r="G348" s="0" t="n">
        <v>26</v>
      </c>
      <c r="H348" s="0" t="n">
        <v>26</v>
      </c>
    </row>
    <row r="349" customFormat="false" ht="15" hidden="false" customHeight="false" outlineLevel="0" collapsed="false">
      <c r="A349" s="0" t="n">
        <v>347</v>
      </c>
      <c r="B349" s="0" t="n">
        <v>348</v>
      </c>
      <c r="C349" s="0" t="n">
        <v>0.2879</v>
      </c>
      <c r="D349" s="0" t="n">
        <v>0.45</v>
      </c>
      <c r="E349" s="0" t="n">
        <v>0.2836</v>
      </c>
      <c r="F349" s="0" t="n">
        <v>5</v>
      </c>
      <c r="G349" s="0" t="n">
        <v>39</v>
      </c>
      <c r="H349" s="0" t="n">
        <v>44</v>
      </c>
    </row>
    <row r="350" customFormat="false" ht="15" hidden="false" customHeight="false" outlineLevel="0" collapsed="false">
      <c r="A350" s="0" t="n">
        <v>348</v>
      </c>
      <c r="B350" s="0" t="n">
        <v>349</v>
      </c>
      <c r="C350" s="0" t="n">
        <v>0.303</v>
      </c>
      <c r="D350" s="0" t="n">
        <v>0.56</v>
      </c>
      <c r="E350" s="0" t="n">
        <v>0</v>
      </c>
      <c r="F350" s="0" t="n">
        <v>6</v>
      </c>
      <c r="G350" s="0" t="n">
        <v>33</v>
      </c>
      <c r="H350" s="0" t="n">
        <v>39</v>
      </c>
    </row>
    <row r="351" customFormat="false" ht="15" hidden="false" customHeight="false" outlineLevel="0" collapsed="false">
      <c r="A351" s="0" t="n">
        <v>349</v>
      </c>
      <c r="B351" s="0" t="n">
        <v>350</v>
      </c>
      <c r="C351" s="0" t="n">
        <v>0.2727</v>
      </c>
      <c r="D351" s="0" t="n">
        <v>0.56</v>
      </c>
      <c r="E351" s="0" t="n">
        <v>0.1343</v>
      </c>
      <c r="F351" s="0" t="n">
        <v>4</v>
      </c>
      <c r="G351" s="0" t="n">
        <v>19</v>
      </c>
      <c r="H351" s="0" t="n">
        <v>23</v>
      </c>
    </row>
    <row r="352" customFormat="false" ht="15" hidden="false" customHeight="false" outlineLevel="0" collapsed="false">
      <c r="A352" s="0" t="n">
        <v>350</v>
      </c>
      <c r="B352" s="0" t="n">
        <v>351</v>
      </c>
      <c r="C352" s="0" t="n">
        <v>0.2879</v>
      </c>
      <c r="D352" s="0" t="n">
        <v>0.56</v>
      </c>
      <c r="E352" s="0" t="n">
        <v>0.0896</v>
      </c>
      <c r="F352" s="0" t="n">
        <v>3</v>
      </c>
      <c r="G352" s="0" t="n">
        <v>13</v>
      </c>
      <c r="H352" s="0" t="n">
        <v>16</v>
      </c>
    </row>
    <row r="353" customFormat="false" ht="15" hidden="false" customHeight="false" outlineLevel="0" collapsed="false">
      <c r="A353" s="0" t="n">
        <v>351</v>
      </c>
      <c r="B353" s="0" t="n">
        <v>352</v>
      </c>
      <c r="C353" s="0" t="n">
        <v>0.2727</v>
      </c>
      <c r="D353" s="0" t="n">
        <v>0.69</v>
      </c>
      <c r="E353" s="0" t="n">
        <v>0</v>
      </c>
      <c r="F353" s="0" t="n">
        <v>9</v>
      </c>
      <c r="G353" s="0" t="n">
        <v>6</v>
      </c>
      <c r="H353" s="0" t="n">
        <v>15</v>
      </c>
    </row>
    <row r="354" customFormat="false" ht="15" hidden="false" customHeight="false" outlineLevel="0" collapsed="false">
      <c r="A354" s="0" t="n">
        <v>352</v>
      </c>
      <c r="B354" s="0" t="n">
        <v>353</v>
      </c>
      <c r="C354" s="0" t="n">
        <v>0.2576</v>
      </c>
      <c r="D354" s="0" t="n">
        <v>0.56</v>
      </c>
      <c r="E354" s="0" t="n">
        <v>0.1642</v>
      </c>
      <c r="F354" s="0" t="n">
        <v>0</v>
      </c>
      <c r="G354" s="0" t="n">
        <v>1</v>
      </c>
      <c r="H354" s="0" t="n">
        <v>1</v>
      </c>
    </row>
    <row r="355" customFormat="false" ht="15" hidden="false" customHeight="false" outlineLevel="0" collapsed="false">
      <c r="A355" s="0" t="n">
        <v>353</v>
      </c>
      <c r="B355" s="0" t="n">
        <v>354</v>
      </c>
      <c r="C355" s="0" t="n">
        <v>0.2576</v>
      </c>
      <c r="D355" s="0" t="n">
        <v>0.56</v>
      </c>
      <c r="E355" s="0" t="n">
        <v>0.1642</v>
      </c>
      <c r="F355" s="0" t="n">
        <v>1</v>
      </c>
      <c r="G355" s="0" t="n">
        <v>1</v>
      </c>
      <c r="H355" s="0" t="n">
        <v>2</v>
      </c>
    </row>
    <row r="356" customFormat="false" ht="15" hidden="false" customHeight="false" outlineLevel="0" collapsed="false">
      <c r="A356" s="0" t="n">
        <v>354</v>
      </c>
      <c r="B356" s="0" t="n">
        <v>355</v>
      </c>
      <c r="C356" s="0" t="n">
        <v>0.2576</v>
      </c>
      <c r="D356" s="0" t="n">
        <v>0.56</v>
      </c>
      <c r="E356" s="0" t="n">
        <v>0.1642</v>
      </c>
      <c r="F356" s="0" t="n">
        <v>0</v>
      </c>
      <c r="G356" s="0" t="n">
        <v>1</v>
      </c>
      <c r="H356" s="0" t="n">
        <v>1</v>
      </c>
    </row>
    <row r="357" customFormat="false" ht="15" hidden="false" customHeight="false" outlineLevel="0" collapsed="false">
      <c r="A357" s="0" t="n">
        <v>355</v>
      </c>
      <c r="B357" s="0" t="n">
        <v>356</v>
      </c>
      <c r="C357" s="0" t="n">
        <v>0.2121</v>
      </c>
      <c r="D357" s="0" t="n">
        <v>0.56</v>
      </c>
      <c r="E357" s="0" t="n">
        <v>0.2985</v>
      </c>
      <c r="F357" s="0" t="n">
        <v>0</v>
      </c>
      <c r="G357" s="0" t="n">
        <v>3</v>
      </c>
      <c r="H357" s="0" t="n">
        <v>3</v>
      </c>
    </row>
    <row r="358" customFormat="false" ht="15" hidden="false" customHeight="false" outlineLevel="0" collapsed="false">
      <c r="A358" s="0" t="n">
        <v>356</v>
      </c>
      <c r="B358" s="0" t="n">
        <v>357</v>
      </c>
      <c r="C358" s="0" t="n">
        <v>0.2121</v>
      </c>
      <c r="D358" s="0" t="n">
        <v>0.55</v>
      </c>
      <c r="E358" s="0" t="n">
        <v>0.2836</v>
      </c>
      <c r="F358" s="0" t="n">
        <v>0</v>
      </c>
      <c r="G358" s="0" t="n">
        <v>18</v>
      </c>
      <c r="H358" s="0" t="n">
        <v>18</v>
      </c>
    </row>
    <row r="359" customFormat="false" ht="15" hidden="false" customHeight="false" outlineLevel="0" collapsed="false">
      <c r="A359" s="0" t="n">
        <v>357</v>
      </c>
      <c r="B359" s="0" t="n">
        <v>358</v>
      </c>
      <c r="C359" s="0" t="n">
        <v>0.2121</v>
      </c>
      <c r="D359" s="0" t="n">
        <v>0.51</v>
      </c>
      <c r="E359" s="0" t="n">
        <v>0.2537</v>
      </c>
      <c r="F359" s="0" t="n">
        <v>3</v>
      </c>
      <c r="G359" s="0" t="n">
        <v>29</v>
      </c>
      <c r="H359" s="0" t="n">
        <v>32</v>
      </c>
    </row>
    <row r="360" customFormat="false" ht="15" hidden="false" customHeight="false" outlineLevel="0" collapsed="false">
      <c r="A360" s="0" t="n">
        <v>358</v>
      </c>
      <c r="B360" s="0" t="n">
        <v>359</v>
      </c>
      <c r="C360" s="0" t="n">
        <v>0.2121</v>
      </c>
      <c r="D360" s="0" t="n">
        <v>0.51</v>
      </c>
      <c r="E360" s="0" t="n">
        <v>0.2836</v>
      </c>
      <c r="F360" s="0" t="n">
        <v>8</v>
      </c>
      <c r="G360" s="0" t="n">
        <v>71</v>
      </c>
      <c r="H360" s="0" t="n">
        <v>79</v>
      </c>
    </row>
    <row r="361" customFormat="false" ht="15" hidden="false" customHeight="false" outlineLevel="0" collapsed="false">
      <c r="A361" s="0" t="n">
        <v>359</v>
      </c>
      <c r="B361" s="0" t="n">
        <v>360</v>
      </c>
      <c r="C361" s="0" t="n">
        <v>0.2273</v>
      </c>
      <c r="D361" s="0" t="n">
        <v>0.44</v>
      </c>
      <c r="E361" s="0" t="n">
        <v>0.2537</v>
      </c>
      <c r="F361" s="0" t="n">
        <v>23</v>
      </c>
      <c r="G361" s="0" t="n">
        <v>70</v>
      </c>
      <c r="H361" s="0" t="n">
        <v>93</v>
      </c>
    </row>
    <row r="362" customFormat="false" ht="15" hidden="false" customHeight="false" outlineLevel="0" collapsed="false">
      <c r="A362" s="0" t="n">
        <v>360</v>
      </c>
      <c r="B362" s="0" t="n">
        <v>361</v>
      </c>
      <c r="C362" s="0" t="n">
        <v>0.2121</v>
      </c>
      <c r="D362" s="0" t="n">
        <v>0.41</v>
      </c>
      <c r="E362" s="0" t="n">
        <v>0.2836</v>
      </c>
      <c r="F362" s="0" t="n">
        <v>29</v>
      </c>
      <c r="G362" s="0" t="n">
        <v>75</v>
      </c>
      <c r="H362" s="0" t="n">
        <v>104</v>
      </c>
    </row>
    <row r="363" customFormat="false" ht="15" hidden="false" customHeight="false" outlineLevel="0" collapsed="false">
      <c r="A363" s="0" t="n">
        <v>361</v>
      </c>
      <c r="B363" s="0" t="n">
        <v>362</v>
      </c>
      <c r="C363" s="0" t="n">
        <v>0.2273</v>
      </c>
      <c r="D363" s="0" t="n">
        <v>0.35</v>
      </c>
      <c r="E363" s="0" t="n">
        <v>0.2985</v>
      </c>
      <c r="F363" s="0" t="n">
        <v>23</v>
      </c>
      <c r="G363" s="0" t="n">
        <v>95</v>
      </c>
      <c r="H363" s="0" t="n">
        <v>118</v>
      </c>
    </row>
    <row r="364" customFormat="false" ht="15" hidden="false" customHeight="false" outlineLevel="0" collapsed="false">
      <c r="A364" s="0" t="n">
        <v>362</v>
      </c>
      <c r="B364" s="0" t="n">
        <v>363</v>
      </c>
      <c r="C364" s="0" t="n">
        <v>0.2727</v>
      </c>
      <c r="D364" s="0" t="n">
        <v>0.36</v>
      </c>
      <c r="E364" s="0" t="n">
        <v>0.2537</v>
      </c>
      <c r="F364" s="0" t="n">
        <v>22</v>
      </c>
      <c r="G364" s="0" t="n">
        <v>69</v>
      </c>
      <c r="H364" s="0" t="n">
        <v>91</v>
      </c>
    </row>
    <row r="365" customFormat="false" ht="15" hidden="false" customHeight="false" outlineLevel="0" collapsed="false">
      <c r="A365" s="0" t="n">
        <v>363</v>
      </c>
      <c r="B365" s="0" t="n">
        <v>364</v>
      </c>
      <c r="C365" s="0" t="n">
        <v>0.2424</v>
      </c>
      <c r="D365" s="0" t="n">
        <v>0.38</v>
      </c>
      <c r="E365" s="0" t="n">
        <v>0.2537</v>
      </c>
      <c r="F365" s="0" t="n">
        <v>35</v>
      </c>
      <c r="G365" s="0" t="n">
        <v>78</v>
      </c>
      <c r="H365" s="0" t="n">
        <v>113</v>
      </c>
    </row>
    <row r="366" customFormat="false" ht="15" hidden="false" customHeight="false" outlineLevel="0" collapsed="false">
      <c r="A366" s="0" t="n">
        <v>364</v>
      </c>
      <c r="B366" s="0" t="n">
        <v>365</v>
      </c>
      <c r="C366" s="0" t="n">
        <v>0.2273</v>
      </c>
      <c r="D366" s="0" t="n">
        <v>0.38</v>
      </c>
      <c r="E366" s="0" t="n">
        <v>0.2239</v>
      </c>
      <c r="F366" s="0" t="n">
        <v>22</v>
      </c>
      <c r="G366" s="0" t="n">
        <v>77</v>
      </c>
      <c r="H366" s="0" t="n">
        <v>99</v>
      </c>
    </row>
    <row r="367" customFormat="false" ht="15" hidden="false" customHeight="false" outlineLevel="0" collapsed="false">
      <c r="A367" s="0" t="n">
        <v>365</v>
      </c>
      <c r="B367" s="0" t="n">
        <v>366</v>
      </c>
      <c r="C367" s="0" t="n">
        <v>0.2121</v>
      </c>
      <c r="D367" s="0" t="n">
        <v>0.37</v>
      </c>
      <c r="E367" s="0" t="n">
        <v>0.2537</v>
      </c>
      <c r="F367" s="0" t="n">
        <v>23</v>
      </c>
      <c r="G367" s="0" t="n">
        <v>82</v>
      </c>
      <c r="H367" s="0" t="n">
        <v>105</v>
      </c>
    </row>
    <row r="368" customFormat="false" ht="15" hidden="false" customHeight="false" outlineLevel="0" collapsed="false">
      <c r="A368" s="0" t="n">
        <v>366</v>
      </c>
      <c r="B368" s="0" t="n">
        <v>367</v>
      </c>
      <c r="C368" s="0" t="n">
        <v>0.2121</v>
      </c>
      <c r="D368" s="0" t="n">
        <v>0.4</v>
      </c>
      <c r="E368" s="0" t="n">
        <v>0.1642</v>
      </c>
      <c r="F368" s="0" t="n">
        <v>11</v>
      </c>
      <c r="G368" s="0" t="n">
        <v>56</v>
      </c>
      <c r="H368" s="0" t="n">
        <v>67</v>
      </c>
    </row>
    <row r="369" customFormat="false" ht="15" hidden="false" customHeight="false" outlineLevel="0" collapsed="false">
      <c r="A369" s="0" t="n">
        <v>367</v>
      </c>
      <c r="B369" s="0" t="n">
        <v>368</v>
      </c>
      <c r="C369" s="0" t="n">
        <v>0.197</v>
      </c>
      <c r="D369" s="0" t="n">
        <v>0.47</v>
      </c>
      <c r="E369" s="0" t="n">
        <v>0.1343</v>
      </c>
      <c r="F369" s="0" t="n">
        <v>14</v>
      </c>
      <c r="G369" s="0" t="n">
        <v>47</v>
      </c>
      <c r="H369" s="0" t="n">
        <v>61</v>
      </c>
    </row>
    <row r="370" customFormat="false" ht="15" hidden="false" customHeight="false" outlineLevel="0" collapsed="false">
      <c r="A370" s="0" t="n">
        <v>368</v>
      </c>
      <c r="B370" s="0" t="n">
        <v>369</v>
      </c>
      <c r="C370" s="0" t="n">
        <v>0.197</v>
      </c>
      <c r="D370" s="0" t="n">
        <v>0.47</v>
      </c>
      <c r="E370" s="0" t="n">
        <v>0.1642</v>
      </c>
      <c r="F370" s="0" t="n">
        <v>7</v>
      </c>
      <c r="G370" s="0" t="n">
        <v>50</v>
      </c>
      <c r="H370" s="0" t="n">
        <v>57</v>
      </c>
    </row>
    <row r="371" customFormat="false" ht="15" hidden="false" customHeight="false" outlineLevel="0" collapsed="false">
      <c r="A371" s="0" t="n">
        <v>369</v>
      </c>
      <c r="B371" s="0" t="n">
        <v>370</v>
      </c>
      <c r="C371" s="0" t="n">
        <v>0.197</v>
      </c>
      <c r="D371" s="0" t="n">
        <v>0.51</v>
      </c>
      <c r="E371" s="0" t="n">
        <v>0.1642</v>
      </c>
      <c r="F371" s="0" t="n">
        <v>6</v>
      </c>
      <c r="G371" s="0" t="n">
        <v>22</v>
      </c>
      <c r="H371" s="0" t="n">
        <v>28</v>
      </c>
    </row>
    <row r="372" customFormat="false" ht="15" hidden="false" customHeight="false" outlineLevel="0" collapsed="false">
      <c r="A372" s="0" t="n">
        <v>370</v>
      </c>
      <c r="B372" s="0" t="n">
        <v>371</v>
      </c>
      <c r="C372" s="0" t="n">
        <v>0.2121</v>
      </c>
      <c r="D372" s="0" t="n">
        <v>0.49</v>
      </c>
      <c r="E372" s="0" t="n">
        <v>0.1343</v>
      </c>
      <c r="F372" s="0" t="n">
        <v>2</v>
      </c>
      <c r="G372" s="0" t="n">
        <v>19</v>
      </c>
      <c r="H372" s="0" t="n">
        <v>21</v>
      </c>
    </row>
    <row r="373" customFormat="false" ht="15" hidden="false" customHeight="false" outlineLevel="0" collapsed="false">
      <c r="A373" s="0" t="n">
        <v>371</v>
      </c>
      <c r="B373" s="0" t="n">
        <v>372</v>
      </c>
      <c r="C373" s="0" t="n">
        <v>0.2273</v>
      </c>
      <c r="D373" s="0" t="n">
        <v>0.4</v>
      </c>
      <c r="E373" s="0" t="n">
        <v>0.1045</v>
      </c>
      <c r="F373" s="0" t="n">
        <v>0</v>
      </c>
      <c r="G373" s="0" t="n">
        <v>18</v>
      </c>
      <c r="H373" s="0" t="n">
        <v>18</v>
      </c>
    </row>
    <row r="374" customFormat="false" ht="15" hidden="false" customHeight="false" outlineLevel="0" collapsed="false">
      <c r="A374" s="0" t="n">
        <v>372</v>
      </c>
      <c r="B374" s="0" t="n">
        <v>373</v>
      </c>
      <c r="C374" s="0" t="n">
        <v>0.197</v>
      </c>
      <c r="D374" s="0" t="n">
        <v>0.47</v>
      </c>
      <c r="E374" s="0" t="n">
        <v>0.2239</v>
      </c>
      <c r="F374" s="0" t="n">
        <v>1</v>
      </c>
      <c r="G374" s="0" t="n">
        <v>16</v>
      </c>
      <c r="H374" s="0" t="n">
        <v>17</v>
      </c>
    </row>
    <row r="375" customFormat="false" ht="15" hidden="false" customHeight="false" outlineLevel="0" collapsed="false">
      <c r="A375" s="0" t="n">
        <v>373</v>
      </c>
      <c r="B375" s="0" t="n">
        <v>374</v>
      </c>
      <c r="C375" s="0" t="n">
        <v>0.197</v>
      </c>
      <c r="D375" s="0" t="n">
        <v>0.44</v>
      </c>
      <c r="E375" s="0" t="n">
        <v>0.194</v>
      </c>
      <c r="F375" s="0" t="n">
        <v>1</v>
      </c>
      <c r="G375" s="0" t="n">
        <v>15</v>
      </c>
      <c r="H375" s="0" t="n">
        <v>16</v>
      </c>
    </row>
    <row r="376" customFormat="false" ht="15" hidden="false" customHeight="false" outlineLevel="0" collapsed="false">
      <c r="A376" s="0" t="n">
        <v>374</v>
      </c>
      <c r="B376" s="0" t="n">
        <v>375</v>
      </c>
      <c r="C376" s="0" t="n">
        <v>0.1667</v>
      </c>
      <c r="D376" s="0" t="n">
        <v>0.43</v>
      </c>
      <c r="E376" s="0" t="n">
        <v>0.2537</v>
      </c>
      <c r="F376" s="0" t="n">
        <v>0</v>
      </c>
      <c r="G376" s="0" t="n">
        <v>8</v>
      </c>
      <c r="H376" s="0" t="n">
        <v>8</v>
      </c>
    </row>
    <row r="377" customFormat="false" ht="15" hidden="false" customHeight="false" outlineLevel="0" collapsed="false">
      <c r="A377" s="0" t="n">
        <v>375</v>
      </c>
      <c r="B377" s="0" t="n">
        <v>376</v>
      </c>
      <c r="C377" s="0" t="n">
        <v>0.1818</v>
      </c>
      <c r="D377" s="0" t="n">
        <v>0.43</v>
      </c>
      <c r="E377" s="0" t="n">
        <v>0.194</v>
      </c>
      <c r="F377" s="0" t="n">
        <v>0</v>
      </c>
      <c r="G377" s="0" t="n">
        <v>2</v>
      </c>
      <c r="H377" s="0" t="n">
        <v>2</v>
      </c>
    </row>
    <row r="378" customFormat="false" ht="15" hidden="false" customHeight="false" outlineLevel="0" collapsed="false">
      <c r="A378" s="0" t="n">
        <v>376</v>
      </c>
      <c r="B378" s="0" t="n">
        <v>377</v>
      </c>
      <c r="C378" s="0" t="n">
        <v>0.197</v>
      </c>
      <c r="D378" s="0" t="n">
        <v>0.43</v>
      </c>
      <c r="E378" s="0" t="n">
        <v>0.1343</v>
      </c>
      <c r="F378" s="0" t="n">
        <v>1</v>
      </c>
      <c r="G378" s="0" t="n">
        <v>2</v>
      </c>
      <c r="H378" s="0" t="n">
        <v>3</v>
      </c>
    </row>
    <row r="379" customFormat="false" ht="15" hidden="false" customHeight="false" outlineLevel="0" collapsed="false">
      <c r="A379" s="0" t="n">
        <v>377</v>
      </c>
      <c r="B379" s="0" t="n">
        <v>378</v>
      </c>
      <c r="C379" s="0" t="n">
        <v>0.197</v>
      </c>
      <c r="D379" s="0" t="n">
        <v>0.43</v>
      </c>
      <c r="E379" s="0" t="n">
        <v>0.1642</v>
      </c>
      <c r="F379" s="0" t="n">
        <v>0</v>
      </c>
      <c r="G379" s="0" t="n">
        <v>1</v>
      </c>
      <c r="H379" s="0" t="n">
        <v>1</v>
      </c>
    </row>
    <row r="380" customFormat="false" ht="15" hidden="false" customHeight="false" outlineLevel="0" collapsed="false">
      <c r="A380" s="0" t="n">
        <v>378</v>
      </c>
      <c r="B380" s="0" t="n">
        <v>379</v>
      </c>
      <c r="C380" s="0" t="n">
        <v>0.1818</v>
      </c>
      <c r="D380" s="0" t="n">
        <v>0.43</v>
      </c>
      <c r="E380" s="0" t="n">
        <v>0.194</v>
      </c>
      <c r="F380" s="0" t="n">
        <v>0</v>
      </c>
      <c r="G380" s="0" t="n">
        <v>5</v>
      </c>
      <c r="H380" s="0" t="n">
        <v>5</v>
      </c>
    </row>
    <row r="381" customFormat="false" ht="15" hidden="false" customHeight="false" outlineLevel="0" collapsed="false">
      <c r="A381" s="0" t="n">
        <v>379</v>
      </c>
      <c r="B381" s="0" t="n">
        <v>380</v>
      </c>
      <c r="C381" s="0" t="n">
        <v>0.1818</v>
      </c>
      <c r="D381" s="0" t="n">
        <v>0.5</v>
      </c>
      <c r="E381" s="0" t="n">
        <v>0.1343</v>
      </c>
      <c r="F381" s="0" t="n">
        <v>4</v>
      </c>
      <c r="G381" s="0" t="n">
        <v>9</v>
      </c>
      <c r="H381" s="0" t="n">
        <v>13</v>
      </c>
    </row>
    <row r="382" customFormat="false" ht="15" hidden="false" customHeight="false" outlineLevel="0" collapsed="false">
      <c r="A382" s="0" t="n">
        <v>380</v>
      </c>
      <c r="B382" s="0" t="n">
        <v>381</v>
      </c>
      <c r="C382" s="0" t="n">
        <v>0.1515</v>
      </c>
      <c r="D382" s="0" t="n">
        <v>0.47</v>
      </c>
      <c r="E382" s="0" t="n">
        <v>0.2239</v>
      </c>
      <c r="F382" s="0" t="n">
        <v>3</v>
      </c>
      <c r="G382" s="0" t="n">
        <v>30</v>
      </c>
      <c r="H382" s="0" t="n">
        <v>33</v>
      </c>
    </row>
    <row r="383" customFormat="false" ht="15" hidden="false" customHeight="false" outlineLevel="0" collapsed="false">
      <c r="A383" s="0" t="n">
        <v>381</v>
      </c>
      <c r="B383" s="0" t="n">
        <v>382</v>
      </c>
      <c r="C383" s="0" t="n">
        <v>0.1515</v>
      </c>
      <c r="D383" s="0" t="n">
        <v>0.47</v>
      </c>
      <c r="E383" s="0" t="n">
        <v>0.2239</v>
      </c>
      <c r="F383" s="0" t="n">
        <v>8</v>
      </c>
      <c r="G383" s="0" t="n">
        <v>39</v>
      </c>
      <c r="H383" s="0" t="n">
        <v>47</v>
      </c>
    </row>
    <row r="384" customFormat="false" ht="15" hidden="false" customHeight="false" outlineLevel="0" collapsed="false">
      <c r="A384" s="0" t="n">
        <v>382</v>
      </c>
      <c r="B384" s="0" t="n">
        <v>383</v>
      </c>
      <c r="C384" s="0" t="n">
        <v>0.1515</v>
      </c>
      <c r="D384" s="0" t="n">
        <v>0.5</v>
      </c>
      <c r="E384" s="0" t="n">
        <v>0.2537</v>
      </c>
      <c r="F384" s="0" t="n">
        <v>7</v>
      </c>
      <c r="G384" s="0" t="n">
        <v>50</v>
      </c>
      <c r="H384" s="0" t="n">
        <v>57</v>
      </c>
    </row>
    <row r="385" customFormat="false" ht="15" hidden="false" customHeight="false" outlineLevel="0" collapsed="false">
      <c r="A385" s="0" t="n">
        <v>383</v>
      </c>
      <c r="B385" s="0" t="n">
        <v>384</v>
      </c>
      <c r="C385" s="0" t="n">
        <v>0.1515</v>
      </c>
      <c r="D385" s="0" t="n">
        <v>0.55</v>
      </c>
      <c r="E385" s="0" t="n">
        <v>0.194</v>
      </c>
      <c r="F385" s="0" t="n">
        <v>9</v>
      </c>
      <c r="G385" s="0" t="n">
        <v>55</v>
      </c>
      <c r="H385" s="0" t="n">
        <v>64</v>
      </c>
    </row>
    <row r="386" customFormat="false" ht="15" hidden="false" customHeight="false" outlineLevel="0" collapsed="false">
      <c r="A386" s="0" t="n">
        <v>384</v>
      </c>
      <c r="B386" s="0" t="n">
        <v>385</v>
      </c>
      <c r="C386" s="0" t="n">
        <v>0.197</v>
      </c>
      <c r="D386" s="0" t="n">
        <v>0.47</v>
      </c>
      <c r="E386" s="0" t="n">
        <v>0.1343</v>
      </c>
      <c r="F386" s="0" t="n">
        <v>10</v>
      </c>
      <c r="G386" s="0" t="n">
        <v>70</v>
      </c>
      <c r="H386" s="0" t="n">
        <v>80</v>
      </c>
    </row>
    <row r="387" customFormat="false" ht="15" hidden="false" customHeight="false" outlineLevel="0" collapsed="false">
      <c r="A387" s="0" t="n">
        <v>385</v>
      </c>
      <c r="B387" s="0" t="n">
        <v>386</v>
      </c>
      <c r="C387" s="0" t="n">
        <v>0.197</v>
      </c>
      <c r="D387" s="0" t="n">
        <v>0.47</v>
      </c>
      <c r="E387" s="0" t="n">
        <v>0.1343</v>
      </c>
      <c r="F387" s="0" t="n">
        <v>13</v>
      </c>
      <c r="G387" s="0" t="n">
        <v>80</v>
      </c>
      <c r="H387" s="0" t="n">
        <v>93</v>
      </c>
    </row>
    <row r="388" customFormat="false" ht="15" hidden="false" customHeight="false" outlineLevel="0" collapsed="false">
      <c r="A388" s="0" t="n">
        <v>386</v>
      </c>
      <c r="B388" s="0" t="n">
        <v>387</v>
      </c>
      <c r="C388" s="0" t="n">
        <v>0.2121</v>
      </c>
      <c r="D388" s="0" t="n">
        <v>0.43</v>
      </c>
      <c r="E388" s="0" t="n">
        <v>0.1045</v>
      </c>
      <c r="F388" s="0" t="n">
        <v>12</v>
      </c>
      <c r="G388" s="0" t="n">
        <v>74</v>
      </c>
      <c r="H388" s="0" t="n">
        <v>86</v>
      </c>
    </row>
    <row r="389" customFormat="false" ht="15" hidden="false" customHeight="false" outlineLevel="0" collapsed="false">
      <c r="A389" s="0" t="n">
        <v>387</v>
      </c>
      <c r="B389" s="0" t="n">
        <v>388</v>
      </c>
      <c r="C389" s="0" t="n">
        <v>0.2121</v>
      </c>
      <c r="D389" s="0" t="n">
        <v>0.47</v>
      </c>
      <c r="E389" s="0" t="n">
        <v>0.1642</v>
      </c>
      <c r="F389" s="0" t="n">
        <v>21</v>
      </c>
      <c r="G389" s="0" t="n">
        <v>72</v>
      </c>
      <c r="H389" s="0" t="n">
        <v>93</v>
      </c>
    </row>
    <row r="390" customFormat="false" ht="15" hidden="false" customHeight="false" outlineLevel="0" collapsed="false">
      <c r="A390" s="0" t="n">
        <v>388</v>
      </c>
      <c r="B390" s="0" t="n">
        <v>389</v>
      </c>
      <c r="C390" s="0" t="n">
        <v>0.2121</v>
      </c>
      <c r="D390" s="0" t="n">
        <v>0.47</v>
      </c>
      <c r="E390" s="0" t="n">
        <v>0.1642</v>
      </c>
      <c r="F390" s="0" t="n">
        <v>6</v>
      </c>
      <c r="G390" s="0" t="n">
        <v>76</v>
      </c>
      <c r="H390" s="0" t="n">
        <v>82</v>
      </c>
    </row>
    <row r="391" customFormat="false" ht="15" hidden="false" customHeight="false" outlineLevel="0" collapsed="false">
      <c r="A391" s="0" t="n">
        <v>389</v>
      </c>
      <c r="B391" s="0" t="n">
        <v>390</v>
      </c>
      <c r="C391" s="0" t="n">
        <v>0.197</v>
      </c>
      <c r="D391" s="0" t="n">
        <v>0.51</v>
      </c>
      <c r="E391" s="0" t="n">
        <v>0.194</v>
      </c>
      <c r="F391" s="0" t="n">
        <v>4</v>
      </c>
      <c r="G391" s="0" t="n">
        <v>67</v>
      </c>
      <c r="H391" s="0" t="n">
        <v>71</v>
      </c>
    </row>
    <row r="392" customFormat="false" ht="15" hidden="false" customHeight="false" outlineLevel="0" collapsed="false">
      <c r="A392" s="0" t="n">
        <v>390</v>
      </c>
      <c r="B392" s="0" t="n">
        <v>391</v>
      </c>
      <c r="C392" s="0" t="n">
        <v>0.1667</v>
      </c>
      <c r="D392" s="0" t="n">
        <v>0.55</v>
      </c>
      <c r="E392" s="0" t="n">
        <v>0.2537</v>
      </c>
      <c r="F392" s="0" t="n">
        <v>7</v>
      </c>
      <c r="G392" s="0" t="n">
        <v>85</v>
      </c>
      <c r="H392" s="0" t="n">
        <v>92</v>
      </c>
    </row>
    <row r="393" customFormat="false" ht="15" hidden="false" customHeight="false" outlineLevel="0" collapsed="false">
      <c r="A393" s="0" t="n">
        <v>391</v>
      </c>
      <c r="B393" s="0" t="n">
        <v>392</v>
      </c>
      <c r="C393" s="0" t="n">
        <v>0.1818</v>
      </c>
      <c r="D393" s="0" t="n">
        <v>0.59</v>
      </c>
      <c r="E393" s="0" t="n">
        <v>0.194</v>
      </c>
      <c r="F393" s="0" t="n">
        <v>2</v>
      </c>
      <c r="G393" s="0" t="n">
        <v>58</v>
      </c>
      <c r="H393" s="0" t="n">
        <v>60</v>
      </c>
    </row>
    <row r="394" customFormat="false" ht="15" hidden="false" customHeight="false" outlineLevel="0" collapsed="false">
      <c r="A394" s="0" t="n">
        <v>392</v>
      </c>
      <c r="B394" s="0" t="n">
        <v>393</v>
      </c>
      <c r="C394" s="0" t="n">
        <v>0.1515</v>
      </c>
      <c r="D394" s="0" t="n">
        <v>0.8</v>
      </c>
      <c r="E394" s="0" t="n">
        <v>0.194</v>
      </c>
      <c r="F394" s="0" t="n">
        <v>4</v>
      </c>
      <c r="G394" s="0" t="n">
        <v>29</v>
      </c>
      <c r="H394" s="0" t="n">
        <v>33</v>
      </c>
    </row>
    <row r="395" customFormat="false" ht="15" hidden="false" customHeight="false" outlineLevel="0" collapsed="false">
      <c r="A395" s="0" t="n">
        <v>393</v>
      </c>
      <c r="B395" s="0" t="n">
        <v>394</v>
      </c>
      <c r="C395" s="0" t="n">
        <v>0.1515</v>
      </c>
      <c r="D395" s="0" t="n">
        <v>0.8</v>
      </c>
      <c r="E395" s="0" t="n">
        <v>0.194</v>
      </c>
      <c r="F395" s="0" t="n">
        <v>3</v>
      </c>
      <c r="G395" s="0" t="n">
        <v>24</v>
      </c>
      <c r="H395" s="0" t="n">
        <v>27</v>
      </c>
    </row>
    <row r="396" customFormat="false" ht="15" hidden="false" customHeight="false" outlineLevel="0" collapsed="false">
      <c r="A396" s="0" t="n">
        <v>394</v>
      </c>
      <c r="B396" s="0" t="n">
        <v>395</v>
      </c>
      <c r="C396" s="0" t="n">
        <v>0.1212</v>
      </c>
      <c r="D396" s="0" t="n">
        <v>0.93</v>
      </c>
      <c r="E396" s="0" t="n">
        <v>0.2537</v>
      </c>
      <c r="F396" s="0" t="n">
        <v>0</v>
      </c>
      <c r="G396" s="0" t="n">
        <v>13</v>
      </c>
      <c r="H396" s="0" t="n">
        <v>13</v>
      </c>
    </row>
    <row r="397" customFormat="false" ht="15" hidden="false" customHeight="false" outlineLevel="0" collapsed="false">
      <c r="A397" s="0" t="n">
        <v>395</v>
      </c>
      <c r="B397" s="0" t="n">
        <v>396</v>
      </c>
      <c r="C397" s="0" t="n">
        <v>0.1364</v>
      </c>
      <c r="D397" s="0" t="n">
        <v>0.86</v>
      </c>
      <c r="E397" s="0" t="n">
        <v>0.2836</v>
      </c>
      <c r="F397" s="0" t="n">
        <v>1</v>
      </c>
      <c r="G397" s="0" t="n">
        <v>3</v>
      </c>
      <c r="H397" s="0" t="n">
        <v>4</v>
      </c>
    </row>
    <row r="398" customFormat="false" ht="15" hidden="false" customHeight="false" outlineLevel="0" collapsed="false">
      <c r="A398" s="0" t="n">
        <v>396</v>
      </c>
      <c r="B398" s="0" t="n">
        <v>397</v>
      </c>
      <c r="C398" s="0" t="n">
        <v>0.1818</v>
      </c>
      <c r="D398" s="0" t="n">
        <v>0.86</v>
      </c>
      <c r="E398" s="0" t="n">
        <v>0.3284</v>
      </c>
      <c r="F398" s="0" t="n">
        <v>0</v>
      </c>
      <c r="G398" s="0" t="n">
        <v>3</v>
      </c>
      <c r="H398" s="0" t="n">
        <v>3</v>
      </c>
    </row>
    <row r="399" customFormat="false" ht="15" hidden="false" customHeight="false" outlineLevel="0" collapsed="false">
      <c r="A399" s="0" t="n">
        <v>397</v>
      </c>
      <c r="B399" s="0" t="n">
        <v>398</v>
      </c>
      <c r="C399" s="0" t="n">
        <v>0.197</v>
      </c>
      <c r="D399" s="0" t="n">
        <v>0.86</v>
      </c>
      <c r="E399" s="0" t="n">
        <v>0.2239</v>
      </c>
      <c r="F399" s="0" t="n">
        <v>0</v>
      </c>
      <c r="G399" s="0" t="n">
        <v>22</v>
      </c>
      <c r="H399" s="0" t="n">
        <v>22</v>
      </c>
    </row>
    <row r="400" customFormat="false" ht="15" hidden="false" customHeight="false" outlineLevel="0" collapsed="false">
      <c r="A400" s="0" t="n">
        <v>398</v>
      </c>
      <c r="B400" s="0" t="n">
        <v>399</v>
      </c>
      <c r="C400" s="0" t="n">
        <v>0.2273</v>
      </c>
      <c r="D400" s="0" t="n">
        <v>0.8</v>
      </c>
      <c r="E400" s="0" t="n">
        <v>0.1642</v>
      </c>
      <c r="F400" s="0" t="n">
        <v>2</v>
      </c>
      <c r="G400" s="0" t="n">
        <v>26</v>
      </c>
      <c r="H400" s="0" t="n">
        <v>28</v>
      </c>
    </row>
    <row r="401" customFormat="false" ht="15" hidden="false" customHeight="false" outlineLevel="0" collapsed="false">
      <c r="A401" s="0" t="n">
        <v>399</v>
      </c>
      <c r="B401" s="0" t="n">
        <v>400</v>
      </c>
      <c r="C401" s="0" t="n">
        <v>0.2273</v>
      </c>
      <c r="D401" s="0" t="n">
        <v>0.87</v>
      </c>
      <c r="E401" s="0" t="n">
        <v>0.1642</v>
      </c>
      <c r="F401" s="0" t="n">
        <v>3</v>
      </c>
      <c r="G401" s="0" t="n">
        <v>32</v>
      </c>
      <c r="H401" s="0" t="n">
        <v>35</v>
      </c>
    </row>
    <row r="402" customFormat="false" ht="15" hidden="false" customHeight="false" outlineLevel="0" collapsed="false">
      <c r="A402" s="0" t="n">
        <v>400</v>
      </c>
      <c r="B402" s="0" t="n">
        <v>401</v>
      </c>
      <c r="C402" s="0" t="n">
        <v>0.2273</v>
      </c>
      <c r="D402" s="0" t="n">
        <v>0.87</v>
      </c>
      <c r="E402" s="0" t="n">
        <v>0.194</v>
      </c>
      <c r="F402" s="0" t="n">
        <v>0</v>
      </c>
      <c r="G402" s="0" t="n">
        <v>61</v>
      </c>
      <c r="H402" s="0" t="n">
        <v>61</v>
      </c>
    </row>
    <row r="403" customFormat="false" ht="15" hidden="false" customHeight="false" outlineLevel="0" collapsed="false">
      <c r="A403" s="0" t="n">
        <v>401</v>
      </c>
      <c r="B403" s="0" t="n">
        <v>402</v>
      </c>
      <c r="C403" s="0" t="n">
        <v>0.2273</v>
      </c>
      <c r="D403" s="0" t="n">
        <v>0.82</v>
      </c>
      <c r="E403" s="0" t="n">
        <v>0.194</v>
      </c>
      <c r="F403" s="0" t="n">
        <v>1</v>
      </c>
      <c r="G403" s="0" t="n">
        <v>124</v>
      </c>
      <c r="H403" s="0" t="n">
        <v>125</v>
      </c>
    </row>
    <row r="404" customFormat="false" ht="15" hidden="false" customHeight="false" outlineLevel="0" collapsed="false">
      <c r="A404" s="0" t="n">
        <v>402</v>
      </c>
      <c r="B404" s="0" t="n">
        <v>403</v>
      </c>
      <c r="C404" s="0" t="n">
        <v>0.2273</v>
      </c>
      <c r="D404" s="0" t="n">
        <v>0.8</v>
      </c>
      <c r="E404" s="0" t="n">
        <v>0.1642</v>
      </c>
      <c r="F404" s="0" t="n">
        <v>1</v>
      </c>
      <c r="G404" s="0" t="n">
        <v>132</v>
      </c>
      <c r="H404" s="0" t="n">
        <v>133</v>
      </c>
    </row>
    <row r="405" customFormat="false" ht="15" hidden="false" customHeight="false" outlineLevel="0" collapsed="false">
      <c r="A405" s="0" t="n">
        <v>403</v>
      </c>
      <c r="B405" s="0" t="n">
        <v>404</v>
      </c>
      <c r="C405" s="0" t="n">
        <v>0.2273</v>
      </c>
      <c r="D405" s="0" t="n">
        <v>0.8</v>
      </c>
      <c r="E405" s="0" t="n">
        <v>0.1343</v>
      </c>
      <c r="F405" s="0" t="n">
        <v>1</v>
      </c>
      <c r="G405" s="0" t="n">
        <v>98</v>
      </c>
      <c r="H405" s="0" t="n">
        <v>99</v>
      </c>
    </row>
    <row r="406" customFormat="false" ht="15" hidden="false" customHeight="false" outlineLevel="0" collapsed="false">
      <c r="A406" s="0" t="n">
        <v>404</v>
      </c>
      <c r="B406" s="0" t="n">
        <v>405</v>
      </c>
      <c r="C406" s="0" t="n">
        <v>0.2727</v>
      </c>
      <c r="D406" s="0" t="n">
        <v>0.87</v>
      </c>
      <c r="E406" s="0" t="n">
        <v>0</v>
      </c>
      <c r="F406" s="0" t="n">
        <v>0</v>
      </c>
      <c r="G406" s="0" t="n">
        <v>83</v>
      </c>
      <c r="H406" s="0" t="n">
        <v>83</v>
      </c>
    </row>
    <row r="407" customFormat="false" ht="15" hidden="false" customHeight="false" outlineLevel="0" collapsed="false">
      <c r="A407" s="0" t="n">
        <v>405</v>
      </c>
      <c r="B407" s="0" t="n">
        <v>406</v>
      </c>
      <c r="C407" s="0" t="n">
        <v>0.2424</v>
      </c>
      <c r="D407" s="0" t="n">
        <v>0.93</v>
      </c>
      <c r="E407" s="0" t="n">
        <v>0.1045</v>
      </c>
      <c r="F407" s="0" t="n">
        <v>0</v>
      </c>
      <c r="G407" s="0" t="n">
        <v>41</v>
      </c>
      <c r="H407" s="0" t="n">
        <v>41</v>
      </c>
    </row>
    <row r="408" customFormat="false" ht="15" hidden="false" customHeight="false" outlineLevel="0" collapsed="false">
      <c r="A408" s="0" t="n">
        <v>406</v>
      </c>
      <c r="B408" s="0" t="n">
        <v>407</v>
      </c>
      <c r="C408" s="0" t="n">
        <v>0.2576</v>
      </c>
      <c r="D408" s="0" t="n">
        <v>0.93</v>
      </c>
      <c r="E408" s="0" t="n">
        <v>0.0896</v>
      </c>
      <c r="F408" s="0" t="n">
        <v>0</v>
      </c>
      <c r="G408" s="0" t="n">
        <v>33</v>
      </c>
      <c r="H408" s="0" t="n">
        <v>33</v>
      </c>
    </row>
    <row r="409" customFormat="false" ht="15" hidden="false" customHeight="false" outlineLevel="0" collapsed="false">
      <c r="A409" s="0" t="n">
        <v>407</v>
      </c>
      <c r="B409" s="0" t="n">
        <v>408</v>
      </c>
      <c r="C409" s="0" t="n">
        <v>0.2727</v>
      </c>
      <c r="D409" s="0" t="n">
        <v>0.93</v>
      </c>
      <c r="E409" s="0" t="n">
        <v>0</v>
      </c>
      <c r="F409" s="0" t="n">
        <v>1</v>
      </c>
      <c r="G409" s="0" t="n">
        <v>19</v>
      </c>
      <c r="H409" s="0" t="n">
        <v>20</v>
      </c>
    </row>
    <row r="410" customFormat="false" ht="15" hidden="false" customHeight="false" outlineLevel="0" collapsed="false">
      <c r="A410" s="0" t="n">
        <v>408</v>
      </c>
      <c r="B410" s="0" t="n">
        <v>409</v>
      </c>
      <c r="C410" s="0" t="n">
        <v>0.2727</v>
      </c>
      <c r="D410" s="0" t="n">
        <v>0.93</v>
      </c>
      <c r="E410" s="0" t="n">
        <v>0</v>
      </c>
      <c r="F410" s="0" t="n">
        <v>0</v>
      </c>
      <c r="G410" s="0" t="n">
        <v>3</v>
      </c>
      <c r="H410" s="0" t="n">
        <v>3</v>
      </c>
    </row>
    <row r="411" customFormat="false" ht="15" hidden="false" customHeight="false" outlineLevel="0" collapsed="false">
      <c r="A411" s="0" t="n">
        <v>409</v>
      </c>
      <c r="B411" s="0" t="n">
        <v>410</v>
      </c>
      <c r="C411" s="0" t="n">
        <v>0.2273</v>
      </c>
      <c r="D411" s="0" t="n">
        <v>0.93</v>
      </c>
      <c r="E411" s="0" t="n">
        <v>0.1343</v>
      </c>
      <c r="F411" s="0" t="n">
        <v>1</v>
      </c>
      <c r="G411" s="0" t="n">
        <v>6</v>
      </c>
      <c r="H411" s="0" t="n">
        <v>7</v>
      </c>
    </row>
    <row r="412" customFormat="false" ht="15" hidden="false" customHeight="false" outlineLevel="0" collapsed="false">
      <c r="A412" s="0" t="n">
        <v>410</v>
      </c>
      <c r="B412" s="0" t="n">
        <v>411</v>
      </c>
      <c r="C412" s="0" t="n">
        <v>0.2273</v>
      </c>
      <c r="D412" s="0" t="n">
        <v>0.93</v>
      </c>
      <c r="E412" s="0" t="n">
        <v>0.1343</v>
      </c>
      <c r="F412" s="0" t="n">
        <v>0</v>
      </c>
      <c r="G412" s="0" t="n">
        <v>3</v>
      </c>
      <c r="H412" s="0" t="n">
        <v>3</v>
      </c>
    </row>
    <row r="413" customFormat="false" ht="15" hidden="false" customHeight="false" outlineLevel="0" collapsed="false">
      <c r="A413" s="0" t="n">
        <v>411</v>
      </c>
      <c r="B413" s="0" t="n">
        <v>412</v>
      </c>
      <c r="C413" s="0" t="n">
        <v>0.2273</v>
      </c>
      <c r="D413" s="0" t="n">
        <v>0.93</v>
      </c>
      <c r="E413" s="0" t="n">
        <v>0.1343</v>
      </c>
      <c r="F413" s="0" t="n">
        <v>1</v>
      </c>
      <c r="G413" s="0" t="n">
        <v>1</v>
      </c>
      <c r="H413" s="0" t="n">
        <v>2</v>
      </c>
    </row>
    <row r="414" customFormat="false" ht="15" hidden="false" customHeight="false" outlineLevel="0" collapsed="false">
      <c r="A414" s="0" t="n">
        <v>412</v>
      </c>
      <c r="B414" s="0" t="n">
        <v>413</v>
      </c>
      <c r="C414" s="0" t="n">
        <v>0.2576</v>
      </c>
      <c r="D414" s="0" t="n">
        <v>0.93</v>
      </c>
      <c r="E414" s="0" t="n">
        <v>0.0896</v>
      </c>
      <c r="F414" s="0" t="n">
        <v>0</v>
      </c>
      <c r="G414" s="0" t="n">
        <v>7</v>
      </c>
      <c r="H414" s="0" t="n">
        <v>7</v>
      </c>
    </row>
    <row r="415" customFormat="false" ht="15" hidden="false" customHeight="false" outlineLevel="0" collapsed="false">
      <c r="A415" s="0" t="n">
        <v>413</v>
      </c>
      <c r="B415" s="0" t="n">
        <v>414</v>
      </c>
      <c r="C415" s="0" t="n">
        <v>0.2576</v>
      </c>
      <c r="D415" s="0" t="n">
        <v>0.93</v>
      </c>
      <c r="E415" s="0" t="n">
        <v>0.0896</v>
      </c>
      <c r="F415" s="0" t="n">
        <v>0</v>
      </c>
      <c r="G415" s="0" t="n">
        <v>32</v>
      </c>
      <c r="H415" s="0" t="n">
        <v>32</v>
      </c>
    </row>
    <row r="416" customFormat="false" ht="15" hidden="false" customHeight="false" outlineLevel="0" collapsed="false">
      <c r="A416" s="0" t="n">
        <v>414</v>
      </c>
      <c r="B416" s="0" t="n">
        <v>415</v>
      </c>
      <c r="C416" s="0" t="n">
        <v>0.2576</v>
      </c>
      <c r="D416" s="0" t="n">
        <v>0.92</v>
      </c>
      <c r="E416" s="0" t="n">
        <v>0.1045</v>
      </c>
      <c r="F416" s="0" t="n">
        <v>1</v>
      </c>
      <c r="G416" s="0" t="n">
        <v>89</v>
      </c>
      <c r="H416" s="0" t="n">
        <v>90</v>
      </c>
    </row>
    <row r="417" customFormat="false" ht="15" hidden="false" customHeight="false" outlineLevel="0" collapsed="false">
      <c r="A417" s="0" t="n">
        <v>415</v>
      </c>
      <c r="B417" s="0" t="n">
        <v>416</v>
      </c>
      <c r="C417" s="0" t="n">
        <v>0.2576</v>
      </c>
      <c r="D417" s="0" t="n">
        <v>0.93</v>
      </c>
      <c r="E417" s="0" t="n">
        <v>0.1045</v>
      </c>
      <c r="F417" s="0" t="n">
        <v>1</v>
      </c>
      <c r="G417" s="0" t="n">
        <v>196</v>
      </c>
      <c r="H417" s="0" t="n">
        <v>197</v>
      </c>
    </row>
    <row r="418" customFormat="false" ht="15" hidden="false" customHeight="false" outlineLevel="0" collapsed="false">
      <c r="A418" s="0" t="n">
        <v>416</v>
      </c>
      <c r="B418" s="0" t="n">
        <v>417</v>
      </c>
      <c r="C418" s="0" t="n">
        <v>0.2576</v>
      </c>
      <c r="D418" s="0" t="n">
        <v>0.93</v>
      </c>
      <c r="E418" s="0" t="n">
        <v>0.1045</v>
      </c>
      <c r="F418" s="0" t="n">
        <v>2</v>
      </c>
      <c r="G418" s="0" t="n">
        <v>107</v>
      </c>
      <c r="H418" s="0" t="n">
        <v>109</v>
      </c>
    </row>
    <row r="419" customFormat="false" ht="15" hidden="false" customHeight="false" outlineLevel="0" collapsed="false">
      <c r="A419" s="0" t="n">
        <v>417</v>
      </c>
      <c r="B419" s="0" t="n">
        <v>418</v>
      </c>
      <c r="C419" s="0" t="n">
        <v>0.2727</v>
      </c>
      <c r="D419" s="0" t="n">
        <v>0.93</v>
      </c>
      <c r="E419" s="0" t="n">
        <v>0.1343</v>
      </c>
      <c r="F419" s="0" t="n">
        <v>1</v>
      </c>
      <c r="G419" s="0" t="n">
        <v>46</v>
      </c>
      <c r="H419" s="0" t="n">
        <v>47</v>
      </c>
    </row>
    <row r="420" customFormat="false" ht="15" hidden="false" customHeight="false" outlineLevel="0" collapsed="false">
      <c r="A420" s="0" t="n">
        <v>418</v>
      </c>
      <c r="B420" s="0" t="n">
        <v>419</v>
      </c>
      <c r="C420" s="0" t="n">
        <v>0.303</v>
      </c>
      <c r="D420" s="0" t="n">
        <v>0.87</v>
      </c>
      <c r="E420" s="0" t="n">
        <v>0.0896</v>
      </c>
      <c r="F420" s="0" t="n">
        <v>5</v>
      </c>
      <c r="G420" s="0" t="n">
        <v>47</v>
      </c>
      <c r="H420" s="0" t="n">
        <v>52</v>
      </c>
    </row>
    <row r="421" customFormat="false" ht="15" hidden="false" customHeight="false" outlineLevel="0" collapsed="false">
      <c r="A421" s="0" t="n">
        <v>419</v>
      </c>
      <c r="B421" s="0" t="n">
        <v>420</v>
      </c>
      <c r="C421" s="0" t="n">
        <v>0.3182</v>
      </c>
      <c r="D421" s="0" t="n">
        <v>0.81</v>
      </c>
      <c r="E421" s="0" t="n">
        <v>0.0896</v>
      </c>
      <c r="F421" s="0" t="n">
        <v>5</v>
      </c>
      <c r="G421" s="0" t="n">
        <v>65</v>
      </c>
      <c r="H421" s="0" t="n">
        <v>70</v>
      </c>
    </row>
    <row r="422" customFormat="false" ht="15" hidden="false" customHeight="false" outlineLevel="0" collapsed="false">
      <c r="A422" s="0" t="n">
        <v>420</v>
      </c>
      <c r="B422" s="0" t="n">
        <v>421</v>
      </c>
      <c r="C422" s="0" t="n">
        <v>0.4091</v>
      </c>
      <c r="D422" s="0" t="n">
        <v>0.62</v>
      </c>
      <c r="E422" s="0" t="n">
        <v>0.2836</v>
      </c>
      <c r="F422" s="0" t="n">
        <v>11</v>
      </c>
      <c r="G422" s="0" t="n">
        <v>67</v>
      </c>
      <c r="H422" s="0" t="n">
        <v>78</v>
      </c>
    </row>
    <row r="423" customFormat="false" ht="15" hidden="false" customHeight="false" outlineLevel="0" collapsed="false">
      <c r="A423" s="0" t="n">
        <v>421</v>
      </c>
      <c r="B423" s="0" t="n">
        <v>422</v>
      </c>
      <c r="C423" s="0" t="n">
        <v>0.4091</v>
      </c>
      <c r="D423" s="0" t="n">
        <v>0.58</v>
      </c>
      <c r="E423" s="0" t="n">
        <v>0.2537</v>
      </c>
      <c r="F423" s="0" t="n">
        <v>7</v>
      </c>
      <c r="G423" s="0" t="n">
        <v>68</v>
      </c>
      <c r="H423" s="0" t="n">
        <v>75</v>
      </c>
    </row>
    <row r="424" customFormat="false" ht="15" hidden="false" customHeight="false" outlineLevel="0" collapsed="false">
      <c r="A424" s="0" t="n">
        <v>422</v>
      </c>
      <c r="B424" s="0" t="n">
        <v>423</v>
      </c>
      <c r="C424" s="0" t="n">
        <v>0.4091</v>
      </c>
      <c r="D424" s="0" t="n">
        <v>0.54</v>
      </c>
      <c r="E424" s="0" t="n">
        <v>0.2836</v>
      </c>
      <c r="F424" s="0" t="n">
        <v>4</v>
      </c>
      <c r="G424" s="0" t="n">
        <v>78</v>
      </c>
      <c r="H424" s="0" t="n">
        <v>82</v>
      </c>
    </row>
    <row r="425" customFormat="false" ht="15" hidden="false" customHeight="false" outlineLevel="0" collapsed="false">
      <c r="A425" s="0" t="n">
        <v>423</v>
      </c>
      <c r="B425" s="0" t="n">
        <v>424</v>
      </c>
      <c r="C425" s="0" t="n">
        <v>0.3939</v>
      </c>
      <c r="D425" s="0" t="n">
        <v>0.58</v>
      </c>
      <c r="E425" s="0" t="n">
        <v>0.3881</v>
      </c>
      <c r="F425" s="0" t="n">
        <v>10</v>
      </c>
      <c r="G425" s="0" t="n">
        <v>94</v>
      </c>
      <c r="H425" s="0" t="n">
        <v>104</v>
      </c>
    </row>
    <row r="426" customFormat="false" ht="15" hidden="false" customHeight="false" outlineLevel="0" collapsed="false">
      <c r="A426" s="0" t="n">
        <v>424</v>
      </c>
      <c r="B426" s="0" t="n">
        <v>425</v>
      </c>
      <c r="C426" s="0" t="n">
        <v>0.3333</v>
      </c>
      <c r="D426" s="0" t="n">
        <v>0.57</v>
      </c>
      <c r="E426" s="0" t="n">
        <v>0.3284</v>
      </c>
      <c r="F426" s="0" t="n">
        <v>7</v>
      </c>
      <c r="G426" s="0" t="n">
        <v>190</v>
      </c>
      <c r="H426" s="0" t="n">
        <v>197</v>
      </c>
    </row>
    <row r="427" customFormat="false" ht="15" hidden="false" customHeight="false" outlineLevel="0" collapsed="false">
      <c r="A427" s="0" t="n">
        <v>425</v>
      </c>
      <c r="B427" s="0" t="n">
        <v>426</v>
      </c>
      <c r="C427" s="0" t="n">
        <v>0.3182</v>
      </c>
      <c r="D427" s="0" t="n">
        <v>0.61</v>
      </c>
      <c r="E427" s="0" t="n">
        <v>0.2836</v>
      </c>
      <c r="F427" s="0" t="n">
        <v>5</v>
      </c>
      <c r="G427" s="0" t="n">
        <v>156</v>
      </c>
      <c r="H427" s="0" t="n">
        <v>161</v>
      </c>
    </row>
    <row r="428" customFormat="false" ht="15" hidden="false" customHeight="false" outlineLevel="0" collapsed="false">
      <c r="A428" s="0" t="n">
        <v>426</v>
      </c>
      <c r="B428" s="0" t="n">
        <v>427</v>
      </c>
      <c r="C428" s="0" t="n">
        <v>0.2879</v>
      </c>
      <c r="D428" s="0" t="n">
        <v>0.57</v>
      </c>
      <c r="E428" s="0" t="n">
        <v>0.4179</v>
      </c>
      <c r="F428" s="0" t="n">
        <v>4</v>
      </c>
      <c r="G428" s="0" t="n">
        <v>108</v>
      </c>
      <c r="H428" s="0" t="n">
        <v>112</v>
      </c>
    </row>
    <row r="429" customFormat="false" ht="15" hidden="false" customHeight="false" outlineLevel="0" collapsed="false">
      <c r="A429" s="0" t="n">
        <v>427</v>
      </c>
      <c r="B429" s="0" t="n">
        <v>428</v>
      </c>
      <c r="C429" s="0" t="n">
        <v>0.303</v>
      </c>
      <c r="D429" s="0" t="n">
        <v>0.49</v>
      </c>
      <c r="E429" s="0" t="n">
        <v>0.2985</v>
      </c>
      <c r="F429" s="0" t="n">
        <v>2</v>
      </c>
      <c r="G429" s="0" t="n">
        <v>74</v>
      </c>
      <c r="H429" s="0" t="n">
        <v>76</v>
      </c>
    </row>
    <row r="430" customFormat="false" ht="15" hidden="false" customHeight="false" outlineLevel="0" collapsed="false">
      <c r="A430" s="0" t="n">
        <v>428</v>
      </c>
      <c r="B430" s="0" t="n">
        <v>429</v>
      </c>
      <c r="C430" s="0" t="n">
        <v>0.2879</v>
      </c>
      <c r="D430" s="0" t="n">
        <v>0.49</v>
      </c>
      <c r="E430" s="0" t="n">
        <v>0.4179</v>
      </c>
      <c r="F430" s="0" t="n">
        <v>4</v>
      </c>
      <c r="G430" s="0" t="n">
        <v>55</v>
      </c>
      <c r="H430" s="0" t="n">
        <v>59</v>
      </c>
    </row>
    <row r="431" customFormat="false" ht="15" hidden="false" customHeight="false" outlineLevel="0" collapsed="false">
      <c r="A431" s="0" t="n">
        <v>429</v>
      </c>
      <c r="B431" s="0" t="n">
        <v>430</v>
      </c>
      <c r="C431" s="0" t="n">
        <v>0.303</v>
      </c>
      <c r="D431" s="0" t="n">
        <v>0.52</v>
      </c>
      <c r="E431" s="0" t="n">
        <v>0.1642</v>
      </c>
      <c r="F431" s="0" t="n">
        <v>6</v>
      </c>
      <c r="G431" s="0" t="n">
        <v>53</v>
      </c>
      <c r="H431" s="0" t="n">
        <v>59</v>
      </c>
    </row>
    <row r="432" customFormat="false" ht="15" hidden="false" customHeight="false" outlineLevel="0" collapsed="false">
      <c r="A432" s="0" t="n">
        <v>430</v>
      </c>
      <c r="B432" s="0" t="n">
        <v>431</v>
      </c>
      <c r="C432" s="0" t="n">
        <v>0.2727</v>
      </c>
      <c r="D432" s="0" t="n">
        <v>0.52</v>
      </c>
      <c r="E432" s="0" t="n">
        <v>0.4627</v>
      </c>
      <c r="F432" s="0" t="n">
        <v>1</v>
      </c>
      <c r="G432" s="0" t="n">
        <v>27</v>
      </c>
      <c r="H432" s="0" t="n">
        <v>28</v>
      </c>
    </row>
    <row r="433" customFormat="false" ht="15" hidden="false" customHeight="false" outlineLevel="0" collapsed="false">
      <c r="A433" s="0" t="n">
        <v>431</v>
      </c>
      <c r="B433" s="0" t="n">
        <v>432</v>
      </c>
      <c r="C433" s="0" t="n">
        <v>0.2273</v>
      </c>
      <c r="D433" s="0" t="n">
        <v>0.56</v>
      </c>
      <c r="E433" s="0" t="n">
        <v>0.3881</v>
      </c>
      <c r="F433" s="0" t="n">
        <v>5</v>
      </c>
      <c r="G433" s="0" t="n">
        <v>8</v>
      </c>
      <c r="H433" s="0" t="n">
        <v>13</v>
      </c>
    </row>
    <row r="434" customFormat="false" ht="15" hidden="false" customHeight="false" outlineLevel="0" collapsed="false">
      <c r="A434" s="0" t="n">
        <v>432</v>
      </c>
      <c r="B434" s="0" t="n">
        <v>433</v>
      </c>
      <c r="C434" s="0" t="n">
        <v>0.2727</v>
      </c>
      <c r="D434" s="0" t="n">
        <v>0.56</v>
      </c>
      <c r="E434" s="0" t="n">
        <v>0</v>
      </c>
      <c r="F434" s="0" t="n">
        <v>2</v>
      </c>
      <c r="G434" s="0" t="n">
        <v>3</v>
      </c>
      <c r="H434" s="0" t="n">
        <v>5</v>
      </c>
    </row>
    <row r="435" customFormat="false" ht="15" hidden="false" customHeight="false" outlineLevel="0" collapsed="false">
      <c r="A435" s="0" t="n">
        <v>433</v>
      </c>
      <c r="B435" s="0" t="n">
        <v>434</v>
      </c>
      <c r="C435" s="0" t="n">
        <v>0.2727</v>
      </c>
      <c r="D435" s="0" t="n">
        <v>0.56</v>
      </c>
      <c r="E435" s="0" t="n">
        <v>0</v>
      </c>
      <c r="F435" s="0" t="n">
        <v>0</v>
      </c>
      <c r="G435" s="0" t="n">
        <v>2</v>
      </c>
      <c r="H435" s="0" t="n">
        <v>2</v>
      </c>
    </row>
    <row r="436" customFormat="false" ht="15" hidden="false" customHeight="false" outlineLevel="0" collapsed="false">
      <c r="A436" s="0" t="n">
        <v>434</v>
      </c>
      <c r="B436" s="0" t="n">
        <v>435</v>
      </c>
      <c r="C436" s="0" t="n">
        <v>0.2576</v>
      </c>
      <c r="D436" s="0" t="n">
        <v>0.56</v>
      </c>
      <c r="E436" s="0" t="n">
        <v>0.1642</v>
      </c>
      <c r="F436" s="0" t="n">
        <v>0</v>
      </c>
      <c r="G436" s="0" t="n">
        <v>1</v>
      </c>
      <c r="H436" s="0" t="n">
        <v>1</v>
      </c>
    </row>
    <row r="437" customFormat="false" ht="15" hidden="false" customHeight="false" outlineLevel="0" collapsed="false">
      <c r="A437" s="0" t="n">
        <v>435</v>
      </c>
      <c r="B437" s="0" t="n">
        <v>436</v>
      </c>
      <c r="C437" s="0" t="n">
        <v>0.2576</v>
      </c>
      <c r="D437" s="0" t="n">
        <v>0.56</v>
      </c>
      <c r="E437" s="0" t="n">
        <v>0.1642</v>
      </c>
      <c r="F437" s="0" t="n">
        <v>0</v>
      </c>
      <c r="G437" s="0" t="n">
        <v>1</v>
      </c>
      <c r="H437" s="0" t="n">
        <v>1</v>
      </c>
    </row>
    <row r="438" customFormat="false" ht="15" hidden="false" customHeight="false" outlineLevel="0" collapsed="false">
      <c r="A438" s="0" t="n">
        <v>436</v>
      </c>
      <c r="B438" s="0" t="n">
        <v>437</v>
      </c>
      <c r="C438" s="0" t="n">
        <v>0.2273</v>
      </c>
      <c r="D438" s="0" t="n">
        <v>0.6</v>
      </c>
      <c r="E438" s="0" t="n">
        <v>0.2239</v>
      </c>
      <c r="F438" s="0" t="n">
        <v>0</v>
      </c>
      <c r="G438" s="0" t="n">
        <v>6</v>
      </c>
      <c r="H438" s="0" t="n">
        <v>6</v>
      </c>
    </row>
    <row r="439" customFormat="false" ht="15" hidden="false" customHeight="false" outlineLevel="0" collapsed="false">
      <c r="A439" s="0" t="n">
        <v>437</v>
      </c>
      <c r="B439" s="0" t="n">
        <v>438</v>
      </c>
      <c r="C439" s="0" t="n">
        <v>0.2121</v>
      </c>
      <c r="D439" s="0" t="n">
        <v>0.6</v>
      </c>
      <c r="E439" s="0" t="n">
        <v>0.2239</v>
      </c>
      <c r="F439" s="0" t="n">
        <v>0</v>
      </c>
      <c r="G439" s="0" t="n">
        <v>35</v>
      </c>
      <c r="H439" s="0" t="n">
        <v>35</v>
      </c>
    </row>
    <row r="440" customFormat="false" ht="15" hidden="false" customHeight="false" outlineLevel="0" collapsed="false">
      <c r="A440" s="0" t="n">
        <v>438</v>
      </c>
      <c r="B440" s="0" t="n">
        <v>439</v>
      </c>
      <c r="C440" s="0" t="n">
        <v>0.2121</v>
      </c>
      <c r="D440" s="0" t="n">
        <v>0.55</v>
      </c>
      <c r="E440" s="0" t="n">
        <v>0.2239</v>
      </c>
      <c r="F440" s="0" t="n">
        <v>1</v>
      </c>
      <c r="G440" s="0" t="n">
        <v>100</v>
      </c>
      <c r="H440" s="0" t="n">
        <v>101</v>
      </c>
    </row>
    <row r="441" customFormat="false" ht="15" hidden="false" customHeight="false" outlineLevel="0" collapsed="false">
      <c r="A441" s="0" t="n">
        <v>439</v>
      </c>
      <c r="B441" s="0" t="n">
        <v>440</v>
      </c>
      <c r="C441" s="0" t="n">
        <v>0.2121</v>
      </c>
      <c r="D441" s="0" t="n">
        <v>0.55</v>
      </c>
      <c r="E441" s="0" t="n">
        <v>0.2836</v>
      </c>
      <c r="F441" s="0" t="n">
        <v>2</v>
      </c>
      <c r="G441" s="0" t="n">
        <v>247</v>
      </c>
      <c r="H441" s="0" t="n">
        <v>249</v>
      </c>
    </row>
    <row r="442" customFormat="false" ht="15" hidden="false" customHeight="false" outlineLevel="0" collapsed="false">
      <c r="A442" s="0" t="n">
        <v>440</v>
      </c>
      <c r="B442" s="0" t="n">
        <v>441</v>
      </c>
      <c r="C442" s="0" t="n">
        <v>0.2273</v>
      </c>
      <c r="D442" s="0" t="n">
        <v>0.52</v>
      </c>
      <c r="E442" s="0" t="n">
        <v>0.2239</v>
      </c>
      <c r="F442" s="0" t="n">
        <v>3</v>
      </c>
      <c r="G442" s="0" t="n">
        <v>140</v>
      </c>
      <c r="H442" s="0" t="n">
        <v>143</v>
      </c>
    </row>
    <row r="443" customFormat="false" ht="15" hidden="false" customHeight="false" outlineLevel="0" collapsed="false">
      <c r="A443" s="0" t="n">
        <v>441</v>
      </c>
      <c r="B443" s="0" t="n">
        <v>442</v>
      </c>
      <c r="C443" s="0" t="n">
        <v>0.2273</v>
      </c>
      <c r="D443" s="0" t="n">
        <v>0.48</v>
      </c>
      <c r="E443" s="0" t="n">
        <v>0.2985</v>
      </c>
      <c r="F443" s="0" t="n">
        <v>1</v>
      </c>
      <c r="G443" s="0" t="n">
        <v>56</v>
      </c>
      <c r="H443" s="0" t="n">
        <v>57</v>
      </c>
    </row>
    <row r="444" customFormat="false" ht="15" hidden="false" customHeight="false" outlineLevel="0" collapsed="false">
      <c r="A444" s="0" t="n">
        <v>442</v>
      </c>
      <c r="B444" s="0" t="n">
        <v>443</v>
      </c>
      <c r="C444" s="0" t="n">
        <v>0.2727</v>
      </c>
      <c r="D444" s="0" t="n">
        <v>0.45</v>
      </c>
      <c r="E444" s="0" t="n">
        <v>0.1642</v>
      </c>
      <c r="F444" s="0" t="n">
        <v>5</v>
      </c>
      <c r="G444" s="0" t="n">
        <v>63</v>
      </c>
      <c r="H444" s="0" t="n">
        <v>68</v>
      </c>
    </row>
    <row r="445" customFormat="false" ht="15" hidden="false" customHeight="false" outlineLevel="0" collapsed="false">
      <c r="A445" s="0" t="n">
        <v>443</v>
      </c>
      <c r="B445" s="0" t="n">
        <v>444</v>
      </c>
      <c r="C445" s="0" t="n">
        <v>0.3333</v>
      </c>
      <c r="D445" s="0" t="n">
        <v>0.42</v>
      </c>
      <c r="E445" s="0" t="n">
        <v>0</v>
      </c>
      <c r="F445" s="0" t="n">
        <v>7</v>
      </c>
      <c r="G445" s="0" t="n">
        <v>77</v>
      </c>
      <c r="H445" s="0" t="n">
        <v>84</v>
      </c>
    </row>
    <row r="446" customFormat="false" ht="15" hidden="false" customHeight="false" outlineLevel="0" collapsed="false">
      <c r="A446" s="0" t="n">
        <v>444</v>
      </c>
      <c r="B446" s="0" t="n">
        <v>445</v>
      </c>
      <c r="C446" s="0" t="n">
        <v>0.2879</v>
      </c>
      <c r="D446" s="0" t="n">
        <v>0.45</v>
      </c>
      <c r="E446" s="0" t="n">
        <v>0.1045</v>
      </c>
      <c r="F446" s="0" t="n">
        <v>12</v>
      </c>
      <c r="G446" s="0" t="n">
        <v>86</v>
      </c>
      <c r="H446" s="0" t="n">
        <v>98</v>
      </c>
    </row>
    <row r="447" customFormat="false" ht="15" hidden="false" customHeight="false" outlineLevel="0" collapsed="false">
      <c r="A447" s="0" t="n">
        <v>445</v>
      </c>
      <c r="B447" s="0" t="n">
        <v>446</v>
      </c>
      <c r="C447" s="0" t="n">
        <v>0.303</v>
      </c>
      <c r="D447" s="0" t="n">
        <v>0.45</v>
      </c>
      <c r="E447" s="0" t="n">
        <v>0.1343</v>
      </c>
      <c r="F447" s="0" t="n">
        <v>6</v>
      </c>
      <c r="G447" s="0" t="n">
        <v>75</v>
      </c>
      <c r="H447" s="0" t="n">
        <v>81</v>
      </c>
    </row>
    <row r="448" customFormat="false" ht="15" hidden="false" customHeight="false" outlineLevel="0" collapsed="false">
      <c r="A448" s="0" t="n">
        <v>446</v>
      </c>
      <c r="B448" s="0" t="n">
        <v>447</v>
      </c>
      <c r="C448" s="0" t="n">
        <v>0.3182</v>
      </c>
      <c r="D448" s="0" t="n">
        <v>0.45</v>
      </c>
      <c r="E448" s="0" t="n">
        <v>0.194</v>
      </c>
      <c r="F448" s="0" t="n">
        <v>8</v>
      </c>
      <c r="G448" s="0" t="n">
        <v>62</v>
      </c>
      <c r="H448" s="0" t="n">
        <v>70</v>
      </c>
    </row>
    <row r="449" customFormat="false" ht="15" hidden="false" customHeight="false" outlineLevel="0" collapsed="false">
      <c r="A449" s="0" t="n">
        <v>447</v>
      </c>
      <c r="B449" s="0" t="n">
        <v>448</v>
      </c>
      <c r="C449" s="0" t="n">
        <v>0.303</v>
      </c>
      <c r="D449" s="0" t="n">
        <v>0.49</v>
      </c>
      <c r="E449" s="0" t="n">
        <v>0.1343</v>
      </c>
      <c r="F449" s="0" t="n">
        <v>8</v>
      </c>
      <c r="G449" s="0" t="n">
        <v>83</v>
      </c>
      <c r="H449" s="0" t="n">
        <v>91</v>
      </c>
    </row>
    <row r="450" customFormat="false" ht="15" hidden="false" customHeight="false" outlineLevel="0" collapsed="false">
      <c r="A450" s="0" t="n">
        <v>448</v>
      </c>
      <c r="B450" s="0" t="n">
        <v>449</v>
      </c>
      <c r="C450" s="0" t="n">
        <v>0.3182</v>
      </c>
      <c r="D450" s="0" t="n">
        <v>0.49</v>
      </c>
      <c r="E450" s="0" t="n">
        <v>0.1045</v>
      </c>
      <c r="F450" s="0" t="n">
        <v>8</v>
      </c>
      <c r="G450" s="0" t="n">
        <v>207</v>
      </c>
      <c r="H450" s="0" t="n">
        <v>215</v>
      </c>
    </row>
    <row r="451" customFormat="false" ht="15" hidden="false" customHeight="false" outlineLevel="0" collapsed="false">
      <c r="A451" s="0" t="n">
        <v>449</v>
      </c>
      <c r="B451" s="0" t="n">
        <v>450</v>
      </c>
      <c r="C451" s="0" t="n">
        <v>0.2576</v>
      </c>
      <c r="D451" s="0" t="n">
        <v>0.56</v>
      </c>
      <c r="E451" s="0" t="n">
        <v>0.194</v>
      </c>
      <c r="F451" s="0" t="n">
        <v>1</v>
      </c>
      <c r="G451" s="0" t="n">
        <v>184</v>
      </c>
      <c r="H451" s="0" t="n">
        <v>185</v>
      </c>
    </row>
    <row r="452" customFormat="false" ht="15" hidden="false" customHeight="false" outlineLevel="0" collapsed="false">
      <c r="A452" s="0" t="n">
        <v>450</v>
      </c>
      <c r="B452" s="0" t="n">
        <v>451</v>
      </c>
      <c r="C452" s="0" t="n">
        <v>0.2273</v>
      </c>
      <c r="D452" s="0" t="n">
        <v>0.56</v>
      </c>
      <c r="E452" s="0" t="n">
        <v>0.3284</v>
      </c>
      <c r="F452" s="0" t="n">
        <v>6</v>
      </c>
      <c r="G452" s="0" t="n">
        <v>146</v>
      </c>
      <c r="H452" s="0" t="n">
        <v>152</v>
      </c>
    </row>
    <row r="453" customFormat="false" ht="15" hidden="false" customHeight="false" outlineLevel="0" collapsed="false">
      <c r="A453" s="0" t="n">
        <v>451</v>
      </c>
      <c r="B453" s="0" t="n">
        <v>452</v>
      </c>
      <c r="C453" s="0" t="n">
        <v>0.2424</v>
      </c>
      <c r="D453" s="0" t="n">
        <v>0.6</v>
      </c>
      <c r="E453" s="0" t="n">
        <v>0.2836</v>
      </c>
      <c r="F453" s="0" t="n">
        <v>2</v>
      </c>
      <c r="G453" s="0" t="n">
        <v>124</v>
      </c>
      <c r="H453" s="0" t="n">
        <v>126</v>
      </c>
    </row>
    <row r="454" customFormat="false" ht="15" hidden="false" customHeight="false" outlineLevel="0" collapsed="false">
      <c r="A454" s="0" t="n">
        <v>452</v>
      </c>
      <c r="B454" s="0" t="n">
        <v>453</v>
      </c>
      <c r="C454" s="0" t="n">
        <v>0.2273</v>
      </c>
      <c r="D454" s="0" t="n">
        <v>0.6</v>
      </c>
      <c r="E454" s="0" t="n">
        <v>0.2537</v>
      </c>
      <c r="F454" s="0" t="n">
        <v>3</v>
      </c>
      <c r="G454" s="0" t="n">
        <v>54</v>
      </c>
      <c r="H454" s="0" t="n">
        <v>57</v>
      </c>
    </row>
    <row r="455" customFormat="false" ht="15" hidden="false" customHeight="false" outlineLevel="0" collapsed="false">
      <c r="A455" s="0" t="n">
        <v>453</v>
      </c>
      <c r="B455" s="0" t="n">
        <v>454</v>
      </c>
      <c r="C455" s="0" t="n">
        <v>0.2121</v>
      </c>
      <c r="D455" s="0" t="n">
        <v>0.65</v>
      </c>
      <c r="E455" s="0" t="n">
        <v>0.2836</v>
      </c>
      <c r="F455" s="0" t="n">
        <v>0</v>
      </c>
      <c r="G455" s="0" t="n">
        <v>56</v>
      </c>
      <c r="H455" s="0" t="n">
        <v>56</v>
      </c>
    </row>
    <row r="456" customFormat="false" ht="15" hidden="false" customHeight="false" outlineLevel="0" collapsed="false">
      <c r="A456" s="0" t="n">
        <v>454</v>
      </c>
      <c r="B456" s="0" t="n">
        <v>455</v>
      </c>
      <c r="C456" s="0" t="n">
        <v>0.2121</v>
      </c>
      <c r="D456" s="0" t="n">
        <v>0.65</v>
      </c>
      <c r="E456" s="0" t="n">
        <v>0.3284</v>
      </c>
      <c r="F456" s="0" t="n">
        <v>3</v>
      </c>
      <c r="G456" s="0" t="n">
        <v>28</v>
      </c>
      <c r="H456" s="0" t="n">
        <v>31</v>
      </c>
    </row>
    <row r="457" customFormat="false" ht="15" hidden="false" customHeight="false" outlineLevel="0" collapsed="false">
      <c r="A457" s="0" t="n">
        <v>455</v>
      </c>
      <c r="B457" s="0" t="n">
        <v>456</v>
      </c>
      <c r="C457" s="0" t="n">
        <v>0.2273</v>
      </c>
      <c r="D457" s="0" t="n">
        <v>0.7</v>
      </c>
      <c r="E457" s="0" t="n">
        <v>0.2537</v>
      </c>
      <c r="F457" s="0" t="n">
        <v>1</v>
      </c>
      <c r="G457" s="0" t="n">
        <v>20</v>
      </c>
      <c r="H457" s="0" t="n">
        <v>21</v>
      </c>
    </row>
    <row r="458" customFormat="false" ht="15" hidden="false" customHeight="false" outlineLevel="0" collapsed="false">
      <c r="A458" s="0" t="n">
        <v>456</v>
      </c>
      <c r="B458" s="0" t="n">
        <v>457</v>
      </c>
      <c r="C458" s="0" t="n">
        <v>0.2273</v>
      </c>
      <c r="D458" s="0" t="n">
        <v>0.7</v>
      </c>
      <c r="E458" s="0" t="n">
        <v>0.2537</v>
      </c>
      <c r="F458" s="0" t="n">
        <v>0</v>
      </c>
      <c r="G458" s="0" t="n">
        <v>6</v>
      </c>
      <c r="H458" s="0" t="n">
        <v>6</v>
      </c>
    </row>
    <row r="459" customFormat="false" ht="15" hidden="false" customHeight="false" outlineLevel="0" collapsed="false">
      <c r="A459" s="0" t="n">
        <v>457</v>
      </c>
      <c r="B459" s="0" t="n">
        <v>458</v>
      </c>
      <c r="C459" s="0" t="n">
        <v>0.2424</v>
      </c>
      <c r="D459" s="0" t="n">
        <v>0.75</v>
      </c>
      <c r="E459" s="0" t="n">
        <v>0.1642</v>
      </c>
      <c r="F459" s="0" t="n">
        <v>0</v>
      </c>
      <c r="G459" s="0" t="n">
        <v>2</v>
      </c>
      <c r="H459" s="0" t="n">
        <v>2</v>
      </c>
    </row>
    <row r="460" customFormat="false" ht="15" hidden="false" customHeight="false" outlineLevel="0" collapsed="false">
      <c r="A460" s="0" t="n">
        <v>458</v>
      </c>
      <c r="B460" s="0" t="n">
        <v>459</v>
      </c>
      <c r="C460" s="0" t="n">
        <v>0.2121</v>
      </c>
      <c r="D460" s="0" t="n">
        <v>0.8</v>
      </c>
      <c r="E460" s="0" t="n">
        <v>0.2985</v>
      </c>
      <c r="F460" s="0" t="n">
        <v>0</v>
      </c>
      <c r="G460" s="0" t="n">
        <v>1</v>
      </c>
      <c r="H460" s="0" t="n">
        <v>1</v>
      </c>
    </row>
    <row r="461" customFormat="false" ht="15" hidden="false" customHeight="false" outlineLevel="0" collapsed="false">
      <c r="A461" s="0" t="n">
        <v>459</v>
      </c>
      <c r="B461" s="0" t="n">
        <v>460</v>
      </c>
      <c r="C461" s="0" t="n">
        <v>0.2576</v>
      </c>
      <c r="D461" s="0" t="n">
        <v>0.87</v>
      </c>
      <c r="E461" s="0" t="n">
        <v>0.0896</v>
      </c>
      <c r="F461" s="0" t="n">
        <v>0</v>
      </c>
      <c r="G461" s="0" t="n">
        <v>1</v>
      </c>
      <c r="H461" s="0" t="n">
        <v>1</v>
      </c>
    </row>
    <row r="462" customFormat="false" ht="15" hidden="false" customHeight="false" outlineLevel="0" collapsed="false">
      <c r="A462" s="0" t="n">
        <v>460</v>
      </c>
      <c r="B462" s="0" t="n">
        <v>461</v>
      </c>
      <c r="C462" s="0" t="n">
        <v>0.197</v>
      </c>
      <c r="D462" s="0" t="n">
        <v>0.6</v>
      </c>
      <c r="E462" s="0" t="n">
        <v>0.4179</v>
      </c>
      <c r="F462" s="0" t="n">
        <v>1</v>
      </c>
      <c r="G462" s="0" t="n">
        <v>4</v>
      </c>
      <c r="H462" s="0" t="n">
        <v>5</v>
      </c>
    </row>
    <row r="463" customFormat="false" ht="15" hidden="false" customHeight="false" outlineLevel="0" collapsed="false">
      <c r="A463" s="0" t="n">
        <v>461</v>
      </c>
      <c r="B463" s="0" t="n">
        <v>462</v>
      </c>
      <c r="C463" s="0" t="n">
        <v>0.2121</v>
      </c>
      <c r="D463" s="0" t="n">
        <v>0.55</v>
      </c>
      <c r="E463" s="0" t="n">
        <v>0.2537</v>
      </c>
      <c r="F463" s="0" t="n">
        <v>0</v>
      </c>
      <c r="G463" s="0" t="n">
        <v>27</v>
      </c>
      <c r="H463" s="0" t="n">
        <v>27</v>
      </c>
    </row>
    <row r="464" customFormat="false" ht="15" hidden="false" customHeight="false" outlineLevel="0" collapsed="false">
      <c r="A464" s="0" t="n">
        <v>462</v>
      </c>
      <c r="B464" s="0" t="n">
        <v>463</v>
      </c>
      <c r="C464" s="0" t="n">
        <v>0.1818</v>
      </c>
      <c r="D464" s="0" t="n">
        <v>0.51</v>
      </c>
      <c r="E464" s="0" t="n">
        <v>0.2836</v>
      </c>
      <c r="F464" s="0" t="n">
        <v>2</v>
      </c>
      <c r="G464" s="0" t="n">
        <v>66</v>
      </c>
      <c r="H464" s="0" t="n">
        <v>68</v>
      </c>
    </row>
    <row r="465" customFormat="false" ht="15" hidden="false" customHeight="false" outlineLevel="0" collapsed="false">
      <c r="A465" s="0" t="n">
        <v>463</v>
      </c>
      <c r="B465" s="0" t="n">
        <v>464</v>
      </c>
      <c r="C465" s="0" t="n">
        <v>0.1818</v>
      </c>
      <c r="D465" s="0" t="n">
        <v>0.47</v>
      </c>
      <c r="E465" s="0" t="n">
        <v>0.3284</v>
      </c>
      <c r="F465" s="0" t="n">
        <v>7</v>
      </c>
      <c r="G465" s="0" t="n">
        <v>210</v>
      </c>
      <c r="H465" s="0" t="n">
        <v>217</v>
      </c>
    </row>
    <row r="466" customFormat="false" ht="15" hidden="false" customHeight="false" outlineLevel="0" collapsed="false">
      <c r="A466" s="0" t="n">
        <v>464</v>
      </c>
      <c r="B466" s="0" t="n">
        <v>465</v>
      </c>
      <c r="C466" s="0" t="n">
        <v>0.1818</v>
      </c>
      <c r="D466" s="0" t="n">
        <v>0.51</v>
      </c>
      <c r="E466" s="0" t="n">
        <v>0.3582</v>
      </c>
      <c r="F466" s="0" t="n">
        <v>7</v>
      </c>
      <c r="G466" s="0" t="n">
        <v>159</v>
      </c>
      <c r="H466" s="0" t="n">
        <v>166</v>
      </c>
    </row>
    <row r="467" customFormat="false" ht="15" hidden="false" customHeight="false" outlineLevel="0" collapsed="false">
      <c r="A467" s="0" t="n">
        <v>465</v>
      </c>
      <c r="B467" s="0" t="n">
        <v>466</v>
      </c>
      <c r="C467" s="0" t="n">
        <v>0.1667</v>
      </c>
      <c r="D467" s="0" t="n">
        <v>0.47</v>
      </c>
      <c r="E467" s="0" t="n">
        <v>0.4627</v>
      </c>
      <c r="F467" s="0" t="n">
        <v>6</v>
      </c>
      <c r="G467" s="0" t="n">
        <v>57</v>
      </c>
      <c r="H467" s="0" t="n">
        <v>63</v>
      </c>
    </row>
    <row r="468" customFormat="false" ht="15" hidden="false" customHeight="false" outlineLevel="0" collapsed="false">
      <c r="A468" s="0" t="n">
        <v>466</v>
      </c>
      <c r="B468" s="0" t="n">
        <v>467</v>
      </c>
      <c r="C468" s="0" t="n">
        <v>0.1818</v>
      </c>
      <c r="D468" s="0" t="n">
        <v>0.41</v>
      </c>
      <c r="E468" s="0" t="n">
        <v>0.4627</v>
      </c>
      <c r="F468" s="0" t="n">
        <v>6</v>
      </c>
      <c r="G468" s="0" t="n">
        <v>53</v>
      </c>
      <c r="H468" s="0" t="n">
        <v>59</v>
      </c>
    </row>
    <row r="469" customFormat="false" ht="15" hidden="false" customHeight="false" outlineLevel="0" collapsed="false">
      <c r="A469" s="0" t="n">
        <v>467</v>
      </c>
      <c r="B469" s="0" t="n">
        <v>468</v>
      </c>
      <c r="C469" s="0" t="n">
        <v>0.1818</v>
      </c>
      <c r="D469" s="0" t="n">
        <v>0.27</v>
      </c>
      <c r="E469" s="0" t="n">
        <v>0.5821</v>
      </c>
      <c r="F469" s="0" t="n">
        <v>11</v>
      </c>
      <c r="G469" s="0" t="n">
        <v>67</v>
      </c>
      <c r="H469" s="0" t="n">
        <v>78</v>
      </c>
    </row>
    <row r="470" customFormat="false" ht="15" hidden="false" customHeight="false" outlineLevel="0" collapsed="false">
      <c r="A470" s="0" t="n">
        <v>468</v>
      </c>
      <c r="B470" s="0" t="n">
        <v>469</v>
      </c>
      <c r="C470" s="0" t="n">
        <v>0.1515</v>
      </c>
      <c r="D470" s="0" t="n">
        <v>0.21</v>
      </c>
      <c r="E470" s="0" t="n">
        <v>0.5821</v>
      </c>
      <c r="F470" s="0" t="n">
        <v>8</v>
      </c>
      <c r="G470" s="0" t="n">
        <v>65</v>
      </c>
      <c r="H470" s="0" t="n">
        <v>73</v>
      </c>
    </row>
    <row r="471" customFormat="false" ht="15" hidden="false" customHeight="false" outlineLevel="0" collapsed="false">
      <c r="A471" s="0" t="n">
        <v>469</v>
      </c>
      <c r="B471" s="0" t="n">
        <v>470</v>
      </c>
      <c r="C471" s="0" t="n">
        <v>0.1515</v>
      </c>
      <c r="D471" s="0" t="n">
        <v>0.25</v>
      </c>
      <c r="E471" s="0" t="n">
        <v>0.5224</v>
      </c>
      <c r="F471" s="0" t="n">
        <v>6</v>
      </c>
      <c r="G471" s="0" t="n">
        <v>56</v>
      </c>
      <c r="H471" s="0" t="n">
        <v>62</v>
      </c>
    </row>
    <row r="472" customFormat="false" ht="15" hidden="false" customHeight="false" outlineLevel="0" collapsed="false">
      <c r="A472" s="0" t="n">
        <v>470</v>
      </c>
      <c r="B472" s="0" t="n">
        <v>471</v>
      </c>
      <c r="C472" s="0" t="n">
        <v>0.1212</v>
      </c>
      <c r="D472" s="0" t="n">
        <v>0.26</v>
      </c>
      <c r="E472" s="0" t="n">
        <v>0.4478</v>
      </c>
      <c r="F472" s="0" t="n">
        <v>4</v>
      </c>
      <c r="G472" s="0" t="n">
        <v>61</v>
      </c>
      <c r="H472" s="0" t="n">
        <v>65</v>
      </c>
    </row>
    <row r="473" customFormat="false" ht="15" hidden="false" customHeight="false" outlineLevel="0" collapsed="false">
      <c r="A473" s="0" t="n">
        <v>471</v>
      </c>
      <c r="B473" s="0" t="n">
        <v>472</v>
      </c>
      <c r="C473" s="0" t="n">
        <v>0.1364</v>
      </c>
      <c r="D473" s="0" t="n">
        <v>0.26</v>
      </c>
      <c r="E473" s="0" t="n">
        <v>0.3582</v>
      </c>
      <c r="F473" s="0" t="n">
        <v>0</v>
      </c>
      <c r="G473" s="0" t="n">
        <v>97</v>
      </c>
      <c r="H473" s="0" t="n">
        <v>97</v>
      </c>
    </row>
    <row r="474" customFormat="false" ht="15" hidden="false" customHeight="false" outlineLevel="0" collapsed="false">
      <c r="A474" s="0" t="n">
        <v>472</v>
      </c>
      <c r="B474" s="0" t="n">
        <v>473</v>
      </c>
      <c r="C474" s="0" t="n">
        <v>0.1212</v>
      </c>
      <c r="D474" s="0" t="n">
        <v>0.28</v>
      </c>
      <c r="E474" s="0" t="n">
        <v>0.3582</v>
      </c>
      <c r="F474" s="0" t="n">
        <v>10</v>
      </c>
      <c r="G474" s="0" t="n">
        <v>151</v>
      </c>
      <c r="H474" s="0" t="n">
        <v>161</v>
      </c>
    </row>
    <row r="475" customFormat="false" ht="15" hidden="false" customHeight="false" outlineLevel="0" collapsed="false">
      <c r="A475" s="0" t="n">
        <v>473</v>
      </c>
      <c r="B475" s="0" t="n">
        <v>474</v>
      </c>
      <c r="C475" s="0" t="n">
        <v>0.1212</v>
      </c>
      <c r="D475" s="0" t="n">
        <v>0.3</v>
      </c>
      <c r="E475" s="0" t="n">
        <v>0.2537</v>
      </c>
      <c r="F475" s="0" t="n">
        <v>1</v>
      </c>
      <c r="G475" s="0" t="n">
        <v>119</v>
      </c>
      <c r="H475" s="0" t="n">
        <v>120</v>
      </c>
    </row>
    <row r="476" customFormat="false" ht="15" hidden="false" customHeight="false" outlineLevel="0" collapsed="false">
      <c r="A476" s="0" t="n">
        <v>474</v>
      </c>
      <c r="B476" s="0" t="n">
        <v>475</v>
      </c>
      <c r="C476" s="0" t="n">
        <v>0.1061</v>
      </c>
      <c r="D476" s="0" t="n">
        <v>0.3</v>
      </c>
      <c r="E476" s="0" t="n">
        <v>0.3284</v>
      </c>
      <c r="F476" s="0" t="n">
        <v>3</v>
      </c>
      <c r="G476" s="0" t="n">
        <v>93</v>
      </c>
      <c r="H476" s="0" t="n">
        <v>96</v>
      </c>
    </row>
    <row r="477" customFormat="false" ht="15" hidden="false" customHeight="false" outlineLevel="0" collapsed="false">
      <c r="A477" s="0" t="n">
        <v>475</v>
      </c>
      <c r="B477" s="0" t="n">
        <v>476</v>
      </c>
      <c r="C477" s="0" t="n">
        <v>0.0758</v>
      </c>
      <c r="D477" s="0" t="n">
        <v>0.33</v>
      </c>
      <c r="E477" s="0" t="n">
        <v>0.4179</v>
      </c>
      <c r="F477" s="0" t="n">
        <v>1</v>
      </c>
      <c r="G477" s="0" t="n">
        <v>52</v>
      </c>
      <c r="H477" s="0" t="n">
        <v>53</v>
      </c>
    </row>
    <row r="478" customFormat="false" ht="15" hidden="false" customHeight="false" outlineLevel="0" collapsed="false">
      <c r="A478" s="0" t="n">
        <v>476</v>
      </c>
      <c r="B478" s="0" t="n">
        <v>477</v>
      </c>
      <c r="C478" s="0" t="n">
        <v>0.0758</v>
      </c>
      <c r="D478" s="0" t="n">
        <v>0.38</v>
      </c>
      <c r="E478" s="0" t="n">
        <v>0.2836</v>
      </c>
      <c r="F478" s="0" t="n">
        <v>0</v>
      </c>
      <c r="G478" s="0" t="n">
        <v>41</v>
      </c>
      <c r="H478" s="0" t="n">
        <v>41</v>
      </c>
    </row>
    <row r="479" customFormat="false" ht="15" hidden="false" customHeight="false" outlineLevel="0" collapsed="false">
      <c r="A479" s="0" t="n">
        <v>477</v>
      </c>
      <c r="B479" s="0" t="n">
        <v>478</v>
      </c>
      <c r="C479" s="0" t="n">
        <v>0.0303</v>
      </c>
      <c r="D479" s="0" t="n">
        <v>0.41</v>
      </c>
      <c r="E479" s="0" t="n">
        <v>0.3881</v>
      </c>
      <c r="F479" s="0" t="n">
        <v>1</v>
      </c>
      <c r="G479" s="0" t="n">
        <v>33</v>
      </c>
      <c r="H479" s="0" t="n">
        <v>34</v>
      </c>
    </row>
    <row r="480" customFormat="false" ht="15" hidden="false" customHeight="false" outlineLevel="0" collapsed="false">
      <c r="A480" s="0" t="n">
        <v>478</v>
      </c>
      <c r="B480" s="0" t="n">
        <v>479</v>
      </c>
      <c r="C480" s="0" t="n">
        <v>0.0455</v>
      </c>
      <c r="D480" s="0" t="n">
        <v>0.38</v>
      </c>
      <c r="E480" s="0" t="n">
        <v>0.3284</v>
      </c>
      <c r="F480" s="0" t="n">
        <v>0</v>
      </c>
      <c r="G480" s="0" t="n">
        <v>27</v>
      </c>
      <c r="H480" s="0" t="n">
        <v>27</v>
      </c>
    </row>
    <row r="481" customFormat="false" ht="15" hidden="false" customHeight="false" outlineLevel="0" collapsed="false">
      <c r="A481" s="0" t="n">
        <v>479</v>
      </c>
      <c r="B481" s="0" t="n">
        <v>480</v>
      </c>
      <c r="C481" s="0" t="n">
        <v>0.0303</v>
      </c>
      <c r="D481" s="0" t="n">
        <v>0.45</v>
      </c>
      <c r="E481" s="0" t="n">
        <v>0.2537</v>
      </c>
      <c r="F481" s="0" t="n">
        <v>0</v>
      </c>
      <c r="G481" s="0" t="n">
        <v>13</v>
      </c>
      <c r="H481" s="0" t="n">
        <v>13</v>
      </c>
    </row>
    <row r="482" customFormat="false" ht="15" hidden="false" customHeight="false" outlineLevel="0" collapsed="false">
      <c r="A482" s="0" t="n">
        <v>480</v>
      </c>
      <c r="B482" s="0" t="n">
        <v>481</v>
      </c>
      <c r="C482" s="0" t="n">
        <v>0</v>
      </c>
      <c r="D482" s="0" t="n">
        <v>0.41</v>
      </c>
      <c r="E482" s="0" t="n">
        <v>0.3881</v>
      </c>
      <c r="F482" s="0" t="n">
        <v>3</v>
      </c>
      <c r="G482" s="0" t="n">
        <v>9</v>
      </c>
      <c r="H482" s="0" t="n">
        <v>12</v>
      </c>
    </row>
    <row r="483" customFormat="false" ht="15" hidden="false" customHeight="false" outlineLevel="0" collapsed="false">
      <c r="A483" s="0" t="n">
        <v>481</v>
      </c>
      <c r="B483" s="0" t="n">
        <v>482</v>
      </c>
      <c r="C483" s="0" t="n">
        <v>0.0303</v>
      </c>
      <c r="D483" s="0" t="n">
        <v>0.41</v>
      </c>
      <c r="E483" s="0" t="n">
        <v>0.2537</v>
      </c>
      <c r="F483" s="0" t="n">
        <v>0</v>
      </c>
      <c r="G483" s="0" t="n">
        <v>11</v>
      </c>
      <c r="H483" s="0" t="n">
        <v>11</v>
      </c>
    </row>
    <row r="484" customFormat="false" ht="15" hidden="false" customHeight="false" outlineLevel="0" collapsed="false">
      <c r="A484" s="0" t="n">
        <v>482</v>
      </c>
      <c r="B484" s="0" t="n">
        <v>483</v>
      </c>
      <c r="C484" s="0" t="n">
        <v>0.0303</v>
      </c>
      <c r="D484" s="0" t="n">
        <v>0.41</v>
      </c>
      <c r="E484" s="0" t="n">
        <v>0.2836</v>
      </c>
      <c r="F484" s="0" t="n">
        <v>1</v>
      </c>
      <c r="G484" s="0" t="n">
        <v>6</v>
      </c>
      <c r="H484" s="0" t="n">
        <v>7</v>
      </c>
    </row>
    <row r="485" customFormat="false" ht="15" hidden="false" customHeight="false" outlineLevel="0" collapsed="false">
      <c r="A485" s="0" t="n">
        <v>483</v>
      </c>
      <c r="B485" s="0" t="n">
        <v>484</v>
      </c>
      <c r="C485" s="0" t="n">
        <v>0.0152</v>
      </c>
      <c r="D485" s="0" t="n">
        <v>0.48</v>
      </c>
      <c r="E485" s="0" t="n">
        <v>0.2985</v>
      </c>
      <c r="F485" s="0" t="n">
        <v>0</v>
      </c>
      <c r="G485" s="0" t="n">
        <v>3</v>
      </c>
      <c r="H485" s="0" t="n">
        <v>3</v>
      </c>
    </row>
    <row r="486" customFormat="false" ht="15" hidden="false" customHeight="false" outlineLevel="0" collapsed="false">
      <c r="A486" s="0" t="n">
        <v>484</v>
      </c>
      <c r="B486" s="0" t="n">
        <v>485</v>
      </c>
      <c r="C486" s="0" t="n">
        <v>0.0303</v>
      </c>
      <c r="D486" s="0" t="n">
        <v>0.44</v>
      </c>
      <c r="E486" s="0" t="n">
        <v>0.2239</v>
      </c>
      <c r="F486" s="0" t="n">
        <v>0</v>
      </c>
      <c r="G486" s="0" t="n">
        <v>2</v>
      </c>
      <c r="H486" s="0" t="n">
        <v>2</v>
      </c>
    </row>
    <row r="487" customFormat="false" ht="15" hidden="false" customHeight="false" outlineLevel="0" collapsed="false">
      <c r="A487" s="0" t="n">
        <v>485</v>
      </c>
      <c r="B487" s="0" t="n">
        <v>486</v>
      </c>
      <c r="C487" s="0" t="n">
        <v>0.0152</v>
      </c>
      <c r="D487" s="0" t="n">
        <v>0.44</v>
      </c>
      <c r="E487" s="0" t="n">
        <v>0.2836</v>
      </c>
      <c r="F487" s="0" t="n">
        <v>0</v>
      </c>
      <c r="G487" s="0" t="n">
        <v>8</v>
      </c>
      <c r="H487" s="0" t="n">
        <v>8</v>
      </c>
    </row>
    <row r="488" customFormat="false" ht="15" hidden="false" customHeight="false" outlineLevel="0" collapsed="false">
      <c r="A488" s="0" t="n">
        <v>486</v>
      </c>
      <c r="B488" s="0" t="n">
        <v>487</v>
      </c>
      <c r="C488" s="0" t="n">
        <v>0</v>
      </c>
      <c r="D488" s="0" t="n">
        <v>0.44</v>
      </c>
      <c r="E488" s="0" t="n">
        <v>0.3284</v>
      </c>
      <c r="F488" s="0" t="n">
        <v>1</v>
      </c>
      <c r="G488" s="0" t="n">
        <v>26</v>
      </c>
      <c r="H488" s="0" t="n">
        <v>27</v>
      </c>
    </row>
    <row r="489" customFormat="false" ht="15" hidden="false" customHeight="false" outlineLevel="0" collapsed="false">
      <c r="A489" s="0" t="n">
        <v>487</v>
      </c>
      <c r="B489" s="0" t="n">
        <v>488</v>
      </c>
      <c r="C489" s="0" t="n">
        <v>0.0303</v>
      </c>
      <c r="D489" s="0" t="n">
        <v>0.41</v>
      </c>
      <c r="E489" s="0" t="n">
        <v>0.2537</v>
      </c>
      <c r="F489" s="0" t="n">
        <v>3</v>
      </c>
      <c r="G489" s="0" t="n">
        <v>37</v>
      </c>
      <c r="H489" s="0" t="n">
        <v>40</v>
      </c>
    </row>
    <row r="490" customFormat="false" ht="15" hidden="false" customHeight="false" outlineLevel="0" collapsed="false">
      <c r="A490" s="0" t="n">
        <v>488</v>
      </c>
      <c r="B490" s="0" t="n">
        <v>489</v>
      </c>
      <c r="C490" s="0" t="n">
        <v>0.0606</v>
      </c>
      <c r="D490" s="0" t="n">
        <v>0.41</v>
      </c>
      <c r="E490" s="0" t="n">
        <v>0.1642</v>
      </c>
      <c r="F490" s="0" t="n">
        <v>3</v>
      </c>
      <c r="G490" s="0" t="n">
        <v>50</v>
      </c>
      <c r="H490" s="0" t="n">
        <v>53</v>
      </c>
    </row>
    <row r="491" customFormat="false" ht="15" hidden="false" customHeight="false" outlineLevel="0" collapsed="false">
      <c r="A491" s="0" t="n">
        <v>489</v>
      </c>
      <c r="B491" s="0" t="n">
        <v>490</v>
      </c>
      <c r="C491" s="0" t="n">
        <v>0.0758</v>
      </c>
      <c r="D491" s="0" t="n">
        <v>0.38</v>
      </c>
      <c r="E491" s="0" t="n">
        <v>0.1343</v>
      </c>
      <c r="F491" s="0" t="n">
        <v>4</v>
      </c>
      <c r="G491" s="0" t="n">
        <v>59</v>
      </c>
      <c r="H491" s="0" t="n">
        <v>63</v>
      </c>
    </row>
    <row r="492" customFormat="false" ht="15" hidden="false" customHeight="false" outlineLevel="0" collapsed="false">
      <c r="A492" s="0" t="n">
        <v>490</v>
      </c>
      <c r="B492" s="0" t="n">
        <v>491</v>
      </c>
      <c r="C492" s="0" t="n">
        <v>0.1061</v>
      </c>
      <c r="D492" s="0" t="n">
        <v>0.38</v>
      </c>
      <c r="E492" s="0" t="n">
        <v>0.1045</v>
      </c>
      <c r="F492" s="0" t="n">
        <v>10</v>
      </c>
      <c r="G492" s="0" t="n">
        <v>60</v>
      </c>
      <c r="H492" s="0" t="n">
        <v>70</v>
      </c>
    </row>
    <row r="493" customFormat="false" ht="15" hidden="false" customHeight="false" outlineLevel="0" collapsed="false">
      <c r="A493" s="0" t="n">
        <v>491</v>
      </c>
      <c r="B493" s="0" t="n">
        <v>492</v>
      </c>
      <c r="C493" s="0" t="n">
        <v>0.1667</v>
      </c>
      <c r="D493" s="0" t="n">
        <v>0.35</v>
      </c>
      <c r="E493" s="0" t="n">
        <v>0</v>
      </c>
      <c r="F493" s="0" t="n">
        <v>12</v>
      </c>
      <c r="G493" s="0" t="n">
        <v>72</v>
      </c>
      <c r="H493" s="0" t="n">
        <v>84</v>
      </c>
    </row>
    <row r="494" customFormat="false" ht="15" hidden="false" customHeight="false" outlineLevel="0" collapsed="false">
      <c r="A494" s="0" t="n">
        <v>492</v>
      </c>
      <c r="B494" s="0" t="n">
        <v>493</v>
      </c>
      <c r="C494" s="0" t="n">
        <v>0.1364</v>
      </c>
      <c r="D494" s="0" t="n">
        <v>0.33</v>
      </c>
      <c r="E494" s="0" t="n">
        <v>0.1045</v>
      </c>
      <c r="F494" s="0" t="n">
        <v>11</v>
      </c>
      <c r="G494" s="0" t="n">
        <v>64</v>
      </c>
      <c r="H494" s="0" t="n">
        <v>75</v>
      </c>
    </row>
    <row r="495" customFormat="false" ht="15" hidden="false" customHeight="false" outlineLevel="0" collapsed="false">
      <c r="A495" s="0" t="n">
        <v>493</v>
      </c>
      <c r="B495" s="0" t="n">
        <v>494</v>
      </c>
      <c r="C495" s="0" t="n">
        <v>0.1515</v>
      </c>
      <c r="D495" s="0" t="n">
        <v>0.28</v>
      </c>
      <c r="E495" s="0" t="n">
        <v>0</v>
      </c>
      <c r="F495" s="0" t="n">
        <v>10</v>
      </c>
      <c r="G495" s="0" t="n">
        <v>93</v>
      </c>
      <c r="H495" s="0" t="n">
        <v>103</v>
      </c>
    </row>
    <row r="496" customFormat="false" ht="15" hidden="false" customHeight="false" outlineLevel="0" collapsed="false">
      <c r="A496" s="0" t="n">
        <v>494</v>
      </c>
      <c r="B496" s="0" t="n">
        <v>495</v>
      </c>
      <c r="C496" s="0" t="n">
        <v>0.1364</v>
      </c>
      <c r="D496" s="0" t="n">
        <v>0.28</v>
      </c>
      <c r="E496" s="0" t="n">
        <v>0.194</v>
      </c>
      <c r="F496" s="0" t="n">
        <v>11</v>
      </c>
      <c r="G496" s="0" t="n">
        <v>72</v>
      </c>
      <c r="H496" s="0" t="n">
        <v>83</v>
      </c>
    </row>
    <row r="497" customFormat="false" ht="15" hidden="false" customHeight="false" outlineLevel="0" collapsed="false">
      <c r="A497" s="0" t="n">
        <v>495</v>
      </c>
      <c r="B497" s="0" t="n">
        <v>496</v>
      </c>
      <c r="C497" s="0" t="n">
        <v>0.197</v>
      </c>
      <c r="D497" s="0" t="n">
        <v>0.28</v>
      </c>
      <c r="E497" s="0" t="n">
        <v>0</v>
      </c>
      <c r="F497" s="0" t="n">
        <v>8</v>
      </c>
      <c r="G497" s="0" t="n">
        <v>59</v>
      </c>
      <c r="H497" s="0" t="n">
        <v>67</v>
      </c>
    </row>
    <row r="498" customFormat="false" ht="15" hidden="false" customHeight="false" outlineLevel="0" collapsed="false">
      <c r="A498" s="0" t="n">
        <v>496</v>
      </c>
      <c r="B498" s="0" t="n">
        <v>497</v>
      </c>
      <c r="C498" s="0" t="n">
        <v>0.0909</v>
      </c>
      <c r="D498" s="0" t="n">
        <v>0.35</v>
      </c>
      <c r="E498" s="0" t="n">
        <v>0.194</v>
      </c>
      <c r="F498" s="0" t="n">
        <v>0</v>
      </c>
      <c r="G498" s="0" t="n">
        <v>54</v>
      </c>
      <c r="H498" s="0" t="n">
        <v>54</v>
      </c>
    </row>
    <row r="499" customFormat="false" ht="15" hidden="false" customHeight="false" outlineLevel="0" collapsed="false">
      <c r="A499" s="0" t="n">
        <v>497</v>
      </c>
      <c r="B499" s="0" t="n">
        <v>498</v>
      </c>
      <c r="C499" s="0" t="n">
        <v>0.1061</v>
      </c>
      <c r="D499" s="0" t="n">
        <v>0.35</v>
      </c>
      <c r="E499" s="0" t="n">
        <v>0.1343</v>
      </c>
      <c r="F499" s="0" t="n">
        <v>6</v>
      </c>
      <c r="G499" s="0" t="n">
        <v>53</v>
      </c>
      <c r="H499" s="0" t="n">
        <v>59</v>
      </c>
    </row>
    <row r="500" customFormat="false" ht="15" hidden="false" customHeight="false" outlineLevel="0" collapsed="false">
      <c r="A500" s="0" t="n">
        <v>498</v>
      </c>
      <c r="B500" s="0" t="n">
        <v>499</v>
      </c>
      <c r="C500" s="0" t="n">
        <v>0.0758</v>
      </c>
      <c r="D500" s="0" t="n">
        <v>0.45</v>
      </c>
      <c r="E500" s="0" t="n">
        <v>0.1642</v>
      </c>
      <c r="F500" s="0" t="n">
        <v>1</v>
      </c>
      <c r="G500" s="0" t="n">
        <v>44</v>
      </c>
      <c r="H500" s="0" t="n">
        <v>45</v>
      </c>
    </row>
    <row r="501" customFormat="false" ht="15" hidden="false" customHeight="false" outlineLevel="0" collapsed="false">
      <c r="A501" s="0" t="n">
        <v>499</v>
      </c>
      <c r="B501" s="0" t="n">
        <v>500</v>
      </c>
      <c r="C501" s="0" t="n">
        <v>0.1061</v>
      </c>
      <c r="D501" s="0" t="n">
        <v>0.41</v>
      </c>
      <c r="E501" s="0" t="n">
        <v>0.0896</v>
      </c>
      <c r="F501" s="0" t="n">
        <v>0</v>
      </c>
      <c r="G501" s="0" t="n">
        <v>39</v>
      </c>
      <c r="H501" s="0" t="n">
        <v>39</v>
      </c>
    </row>
    <row r="502" customFormat="false" ht="15" hidden="false" customHeight="false" outlineLevel="0" collapsed="false">
      <c r="A502" s="0" t="n">
        <v>500</v>
      </c>
      <c r="B502" s="0" t="n">
        <v>501</v>
      </c>
      <c r="C502" s="0" t="n">
        <v>0.1515</v>
      </c>
      <c r="D502" s="0" t="n">
        <v>0.49</v>
      </c>
      <c r="E502" s="0" t="n">
        <v>0</v>
      </c>
      <c r="F502" s="0" t="n">
        <v>7</v>
      </c>
      <c r="G502" s="0" t="n">
        <v>23</v>
      </c>
      <c r="H502" s="0" t="n">
        <v>30</v>
      </c>
    </row>
    <row r="503" customFormat="false" ht="15" hidden="false" customHeight="false" outlineLevel="0" collapsed="false">
      <c r="A503" s="0" t="n">
        <v>501</v>
      </c>
      <c r="B503" s="0" t="n">
        <v>502</v>
      </c>
      <c r="C503" s="0" t="n">
        <v>0.0758</v>
      </c>
      <c r="D503" s="0" t="n">
        <v>0.57</v>
      </c>
      <c r="E503" s="0" t="n">
        <v>0.1045</v>
      </c>
      <c r="F503" s="0" t="n">
        <v>2</v>
      </c>
      <c r="G503" s="0" t="n">
        <v>31</v>
      </c>
      <c r="H503" s="0" t="n">
        <v>33</v>
      </c>
    </row>
    <row r="504" customFormat="false" ht="15" hidden="false" customHeight="false" outlineLevel="0" collapsed="false">
      <c r="A504" s="0" t="n">
        <v>502</v>
      </c>
      <c r="B504" s="0" t="n">
        <v>503</v>
      </c>
      <c r="C504" s="0" t="n">
        <v>0.0758</v>
      </c>
      <c r="D504" s="0" t="n">
        <v>0.57</v>
      </c>
      <c r="E504" s="0" t="n">
        <v>0.1045</v>
      </c>
      <c r="F504" s="0" t="n">
        <v>2</v>
      </c>
      <c r="G504" s="0" t="n">
        <v>20</v>
      </c>
      <c r="H504" s="0" t="n">
        <v>22</v>
      </c>
    </row>
    <row r="505" customFormat="false" ht="15" hidden="false" customHeight="false" outlineLevel="0" collapsed="false">
      <c r="A505" s="0" t="n">
        <v>503</v>
      </c>
      <c r="B505" s="0" t="n">
        <v>504</v>
      </c>
      <c r="C505" s="0" t="n">
        <v>0.0758</v>
      </c>
      <c r="D505" s="0" t="n">
        <v>0.57</v>
      </c>
      <c r="E505" s="0" t="n">
        <v>0.1045</v>
      </c>
      <c r="F505" s="0" t="n">
        <v>1</v>
      </c>
      <c r="G505" s="0" t="n">
        <v>12</v>
      </c>
      <c r="H505" s="0" t="n">
        <v>13</v>
      </c>
    </row>
    <row r="506" customFormat="false" ht="15" hidden="false" customHeight="false" outlineLevel="0" collapsed="false">
      <c r="A506" s="0" t="n">
        <v>504</v>
      </c>
      <c r="B506" s="0" t="n">
        <v>505</v>
      </c>
      <c r="C506" s="0" t="n">
        <v>0.0606</v>
      </c>
      <c r="D506" s="0" t="n">
        <v>0.62</v>
      </c>
      <c r="E506" s="0" t="n">
        <v>0.1343</v>
      </c>
      <c r="F506" s="0" t="n">
        <v>3</v>
      </c>
      <c r="G506" s="0" t="n">
        <v>15</v>
      </c>
      <c r="H506" s="0" t="n">
        <v>18</v>
      </c>
    </row>
    <row r="507" customFormat="false" ht="15" hidden="false" customHeight="false" outlineLevel="0" collapsed="false">
      <c r="A507" s="0" t="n">
        <v>505</v>
      </c>
      <c r="B507" s="0" t="n">
        <v>506</v>
      </c>
      <c r="C507" s="0" t="n">
        <v>0.0606</v>
      </c>
      <c r="D507" s="0" t="n">
        <v>0.62</v>
      </c>
      <c r="E507" s="0" t="n">
        <v>0.1343</v>
      </c>
      <c r="F507" s="0" t="n">
        <v>1</v>
      </c>
      <c r="G507" s="0" t="n">
        <v>4</v>
      </c>
      <c r="H507" s="0" t="n">
        <v>5</v>
      </c>
    </row>
    <row r="508" customFormat="false" ht="15" hidden="false" customHeight="false" outlineLevel="0" collapsed="false">
      <c r="A508" s="0" t="n">
        <v>506</v>
      </c>
      <c r="B508" s="0" t="n">
        <v>507</v>
      </c>
      <c r="C508" s="0" t="n">
        <v>0.0758</v>
      </c>
      <c r="D508" s="0" t="n">
        <v>0.57</v>
      </c>
      <c r="E508" s="0" t="n">
        <v>0.1045</v>
      </c>
      <c r="F508" s="0" t="n">
        <v>0</v>
      </c>
      <c r="G508" s="0" t="n">
        <v>3</v>
      </c>
      <c r="H508" s="0" t="n">
        <v>3</v>
      </c>
    </row>
    <row r="509" customFormat="false" ht="15" hidden="false" customHeight="false" outlineLevel="0" collapsed="false">
      <c r="A509" s="0" t="n">
        <v>507</v>
      </c>
      <c r="B509" s="0" t="n">
        <v>508</v>
      </c>
      <c r="C509" s="0" t="n">
        <v>0.0758</v>
      </c>
      <c r="D509" s="0" t="n">
        <v>0.57</v>
      </c>
      <c r="E509" s="0" t="n">
        <v>0.1045</v>
      </c>
      <c r="F509" s="0" t="n">
        <v>0</v>
      </c>
      <c r="G509" s="0" t="n">
        <v>1</v>
      </c>
      <c r="H509" s="0" t="n">
        <v>1</v>
      </c>
    </row>
    <row r="510" customFormat="false" ht="15" hidden="false" customHeight="false" outlineLevel="0" collapsed="false">
      <c r="A510" s="0" t="n">
        <v>508</v>
      </c>
      <c r="B510" s="0" t="n">
        <v>509</v>
      </c>
      <c r="C510" s="0" t="n">
        <v>0.1061</v>
      </c>
      <c r="D510" s="0" t="n">
        <v>0.58</v>
      </c>
      <c r="E510" s="0" t="n">
        <v>0.1642</v>
      </c>
      <c r="F510" s="0" t="n">
        <v>1</v>
      </c>
      <c r="G510" s="0" t="n">
        <v>1</v>
      </c>
      <c r="H510" s="0" t="n">
        <v>2</v>
      </c>
    </row>
    <row r="511" customFormat="false" ht="15" hidden="false" customHeight="false" outlineLevel="0" collapsed="false">
      <c r="A511" s="0" t="n">
        <v>509</v>
      </c>
      <c r="B511" s="0" t="n">
        <v>510</v>
      </c>
      <c r="C511" s="0" t="n">
        <v>0.0758</v>
      </c>
      <c r="D511" s="0" t="n">
        <v>0.62</v>
      </c>
      <c r="E511" s="0" t="n">
        <v>0.1642</v>
      </c>
      <c r="F511" s="0" t="n">
        <v>2</v>
      </c>
      <c r="G511" s="0" t="n">
        <v>17</v>
      </c>
      <c r="H511" s="0" t="n">
        <v>19</v>
      </c>
    </row>
    <row r="512" customFormat="false" ht="15" hidden="false" customHeight="false" outlineLevel="0" collapsed="false">
      <c r="A512" s="0" t="n">
        <v>510</v>
      </c>
      <c r="B512" s="0" t="n">
        <v>511</v>
      </c>
      <c r="C512" s="0" t="n">
        <v>0.0758</v>
      </c>
      <c r="D512" s="0" t="n">
        <v>0.54</v>
      </c>
      <c r="E512" s="0" t="n">
        <v>0.3582</v>
      </c>
      <c r="F512" s="0" t="n">
        <v>3</v>
      </c>
      <c r="G512" s="0" t="n">
        <v>25</v>
      </c>
      <c r="H512" s="0" t="n">
        <v>28</v>
      </c>
    </row>
    <row r="513" customFormat="false" ht="15" hidden="false" customHeight="false" outlineLevel="0" collapsed="false">
      <c r="A513" s="0" t="n">
        <v>511</v>
      </c>
      <c r="B513" s="0" t="n">
        <v>512</v>
      </c>
      <c r="C513" s="0" t="n">
        <v>0.1061</v>
      </c>
      <c r="D513" s="0" t="n">
        <v>0.46</v>
      </c>
      <c r="E513" s="0" t="n">
        <v>0.3881</v>
      </c>
      <c r="F513" s="0" t="n">
        <v>7</v>
      </c>
      <c r="G513" s="0" t="n">
        <v>51</v>
      </c>
      <c r="H513" s="0" t="n">
        <v>58</v>
      </c>
    </row>
    <row r="514" customFormat="false" ht="15" hidden="false" customHeight="false" outlineLevel="0" collapsed="false">
      <c r="A514" s="0" t="n">
        <v>512</v>
      </c>
      <c r="B514" s="0" t="n">
        <v>513</v>
      </c>
      <c r="C514" s="0" t="n">
        <v>0.1364</v>
      </c>
      <c r="D514" s="0" t="n">
        <v>0.43</v>
      </c>
      <c r="E514" s="0" t="n">
        <v>0.2239</v>
      </c>
      <c r="F514" s="0" t="n">
        <v>22</v>
      </c>
      <c r="G514" s="0" t="n">
        <v>77</v>
      </c>
      <c r="H514" s="0" t="n">
        <v>99</v>
      </c>
    </row>
    <row r="515" customFormat="false" ht="15" hidden="false" customHeight="false" outlineLevel="0" collapsed="false">
      <c r="A515" s="0" t="n">
        <v>513</v>
      </c>
      <c r="B515" s="0" t="n">
        <v>514</v>
      </c>
      <c r="C515" s="0" t="n">
        <v>0.1212</v>
      </c>
      <c r="D515" s="0" t="n">
        <v>0.37</v>
      </c>
      <c r="E515" s="0" t="n">
        <v>0.4627</v>
      </c>
      <c r="F515" s="0" t="n">
        <v>24</v>
      </c>
      <c r="G515" s="0" t="n">
        <v>92</v>
      </c>
      <c r="H515" s="0" t="n">
        <v>116</v>
      </c>
    </row>
    <row r="516" customFormat="false" ht="15" hidden="false" customHeight="false" outlineLevel="0" collapsed="false">
      <c r="A516" s="0" t="n">
        <v>514</v>
      </c>
      <c r="B516" s="0" t="n">
        <v>515</v>
      </c>
      <c r="C516" s="0" t="n">
        <v>0.1061</v>
      </c>
      <c r="D516" s="0" t="n">
        <v>0.33</v>
      </c>
      <c r="E516" s="0" t="n">
        <v>0.3881</v>
      </c>
      <c r="F516" s="0" t="n">
        <v>12</v>
      </c>
      <c r="G516" s="0" t="n">
        <v>75</v>
      </c>
      <c r="H516" s="0" t="n">
        <v>87</v>
      </c>
    </row>
    <row r="517" customFormat="false" ht="15" hidden="false" customHeight="false" outlineLevel="0" collapsed="false">
      <c r="A517" s="0" t="n">
        <v>515</v>
      </c>
      <c r="B517" s="0" t="n">
        <v>516</v>
      </c>
      <c r="C517" s="0" t="n">
        <v>0.1364</v>
      </c>
      <c r="D517" s="0" t="n">
        <v>0.28</v>
      </c>
      <c r="E517" s="0" t="n">
        <v>0.3582</v>
      </c>
      <c r="F517" s="0" t="n">
        <v>17</v>
      </c>
      <c r="G517" s="0" t="n">
        <v>93</v>
      </c>
      <c r="H517" s="0" t="n">
        <v>110</v>
      </c>
    </row>
    <row r="518" customFormat="false" ht="15" hidden="false" customHeight="false" outlineLevel="0" collapsed="false">
      <c r="A518" s="0" t="n">
        <v>516</v>
      </c>
      <c r="B518" s="0" t="n">
        <v>517</v>
      </c>
      <c r="C518" s="0" t="n">
        <v>0.1364</v>
      </c>
      <c r="D518" s="0" t="n">
        <v>0.28</v>
      </c>
      <c r="E518" s="0" t="n">
        <v>0.3582</v>
      </c>
      <c r="F518" s="0" t="n">
        <v>13</v>
      </c>
      <c r="G518" s="0" t="n">
        <v>64</v>
      </c>
      <c r="H518" s="0" t="n">
        <v>77</v>
      </c>
    </row>
    <row r="519" customFormat="false" ht="15" hidden="false" customHeight="false" outlineLevel="0" collapsed="false">
      <c r="A519" s="0" t="n">
        <v>517</v>
      </c>
      <c r="B519" s="0" t="n">
        <v>518</v>
      </c>
      <c r="C519" s="0" t="n">
        <v>0.1364</v>
      </c>
      <c r="D519" s="0" t="n">
        <v>0.26</v>
      </c>
      <c r="E519" s="0" t="n">
        <v>0.3284</v>
      </c>
      <c r="F519" s="0" t="n">
        <v>9</v>
      </c>
      <c r="G519" s="0" t="n">
        <v>56</v>
      </c>
      <c r="H519" s="0" t="n">
        <v>65</v>
      </c>
    </row>
    <row r="520" customFormat="false" ht="15" hidden="false" customHeight="false" outlineLevel="0" collapsed="false">
      <c r="A520" s="0" t="n">
        <v>518</v>
      </c>
      <c r="B520" s="0" t="n">
        <v>519</v>
      </c>
      <c r="C520" s="0" t="n">
        <v>0.1061</v>
      </c>
      <c r="D520" s="0" t="n">
        <v>0.26</v>
      </c>
      <c r="E520" s="0" t="n">
        <v>0.3881</v>
      </c>
      <c r="F520" s="0" t="n">
        <v>5</v>
      </c>
      <c r="G520" s="0" t="n">
        <v>50</v>
      </c>
      <c r="H520" s="0" t="n">
        <v>55</v>
      </c>
    </row>
    <row r="521" customFormat="false" ht="15" hidden="false" customHeight="false" outlineLevel="0" collapsed="false">
      <c r="A521" s="0" t="n">
        <v>519</v>
      </c>
      <c r="B521" s="0" t="n">
        <v>520</v>
      </c>
      <c r="C521" s="0" t="n">
        <v>0.1212</v>
      </c>
      <c r="D521" s="0" t="n">
        <v>0.3</v>
      </c>
      <c r="E521" s="0" t="n">
        <v>0.2537</v>
      </c>
      <c r="F521" s="0" t="n">
        <v>5</v>
      </c>
      <c r="G521" s="0" t="n">
        <v>44</v>
      </c>
      <c r="H521" s="0" t="n">
        <v>49</v>
      </c>
    </row>
    <row r="522" customFormat="false" ht="15" hidden="false" customHeight="false" outlineLevel="0" collapsed="false">
      <c r="A522" s="0" t="n">
        <v>520</v>
      </c>
      <c r="B522" s="0" t="n">
        <v>521</v>
      </c>
      <c r="C522" s="0" t="n">
        <v>0.1212</v>
      </c>
      <c r="D522" s="0" t="n">
        <v>0.3</v>
      </c>
      <c r="E522" s="0" t="n">
        <v>0.2836</v>
      </c>
      <c r="F522" s="0" t="n">
        <v>5</v>
      </c>
      <c r="G522" s="0" t="n">
        <v>45</v>
      </c>
      <c r="H522" s="0" t="n">
        <v>50</v>
      </c>
    </row>
    <row r="523" customFormat="false" ht="15" hidden="false" customHeight="false" outlineLevel="0" collapsed="false">
      <c r="A523" s="0" t="n">
        <v>521</v>
      </c>
      <c r="B523" s="0" t="n">
        <v>522</v>
      </c>
      <c r="C523" s="0" t="n">
        <v>0.1061</v>
      </c>
      <c r="D523" s="0" t="n">
        <v>0.36</v>
      </c>
      <c r="E523" s="0" t="n">
        <v>0.2537</v>
      </c>
      <c r="F523" s="0" t="n">
        <v>4</v>
      </c>
      <c r="G523" s="0" t="n">
        <v>31</v>
      </c>
      <c r="H523" s="0" t="n">
        <v>35</v>
      </c>
    </row>
    <row r="524" customFormat="false" ht="15" hidden="false" customHeight="false" outlineLevel="0" collapsed="false">
      <c r="A524" s="0" t="n">
        <v>522</v>
      </c>
      <c r="B524" s="0" t="n">
        <v>523</v>
      </c>
      <c r="C524" s="0" t="n">
        <v>0.1061</v>
      </c>
      <c r="D524" s="0" t="n">
        <v>0.36</v>
      </c>
      <c r="E524" s="0" t="n">
        <v>0.194</v>
      </c>
      <c r="F524" s="0" t="n">
        <v>5</v>
      </c>
      <c r="G524" s="0" t="n">
        <v>20</v>
      </c>
      <c r="H524" s="0" t="n">
        <v>25</v>
      </c>
    </row>
    <row r="525" customFormat="false" ht="15" hidden="false" customHeight="false" outlineLevel="0" collapsed="false">
      <c r="A525" s="0" t="n">
        <v>523</v>
      </c>
      <c r="B525" s="0" t="n">
        <v>524</v>
      </c>
      <c r="C525" s="0" t="n">
        <v>0.0909</v>
      </c>
      <c r="D525" s="0" t="n">
        <v>0.38</v>
      </c>
      <c r="E525" s="0" t="n">
        <v>0.194</v>
      </c>
      <c r="F525" s="0" t="n">
        <v>5</v>
      </c>
      <c r="G525" s="0" t="n">
        <v>23</v>
      </c>
      <c r="H525" s="0" t="n">
        <v>28</v>
      </c>
    </row>
    <row r="526" customFormat="false" ht="15" hidden="false" customHeight="false" outlineLevel="0" collapsed="false">
      <c r="A526" s="0" t="n">
        <v>524</v>
      </c>
      <c r="B526" s="0" t="n">
        <v>525</v>
      </c>
      <c r="C526" s="0" t="n">
        <v>0.0606</v>
      </c>
      <c r="D526" s="0" t="n">
        <v>0.41</v>
      </c>
      <c r="E526" s="0" t="n">
        <v>0.2239</v>
      </c>
      <c r="F526" s="0" t="n">
        <v>4</v>
      </c>
      <c r="G526" s="0" t="n">
        <v>17</v>
      </c>
      <c r="H526" s="0" t="n">
        <v>21</v>
      </c>
    </row>
    <row r="527" customFormat="false" ht="15" hidden="false" customHeight="false" outlineLevel="0" collapsed="false">
      <c r="A527" s="0" t="n">
        <v>525</v>
      </c>
      <c r="B527" s="0" t="n">
        <v>526</v>
      </c>
      <c r="C527" s="0" t="n">
        <v>0.0606</v>
      </c>
      <c r="D527" s="0" t="n">
        <v>0.41</v>
      </c>
      <c r="E527" s="0" t="n">
        <v>0.194</v>
      </c>
      <c r="F527" s="0" t="n">
        <v>0</v>
      </c>
      <c r="G527" s="0" t="n">
        <v>7</v>
      </c>
      <c r="H527" s="0" t="n">
        <v>7</v>
      </c>
    </row>
    <row r="528" customFormat="false" ht="15" hidden="false" customHeight="false" outlineLevel="0" collapsed="false">
      <c r="A528" s="0" t="n">
        <v>526</v>
      </c>
      <c r="B528" s="0" t="n">
        <v>527</v>
      </c>
      <c r="C528" s="0" t="n">
        <v>0.0455</v>
      </c>
      <c r="D528" s="0" t="n">
        <v>0.45</v>
      </c>
      <c r="E528" s="0" t="n">
        <v>0.194</v>
      </c>
      <c r="F528" s="0" t="n">
        <v>0</v>
      </c>
      <c r="G528" s="0" t="n">
        <v>1</v>
      </c>
      <c r="H528" s="0" t="n">
        <v>1</v>
      </c>
    </row>
    <row r="529" customFormat="false" ht="15" hidden="false" customHeight="false" outlineLevel="0" collapsed="false">
      <c r="A529" s="0" t="n">
        <v>527</v>
      </c>
      <c r="B529" s="0" t="n">
        <v>528</v>
      </c>
      <c r="C529" s="0" t="n">
        <v>0.0303</v>
      </c>
      <c r="D529" s="0" t="n">
        <v>0.45</v>
      </c>
      <c r="E529" s="0" t="n">
        <v>0.2537</v>
      </c>
      <c r="F529" s="0" t="n">
        <v>0</v>
      </c>
      <c r="G529" s="0" t="n">
        <v>1</v>
      </c>
      <c r="H529" s="0" t="n">
        <v>1</v>
      </c>
    </row>
    <row r="530" customFormat="false" ht="15" hidden="false" customHeight="false" outlineLevel="0" collapsed="false">
      <c r="A530" s="0" t="n">
        <v>528</v>
      </c>
      <c r="B530" s="0" t="n">
        <v>529</v>
      </c>
      <c r="C530" s="0" t="n">
        <v>0.0606</v>
      </c>
      <c r="D530" s="0" t="n">
        <v>0.48</v>
      </c>
      <c r="E530" s="0" t="n">
        <v>0.1343</v>
      </c>
      <c r="F530" s="0" t="n">
        <v>0</v>
      </c>
      <c r="G530" s="0" t="n">
        <v>1</v>
      </c>
      <c r="H530" s="0" t="n">
        <v>1</v>
      </c>
    </row>
    <row r="531" customFormat="false" ht="15" hidden="false" customHeight="false" outlineLevel="0" collapsed="false">
      <c r="A531" s="0" t="n">
        <v>529</v>
      </c>
      <c r="B531" s="0" t="n">
        <v>530</v>
      </c>
      <c r="C531" s="0" t="n">
        <v>0.0606</v>
      </c>
      <c r="D531" s="0" t="n">
        <v>0.48</v>
      </c>
      <c r="E531" s="0" t="n">
        <v>0.1343</v>
      </c>
      <c r="F531" s="0" t="n">
        <v>0</v>
      </c>
      <c r="G531" s="0" t="n">
        <v>5</v>
      </c>
      <c r="H531" s="0" t="n">
        <v>5</v>
      </c>
    </row>
    <row r="532" customFormat="false" ht="15" hidden="false" customHeight="false" outlineLevel="0" collapsed="false">
      <c r="A532" s="0" t="n">
        <v>530</v>
      </c>
      <c r="B532" s="0" t="n">
        <v>531</v>
      </c>
      <c r="C532" s="0" t="n">
        <v>0.0758</v>
      </c>
      <c r="D532" s="0" t="n">
        <v>0.48</v>
      </c>
      <c r="E532" s="0" t="n">
        <v>0.0896</v>
      </c>
      <c r="F532" s="0" t="n">
        <v>0</v>
      </c>
      <c r="G532" s="0" t="n">
        <v>15</v>
      </c>
      <c r="H532" s="0" t="n">
        <v>15</v>
      </c>
    </row>
    <row r="533" customFormat="false" ht="15" hidden="false" customHeight="false" outlineLevel="0" collapsed="false">
      <c r="A533" s="0" t="n">
        <v>531</v>
      </c>
      <c r="B533" s="0" t="n">
        <v>532</v>
      </c>
      <c r="C533" s="0" t="n">
        <v>0.1212</v>
      </c>
      <c r="D533" s="0" t="n">
        <v>0.48</v>
      </c>
      <c r="E533" s="0" t="n">
        <v>0</v>
      </c>
      <c r="F533" s="0" t="n">
        <v>5</v>
      </c>
      <c r="G533" s="0" t="n">
        <v>79</v>
      </c>
      <c r="H533" s="0" t="n">
        <v>84</v>
      </c>
    </row>
    <row r="534" customFormat="false" ht="15" hidden="false" customHeight="false" outlineLevel="0" collapsed="false">
      <c r="A534" s="0" t="n">
        <v>532</v>
      </c>
      <c r="B534" s="0" t="n">
        <v>533</v>
      </c>
      <c r="C534" s="0" t="n">
        <v>0.1364</v>
      </c>
      <c r="D534" s="0" t="n">
        <v>0.49</v>
      </c>
      <c r="E534" s="0" t="n">
        <v>0</v>
      </c>
      <c r="F534" s="0" t="n">
        <v>6</v>
      </c>
      <c r="G534" s="0" t="n">
        <v>171</v>
      </c>
      <c r="H534" s="0" t="n">
        <v>177</v>
      </c>
    </row>
    <row r="535" customFormat="false" ht="15" hidden="false" customHeight="false" outlineLevel="0" collapsed="false">
      <c r="A535" s="0" t="n">
        <v>533</v>
      </c>
      <c r="B535" s="0" t="n">
        <v>534</v>
      </c>
      <c r="C535" s="0" t="n">
        <v>0.1515</v>
      </c>
      <c r="D535" s="0" t="n">
        <v>0.41</v>
      </c>
      <c r="E535" s="0" t="n">
        <v>0</v>
      </c>
      <c r="F535" s="0" t="n">
        <v>4</v>
      </c>
      <c r="G535" s="0" t="n">
        <v>98</v>
      </c>
      <c r="H535" s="0" t="n">
        <v>102</v>
      </c>
    </row>
    <row r="536" customFormat="false" ht="15" hidden="false" customHeight="false" outlineLevel="0" collapsed="false">
      <c r="A536" s="0" t="n">
        <v>534</v>
      </c>
      <c r="B536" s="0" t="n">
        <v>535</v>
      </c>
      <c r="C536" s="0" t="n">
        <v>0.1364</v>
      </c>
      <c r="D536" s="0" t="n">
        <v>0.42</v>
      </c>
      <c r="E536" s="0" t="n">
        <v>0</v>
      </c>
      <c r="F536" s="0" t="n">
        <v>6</v>
      </c>
      <c r="G536" s="0" t="n">
        <v>34</v>
      </c>
      <c r="H536" s="0" t="n">
        <v>40</v>
      </c>
    </row>
    <row r="537" customFormat="false" ht="15" hidden="false" customHeight="false" outlineLevel="0" collapsed="false">
      <c r="A537" s="0" t="n">
        <v>535</v>
      </c>
      <c r="B537" s="0" t="n">
        <v>536</v>
      </c>
      <c r="C537" s="0" t="n">
        <v>0.1212</v>
      </c>
      <c r="D537" s="0" t="n">
        <v>0.46</v>
      </c>
      <c r="E537" s="0" t="n">
        <v>0.1343</v>
      </c>
      <c r="F537" s="0" t="n">
        <v>3</v>
      </c>
      <c r="G537" s="0" t="n">
        <v>43</v>
      </c>
      <c r="H537" s="0" t="n">
        <v>46</v>
      </c>
    </row>
    <row r="538" customFormat="false" ht="15" hidden="false" customHeight="false" outlineLevel="0" collapsed="false">
      <c r="A538" s="0" t="n">
        <v>536</v>
      </c>
      <c r="B538" s="0" t="n">
        <v>537</v>
      </c>
      <c r="C538" s="0" t="n">
        <v>0.1364</v>
      </c>
      <c r="D538" s="0" t="n">
        <v>0.42</v>
      </c>
      <c r="E538" s="0" t="n">
        <v>0.194</v>
      </c>
      <c r="F538" s="0" t="n">
        <v>11</v>
      </c>
      <c r="G538" s="0" t="n">
        <v>52</v>
      </c>
      <c r="H538" s="0" t="n">
        <v>63</v>
      </c>
    </row>
    <row r="539" customFormat="false" ht="15" hidden="false" customHeight="false" outlineLevel="0" collapsed="false">
      <c r="A539" s="0" t="n">
        <v>537</v>
      </c>
      <c r="B539" s="0" t="n">
        <v>538</v>
      </c>
      <c r="C539" s="0" t="n">
        <v>0.1364</v>
      </c>
      <c r="D539" s="0" t="n">
        <v>0.43</v>
      </c>
      <c r="E539" s="0" t="n">
        <v>0.2239</v>
      </c>
      <c r="F539" s="0" t="n">
        <v>6</v>
      </c>
      <c r="G539" s="0" t="n">
        <v>54</v>
      </c>
      <c r="H539" s="0" t="n">
        <v>60</v>
      </c>
    </row>
    <row r="540" customFormat="false" ht="15" hidden="false" customHeight="false" outlineLevel="0" collapsed="false">
      <c r="A540" s="0" t="n">
        <v>538</v>
      </c>
      <c r="B540" s="0" t="n">
        <v>539</v>
      </c>
      <c r="C540" s="0" t="n">
        <v>0.1364</v>
      </c>
      <c r="D540" s="0" t="n">
        <v>0.46</v>
      </c>
      <c r="E540" s="0" t="n">
        <v>0.2239</v>
      </c>
      <c r="F540" s="0" t="n">
        <v>2</v>
      </c>
      <c r="G540" s="0" t="n">
        <v>43</v>
      </c>
      <c r="H540" s="0" t="n">
        <v>45</v>
      </c>
    </row>
    <row r="541" customFormat="false" ht="15" hidden="false" customHeight="false" outlineLevel="0" collapsed="false">
      <c r="A541" s="0" t="n">
        <v>539</v>
      </c>
      <c r="B541" s="0" t="n">
        <v>540</v>
      </c>
      <c r="C541" s="0" t="n">
        <v>0.1667</v>
      </c>
      <c r="D541" s="0" t="n">
        <v>0.4</v>
      </c>
      <c r="E541" s="0" t="n">
        <v>0.1642</v>
      </c>
      <c r="F541" s="0" t="n">
        <v>7</v>
      </c>
      <c r="G541" s="0" t="n">
        <v>50</v>
      </c>
      <c r="H541" s="0" t="n">
        <v>57</v>
      </c>
    </row>
    <row r="542" customFormat="false" ht="15" hidden="false" customHeight="false" outlineLevel="0" collapsed="false">
      <c r="A542" s="0" t="n">
        <v>540</v>
      </c>
      <c r="B542" s="0" t="n">
        <v>541</v>
      </c>
      <c r="C542" s="0" t="n">
        <v>0.1515</v>
      </c>
      <c r="D542" s="0" t="n">
        <v>0.47</v>
      </c>
      <c r="E542" s="0" t="n">
        <v>0.2537</v>
      </c>
      <c r="F542" s="0" t="n">
        <v>4</v>
      </c>
      <c r="G542" s="0" t="n">
        <v>66</v>
      </c>
      <c r="H542" s="0" t="n">
        <v>70</v>
      </c>
    </row>
    <row r="543" customFormat="false" ht="15" hidden="false" customHeight="false" outlineLevel="0" collapsed="false">
      <c r="A543" s="0" t="n">
        <v>541</v>
      </c>
      <c r="B543" s="0" t="n">
        <v>542</v>
      </c>
      <c r="C543" s="0" t="n">
        <v>0.1212</v>
      </c>
      <c r="D543" s="0" t="n">
        <v>0.5</v>
      </c>
      <c r="E543" s="0" t="n">
        <v>0.2537</v>
      </c>
      <c r="F543" s="0" t="n">
        <v>6</v>
      </c>
      <c r="G543" s="0" t="n">
        <v>178</v>
      </c>
      <c r="H543" s="0" t="n">
        <v>184</v>
      </c>
    </row>
    <row r="544" customFormat="false" ht="15" hidden="false" customHeight="false" outlineLevel="0" collapsed="false">
      <c r="A544" s="0" t="n">
        <v>542</v>
      </c>
      <c r="B544" s="0" t="n">
        <v>543</v>
      </c>
      <c r="C544" s="0" t="n">
        <v>0.1364</v>
      </c>
      <c r="D544" s="0" t="n">
        <v>0.59</v>
      </c>
      <c r="E544" s="0" t="n">
        <v>0.194</v>
      </c>
      <c r="F544" s="0" t="n">
        <v>8</v>
      </c>
      <c r="G544" s="0" t="n">
        <v>145</v>
      </c>
      <c r="H544" s="0" t="n">
        <v>153</v>
      </c>
    </row>
    <row r="545" customFormat="false" ht="15" hidden="false" customHeight="false" outlineLevel="0" collapsed="false">
      <c r="A545" s="0" t="n">
        <v>543</v>
      </c>
      <c r="B545" s="0" t="n">
        <v>544</v>
      </c>
      <c r="C545" s="0" t="n">
        <v>0.1515</v>
      </c>
      <c r="D545" s="0" t="n">
        <v>0.54</v>
      </c>
      <c r="E545" s="0" t="n">
        <v>0.1642</v>
      </c>
      <c r="F545" s="0" t="n">
        <v>5</v>
      </c>
      <c r="G545" s="0" t="n">
        <v>101</v>
      </c>
      <c r="H545" s="0" t="n">
        <v>106</v>
      </c>
    </row>
    <row r="546" customFormat="false" ht="15" hidden="false" customHeight="false" outlineLevel="0" collapsed="false">
      <c r="A546" s="0" t="n">
        <v>544</v>
      </c>
      <c r="B546" s="0" t="n">
        <v>545</v>
      </c>
      <c r="C546" s="0" t="n">
        <v>0.1364</v>
      </c>
      <c r="D546" s="0" t="n">
        <v>0.59</v>
      </c>
      <c r="E546" s="0" t="n">
        <v>0.194</v>
      </c>
      <c r="F546" s="0" t="n">
        <v>1</v>
      </c>
      <c r="G546" s="0" t="n">
        <v>80</v>
      </c>
      <c r="H546" s="0" t="n">
        <v>81</v>
      </c>
    </row>
    <row r="547" customFormat="false" ht="15" hidden="false" customHeight="false" outlineLevel="0" collapsed="false">
      <c r="A547" s="0" t="n">
        <v>545</v>
      </c>
      <c r="B547" s="0" t="n">
        <v>546</v>
      </c>
      <c r="C547" s="0" t="n">
        <v>0.1515</v>
      </c>
      <c r="D547" s="0" t="n">
        <v>0.63</v>
      </c>
      <c r="E547" s="0" t="n">
        <v>0.1642</v>
      </c>
      <c r="F547" s="0" t="n">
        <v>6</v>
      </c>
      <c r="G547" s="0" t="n">
        <v>53</v>
      </c>
      <c r="H547" s="0" t="n">
        <v>59</v>
      </c>
    </row>
    <row r="548" customFormat="false" ht="15" hidden="false" customHeight="false" outlineLevel="0" collapsed="false">
      <c r="A548" s="0" t="n">
        <v>546</v>
      </c>
      <c r="B548" s="0" t="n">
        <v>547</v>
      </c>
      <c r="C548" s="0" t="n">
        <v>0.1364</v>
      </c>
      <c r="D548" s="0" t="n">
        <v>0.63</v>
      </c>
      <c r="E548" s="0" t="n">
        <v>0.2239</v>
      </c>
      <c r="F548" s="0" t="n">
        <v>3</v>
      </c>
      <c r="G548" s="0" t="n">
        <v>32</v>
      </c>
      <c r="H548" s="0" t="n">
        <v>35</v>
      </c>
    </row>
    <row r="549" customFormat="false" ht="15" hidden="false" customHeight="false" outlineLevel="0" collapsed="false">
      <c r="A549" s="0" t="n">
        <v>547</v>
      </c>
      <c r="B549" s="0" t="n">
        <v>548</v>
      </c>
      <c r="C549" s="0" t="n">
        <v>0.1515</v>
      </c>
      <c r="D549" s="0" t="n">
        <v>0.64</v>
      </c>
      <c r="E549" s="0" t="n">
        <v>0.2537</v>
      </c>
      <c r="F549" s="0" t="n">
        <v>3</v>
      </c>
      <c r="G549" s="0" t="n">
        <v>21</v>
      </c>
      <c r="H549" s="0" t="n">
        <v>24</v>
      </c>
    </row>
    <row r="550" customFormat="false" ht="15" hidden="false" customHeight="false" outlineLevel="0" collapsed="false">
      <c r="A550" s="0" t="n">
        <v>548</v>
      </c>
      <c r="B550" s="0" t="n">
        <v>549</v>
      </c>
      <c r="C550" s="0" t="n">
        <v>0.1364</v>
      </c>
      <c r="D550" s="0" t="n">
        <v>0.69</v>
      </c>
      <c r="E550" s="0" t="n">
        <v>0.2836</v>
      </c>
      <c r="F550" s="0" t="n">
        <v>3</v>
      </c>
      <c r="G550" s="0" t="n">
        <v>6</v>
      </c>
      <c r="H550" s="0" t="n">
        <v>9</v>
      </c>
    </row>
    <row r="551" customFormat="false" ht="15" hidden="false" customHeight="false" outlineLevel="0" collapsed="false">
      <c r="A551" s="0" t="n">
        <v>549</v>
      </c>
      <c r="B551" s="0" t="n">
        <v>550</v>
      </c>
      <c r="C551" s="0" t="n">
        <v>0.1667</v>
      </c>
      <c r="D551" s="0" t="n">
        <v>0.69</v>
      </c>
      <c r="E551" s="0" t="n">
        <v>0.1642</v>
      </c>
      <c r="F551" s="0" t="n">
        <v>0</v>
      </c>
      <c r="G551" s="0" t="n">
        <v>5</v>
      </c>
      <c r="H551" s="0" t="n">
        <v>5</v>
      </c>
    </row>
    <row r="552" customFormat="false" ht="15" hidden="false" customHeight="false" outlineLevel="0" collapsed="false">
      <c r="A552" s="0" t="n">
        <v>550</v>
      </c>
      <c r="B552" s="0" t="n">
        <v>551</v>
      </c>
      <c r="C552" s="0" t="n">
        <v>0.1515</v>
      </c>
      <c r="D552" s="0" t="n">
        <v>0.69</v>
      </c>
      <c r="E552" s="0" t="n">
        <v>0.2239</v>
      </c>
      <c r="F552" s="0" t="n">
        <v>0</v>
      </c>
      <c r="G552" s="0" t="n">
        <v>2</v>
      </c>
      <c r="H552" s="0" t="n">
        <v>2</v>
      </c>
    </row>
    <row r="553" customFormat="false" ht="15" hidden="false" customHeight="false" outlineLevel="0" collapsed="false">
      <c r="A553" s="0" t="n">
        <v>551</v>
      </c>
      <c r="B553" s="0" t="n">
        <v>552</v>
      </c>
      <c r="C553" s="0" t="n">
        <v>0.1667</v>
      </c>
      <c r="D553" s="0" t="n">
        <v>0.74</v>
      </c>
      <c r="E553" s="0" t="n">
        <v>0.1045</v>
      </c>
      <c r="F553" s="0" t="n">
        <v>0</v>
      </c>
      <c r="G553" s="0" t="n">
        <v>1</v>
      </c>
      <c r="H553" s="0" t="n">
        <v>1</v>
      </c>
    </row>
    <row r="554" customFormat="false" ht="15" hidden="false" customHeight="false" outlineLevel="0" collapsed="false">
      <c r="A554" s="0" t="n">
        <v>552</v>
      </c>
      <c r="B554" s="0" t="n">
        <v>553</v>
      </c>
      <c r="C554" s="0" t="n">
        <v>0.1364</v>
      </c>
      <c r="D554" s="0" t="n">
        <v>0.74</v>
      </c>
      <c r="E554" s="0" t="n">
        <v>0.2239</v>
      </c>
      <c r="F554" s="0" t="n">
        <v>0</v>
      </c>
      <c r="G554" s="0" t="n">
        <v>9</v>
      </c>
      <c r="H554" s="0" t="n">
        <v>9</v>
      </c>
    </row>
    <row r="555" customFormat="false" ht="15" hidden="false" customHeight="false" outlineLevel="0" collapsed="false">
      <c r="A555" s="0" t="n">
        <v>553</v>
      </c>
      <c r="B555" s="0" t="n">
        <v>554</v>
      </c>
      <c r="C555" s="0" t="n">
        <v>0.1818</v>
      </c>
      <c r="D555" s="0" t="n">
        <v>0.74</v>
      </c>
      <c r="E555" s="0" t="n">
        <v>0.1045</v>
      </c>
      <c r="F555" s="0" t="n">
        <v>1</v>
      </c>
      <c r="G555" s="0" t="n">
        <v>35</v>
      </c>
      <c r="H555" s="0" t="n">
        <v>36</v>
      </c>
    </row>
    <row r="556" customFormat="false" ht="15" hidden="false" customHeight="false" outlineLevel="0" collapsed="false">
      <c r="A556" s="0" t="n">
        <v>554</v>
      </c>
      <c r="B556" s="0" t="n">
        <v>555</v>
      </c>
      <c r="C556" s="0" t="n">
        <v>0.1515</v>
      </c>
      <c r="D556" s="0" t="n">
        <v>0.74</v>
      </c>
      <c r="E556" s="0" t="n">
        <v>0.2239</v>
      </c>
      <c r="F556" s="0" t="n">
        <v>5</v>
      </c>
      <c r="G556" s="0" t="n">
        <v>103</v>
      </c>
      <c r="H556" s="0" t="n">
        <v>108</v>
      </c>
    </row>
    <row r="557" customFormat="false" ht="15" hidden="false" customHeight="false" outlineLevel="0" collapsed="false">
      <c r="A557" s="0" t="n">
        <v>555</v>
      </c>
      <c r="B557" s="0" t="n">
        <v>556</v>
      </c>
      <c r="C557" s="0" t="n">
        <v>0.1818</v>
      </c>
      <c r="D557" s="0" t="n">
        <v>0.74</v>
      </c>
      <c r="E557" s="0" t="n">
        <v>0.1343</v>
      </c>
      <c r="F557" s="0" t="n">
        <v>5</v>
      </c>
      <c r="G557" s="0" t="n">
        <v>233</v>
      </c>
      <c r="H557" s="0" t="n">
        <v>238</v>
      </c>
    </row>
    <row r="558" customFormat="false" ht="15" hidden="false" customHeight="false" outlineLevel="0" collapsed="false">
      <c r="A558" s="0" t="n">
        <v>556</v>
      </c>
      <c r="B558" s="0" t="n">
        <v>557</v>
      </c>
      <c r="C558" s="0" t="n">
        <v>0.2273</v>
      </c>
      <c r="D558" s="0" t="n">
        <v>0.64</v>
      </c>
      <c r="E558" s="0" t="n">
        <v>0.0896</v>
      </c>
      <c r="F558" s="0" t="n">
        <v>10</v>
      </c>
      <c r="G558" s="0" t="n">
        <v>134</v>
      </c>
      <c r="H558" s="0" t="n">
        <v>144</v>
      </c>
    </row>
    <row r="559" customFormat="false" ht="15" hidden="false" customHeight="false" outlineLevel="0" collapsed="false">
      <c r="A559" s="0" t="n">
        <v>557</v>
      </c>
      <c r="B559" s="0" t="n">
        <v>558</v>
      </c>
      <c r="C559" s="0" t="n">
        <v>0.2424</v>
      </c>
      <c r="D559" s="0" t="n">
        <v>0.6</v>
      </c>
      <c r="E559" s="0" t="n">
        <v>0.1045</v>
      </c>
      <c r="F559" s="0" t="n">
        <v>6</v>
      </c>
      <c r="G559" s="0" t="n">
        <v>49</v>
      </c>
      <c r="H559" s="0" t="n">
        <v>55</v>
      </c>
    </row>
    <row r="560" customFormat="false" ht="15" hidden="false" customHeight="false" outlineLevel="0" collapsed="false">
      <c r="A560" s="0" t="n">
        <v>558</v>
      </c>
      <c r="B560" s="0" t="n">
        <v>559</v>
      </c>
      <c r="C560" s="0" t="n">
        <v>0.2424</v>
      </c>
      <c r="D560" s="0" t="n">
        <v>0.6</v>
      </c>
      <c r="E560" s="0" t="n">
        <v>0.1343</v>
      </c>
      <c r="F560" s="0" t="n">
        <v>6</v>
      </c>
      <c r="G560" s="0" t="n">
        <v>55</v>
      </c>
      <c r="H560" s="0" t="n">
        <v>61</v>
      </c>
    </row>
    <row r="561" customFormat="false" ht="15" hidden="false" customHeight="false" outlineLevel="0" collapsed="false">
      <c r="A561" s="0" t="n">
        <v>559</v>
      </c>
      <c r="B561" s="0" t="n">
        <v>560</v>
      </c>
      <c r="C561" s="0" t="n">
        <v>0.2879</v>
      </c>
      <c r="D561" s="0" t="n">
        <v>0.56</v>
      </c>
      <c r="E561" s="0" t="n">
        <v>0.0896</v>
      </c>
      <c r="F561" s="0" t="n">
        <v>21</v>
      </c>
      <c r="G561" s="0" t="n">
        <v>85</v>
      </c>
      <c r="H561" s="0" t="n">
        <v>106</v>
      </c>
    </row>
    <row r="562" customFormat="false" ht="15" hidden="false" customHeight="false" outlineLevel="0" collapsed="false">
      <c r="A562" s="0" t="n">
        <v>560</v>
      </c>
      <c r="B562" s="0" t="n">
        <v>561</v>
      </c>
      <c r="C562" s="0" t="n">
        <v>0.2727</v>
      </c>
      <c r="D562" s="0" t="n">
        <v>0.56</v>
      </c>
      <c r="E562" s="0" t="n">
        <v>0.1343</v>
      </c>
      <c r="F562" s="0" t="n">
        <v>21</v>
      </c>
      <c r="G562" s="0" t="n">
        <v>72</v>
      </c>
      <c r="H562" s="0" t="n">
        <v>93</v>
      </c>
    </row>
    <row r="563" customFormat="false" ht="15" hidden="false" customHeight="false" outlineLevel="0" collapsed="false">
      <c r="A563" s="0" t="n">
        <v>561</v>
      </c>
      <c r="B563" s="0" t="n">
        <v>562</v>
      </c>
      <c r="C563" s="0" t="n">
        <v>0.3333</v>
      </c>
      <c r="D563" s="0" t="n">
        <v>0.45</v>
      </c>
      <c r="E563" s="0" t="n">
        <v>0</v>
      </c>
      <c r="F563" s="0" t="n">
        <v>11</v>
      </c>
      <c r="G563" s="0" t="n">
        <v>57</v>
      </c>
      <c r="H563" s="0" t="n">
        <v>68</v>
      </c>
    </row>
    <row r="564" customFormat="false" ht="15" hidden="false" customHeight="false" outlineLevel="0" collapsed="false">
      <c r="A564" s="0" t="n">
        <v>562</v>
      </c>
      <c r="B564" s="0" t="n">
        <v>563</v>
      </c>
      <c r="C564" s="0" t="n">
        <v>0.3485</v>
      </c>
      <c r="D564" s="0" t="n">
        <v>0.42</v>
      </c>
      <c r="E564" s="0" t="n">
        <v>0</v>
      </c>
      <c r="F564" s="0" t="n">
        <v>21</v>
      </c>
      <c r="G564" s="0" t="n">
        <v>63</v>
      </c>
      <c r="H564" s="0" t="n">
        <v>84</v>
      </c>
    </row>
    <row r="565" customFormat="false" ht="15" hidden="false" customHeight="false" outlineLevel="0" collapsed="false">
      <c r="A565" s="0" t="n">
        <v>563</v>
      </c>
      <c r="B565" s="0" t="n">
        <v>564</v>
      </c>
      <c r="C565" s="0" t="n">
        <v>0.3485</v>
      </c>
      <c r="D565" s="0" t="n">
        <v>0.42</v>
      </c>
      <c r="E565" s="0" t="n">
        <v>0</v>
      </c>
      <c r="F565" s="0" t="n">
        <v>14</v>
      </c>
      <c r="G565" s="0" t="n">
        <v>102</v>
      </c>
      <c r="H565" s="0" t="n">
        <v>116</v>
      </c>
    </row>
    <row r="566" customFormat="false" ht="15" hidden="false" customHeight="false" outlineLevel="0" collapsed="false">
      <c r="A566" s="0" t="n">
        <v>564</v>
      </c>
      <c r="B566" s="0" t="n">
        <v>565</v>
      </c>
      <c r="C566" s="0" t="n">
        <v>0.3333</v>
      </c>
      <c r="D566" s="0" t="n">
        <v>0.45</v>
      </c>
      <c r="E566" s="0" t="n">
        <v>0</v>
      </c>
      <c r="F566" s="0" t="n">
        <v>14</v>
      </c>
      <c r="G566" s="0" t="n">
        <v>208</v>
      </c>
      <c r="H566" s="0" t="n">
        <v>222</v>
      </c>
    </row>
    <row r="567" customFormat="false" ht="15" hidden="false" customHeight="false" outlineLevel="0" collapsed="false">
      <c r="A567" s="0" t="n">
        <v>565</v>
      </c>
      <c r="B567" s="0" t="n">
        <v>566</v>
      </c>
      <c r="C567" s="0" t="n">
        <v>0.3182</v>
      </c>
      <c r="D567" s="0" t="n">
        <v>0.49</v>
      </c>
      <c r="E567" s="0" t="n">
        <v>0.0896</v>
      </c>
      <c r="F567" s="0" t="n">
        <v>7</v>
      </c>
      <c r="G567" s="0" t="n">
        <v>218</v>
      </c>
      <c r="H567" s="0" t="n">
        <v>225</v>
      </c>
    </row>
    <row r="568" customFormat="false" ht="15" hidden="false" customHeight="false" outlineLevel="0" collapsed="false">
      <c r="A568" s="0" t="n">
        <v>566</v>
      </c>
      <c r="B568" s="0" t="n">
        <v>567</v>
      </c>
      <c r="C568" s="0" t="n">
        <v>0.2576</v>
      </c>
      <c r="D568" s="0" t="n">
        <v>0.65</v>
      </c>
      <c r="E568" s="0" t="n">
        <v>0.1642</v>
      </c>
      <c r="F568" s="0" t="n">
        <v>13</v>
      </c>
      <c r="G568" s="0" t="n">
        <v>133</v>
      </c>
      <c r="H568" s="0" t="n">
        <v>146</v>
      </c>
    </row>
    <row r="569" customFormat="false" ht="15" hidden="false" customHeight="false" outlineLevel="0" collapsed="false">
      <c r="A569" s="0" t="n">
        <v>567</v>
      </c>
      <c r="B569" s="0" t="n">
        <v>568</v>
      </c>
      <c r="C569" s="0" t="n">
        <v>0.2273</v>
      </c>
      <c r="D569" s="0" t="n">
        <v>0.65</v>
      </c>
      <c r="E569" s="0" t="n">
        <v>0.194</v>
      </c>
      <c r="F569" s="0" t="n">
        <v>16</v>
      </c>
      <c r="G569" s="0" t="n">
        <v>103</v>
      </c>
      <c r="H569" s="0" t="n">
        <v>119</v>
      </c>
    </row>
    <row r="570" customFormat="false" ht="15" hidden="false" customHeight="false" outlineLevel="0" collapsed="false">
      <c r="A570" s="0" t="n">
        <v>568</v>
      </c>
      <c r="B570" s="0" t="n">
        <v>569</v>
      </c>
      <c r="C570" s="0" t="n">
        <v>0.2273</v>
      </c>
      <c r="D570" s="0" t="n">
        <v>0.65</v>
      </c>
      <c r="E570" s="0" t="n">
        <v>0.194</v>
      </c>
      <c r="F570" s="0" t="n">
        <v>5</v>
      </c>
      <c r="G570" s="0" t="n">
        <v>40</v>
      </c>
      <c r="H570" s="0" t="n">
        <v>45</v>
      </c>
    </row>
    <row r="571" customFormat="false" ht="15" hidden="false" customHeight="false" outlineLevel="0" collapsed="false">
      <c r="A571" s="0" t="n">
        <v>569</v>
      </c>
      <c r="B571" s="0" t="n">
        <v>570</v>
      </c>
      <c r="C571" s="0" t="n">
        <v>0.2273</v>
      </c>
      <c r="D571" s="0" t="n">
        <v>0.64</v>
      </c>
      <c r="E571" s="0" t="n">
        <v>0.1642</v>
      </c>
      <c r="F571" s="0" t="n">
        <v>4</v>
      </c>
      <c r="G571" s="0" t="n">
        <v>49</v>
      </c>
      <c r="H571" s="0" t="n">
        <v>53</v>
      </c>
    </row>
    <row r="572" customFormat="false" ht="15" hidden="false" customHeight="false" outlineLevel="0" collapsed="false">
      <c r="A572" s="0" t="n">
        <v>570</v>
      </c>
      <c r="B572" s="0" t="n">
        <v>571</v>
      </c>
      <c r="C572" s="0" t="n">
        <v>0.2273</v>
      </c>
      <c r="D572" s="0" t="n">
        <v>0.64</v>
      </c>
      <c r="E572" s="0" t="n">
        <v>0.1642</v>
      </c>
      <c r="F572" s="0" t="n">
        <v>3</v>
      </c>
      <c r="G572" s="0" t="n">
        <v>37</v>
      </c>
      <c r="H572" s="0" t="n">
        <v>40</v>
      </c>
    </row>
    <row r="573" customFormat="false" ht="15" hidden="false" customHeight="false" outlineLevel="0" collapsed="false">
      <c r="A573" s="0" t="n">
        <v>571</v>
      </c>
      <c r="B573" s="0" t="n">
        <v>572</v>
      </c>
      <c r="C573" s="0" t="n">
        <v>0.2273</v>
      </c>
      <c r="D573" s="0" t="n">
        <v>0.69</v>
      </c>
      <c r="E573" s="0" t="n">
        <v>0.1343</v>
      </c>
      <c r="F573" s="0" t="n">
        <v>3</v>
      </c>
      <c r="G573" s="0" t="n">
        <v>14</v>
      </c>
      <c r="H573" s="0" t="n">
        <v>17</v>
      </c>
    </row>
    <row r="574" customFormat="false" ht="15" hidden="false" customHeight="false" outlineLevel="0" collapsed="false">
      <c r="A574" s="0" t="n">
        <v>572</v>
      </c>
      <c r="B574" s="0" t="n">
        <v>573</v>
      </c>
      <c r="C574" s="0" t="n">
        <v>0.2424</v>
      </c>
      <c r="D574" s="0" t="n">
        <v>0.65</v>
      </c>
      <c r="E574" s="0" t="n">
        <v>0.1343</v>
      </c>
      <c r="F574" s="0" t="n">
        <v>0</v>
      </c>
      <c r="G574" s="0" t="n">
        <v>5</v>
      </c>
      <c r="H574" s="0" t="n">
        <v>5</v>
      </c>
    </row>
    <row r="575" customFormat="false" ht="15" hidden="false" customHeight="false" outlineLevel="0" collapsed="false">
      <c r="A575" s="0" t="n">
        <v>573</v>
      </c>
      <c r="B575" s="0" t="n">
        <v>574</v>
      </c>
      <c r="C575" s="0" t="n">
        <v>0.2273</v>
      </c>
      <c r="D575" s="0" t="n">
        <v>0.69</v>
      </c>
      <c r="E575" s="0" t="n">
        <v>0.194</v>
      </c>
      <c r="F575" s="0" t="n">
        <v>3</v>
      </c>
      <c r="G575" s="0" t="n">
        <v>7</v>
      </c>
      <c r="H575" s="0" t="n">
        <v>10</v>
      </c>
    </row>
    <row r="576" customFormat="false" ht="15" hidden="false" customHeight="false" outlineLevel="0" collapsed="false">
      <c r="A576" s="0" t="n">
        <v>574</v>
      </c>
      <c r="B576" s="0" t="n">
        <v>575</v>
      </c>
      <c r="C576" s="0" t="n">
        <v>0.1818</v>
      </c>
      <c r="D576" s="0" t="n">
        <v>0.86</v>
      </c>
      <c r="E576" s="0" t="n">
        <v>0.2836</v>
      </c>
      <c r="F576" s="0" t="n">
        <v>0</v>
      </c>
      <c r="G576" s="0" t="n">
        <v>1</v>
      </c>
      <c r="H576" s="0" t="n">
        <v>1</v>
      </c>
    </row>
    <row r="577" customFormat="false" ht="15" hidden="false" customHeight="false" outlineLevel="0" collapsed="false">
      <c r="A577" s="0" t="n">
        <v>575</v>
      </c>
      <c r="B577" s="0" t="n">
        <v>576</v>
      </c>
      <c r="C577" s="0" t="n">
        <v>0.1818</v>
      </c>
      <c r="D577" s="0" t="n">
        <v>0.86</v>
      </c>
      <c r="E577" s="0" t="n">
        <v>0.2836</v>
      </c>
      <c r="F577" s="0" t="n">
        <v>0</v>
      </c>
      <c r="G577" s="0" t="n">
        <v>8</v>
      </c>
      <c r="H577" s="0" t="n">
        <v>8</v>
      </c>
    </row>
    <row r="578" customFormat="false" ht="15" hidden="false" customHeight="false" outlineLevel="0" collapsed="false">
      <c r="A578" s="0" t="n">
        <v>576</v>
      </c>
      <c r="B578" s="0" t="n">
        <v>577</v>
      </c>
      <c r="C578" s="0" t="n">
        <v>0.2121</v>
      </c>
      <c r="D578" s="0" t="n">
        <v>0.87</v>
      </c>
      <c r="E578" s="0" t="n">
        <v>0.2985</v>
      </c>
      <c r="F578" s="0" t="n">
        <v>1</v>
      </c>
      <c r="G578" s="0" t="n">
        <v>29</v>
      </c>
      <c r="H578" s="0" t="n">
        <v>30</v>
      </c>
    </row>
    <row r="579" customFormat="false" ht="15" hidden="false" customHeight="false" outlineLevel="0" collapsed="false">
      <c r="A579" s="0" t="n">
        <v>577</v>
      </c>
      <c r="B579" s="0" t="n">
        <v>578</v>
      </c>
      <c r="C579" s="0" t="n">
        <v>0.2121</v>
      </c>
      <c r="D579" s="0" t="n">
        <v>0.87</v>
      </c>
      <c r="E579" s="0" t="n">
        <v>0.2985</v>
      </c>
      <c r="F579" s="0" t="n">
        <v>3</v>
      </c>
      <c r="G579" s="0" t="n">
        <v>69</v>
      </c>
      <c r="H579" s="0" t="n">
        <v>72</v>
      </c>
    </row>
    <row r="580" customFormat="false" ht="15" hidden="false" customHeight="false" outlineLevel="0" collapsed="false">
      <c r="A580" s="0" t="n">
        <v>578</v>
      </c>
      <c r="B580" s="0" t="n">
        <v>579</v>
      </c>
      <c r="C580" s="0" t="n">
        <v>0.2121</v>
      </c>
      <c r="D580" s="0" t="n">
        <v>0.87</v>
      </c>
      <c r="E580" s="0" t="n">
        <v>0.2985</v>
      </c>
      <c r="F580" s="0" t="n">
        <v>3</v>
      </c>
      <c r="G580" s="0" t="n">
        <v>55</v>
      </c>
      <c r="H580" s="0" t="n">
        <v>58</v>
      </c>
    </row>
    <row r="581" customFormat="false" ht="15" hidden="false" customHeight="false" outlineLevel="0" collapsed="false">
      <c r="A581" s="0" t="n">
        <v>579</v>
      </c>
      <c r="B581" s="0" t="n">
        <v>580</v>
      </c>
      <c r="C581" s="0" t="n">
        <v>0.2121</v>
      </c>
      <c r="D581" s="0" t="n">
        <v>0.93</v>
      </c>
      <c r="E581" s="0" t="n">
        <v>0.2836</v>
      </c>
      <c r="F581" s="0" t="n">
        <v>2</v>
      </c>
      <c r="G581" s="0" t="n">
        <v>26</v>
      </c>
      <c r="H581" s="0" t="n">
        <v>28</v>
      </c>
    </row>
    <row r="582" customFormat="false" ht="15" hidden="false" customHeight="false" outlineLevel="0" collapsed="false">
      <c r="A582" s="0" t="n">
        <v>580</v>
      </c>
      <c r="B582" s="0" t="n">
        <v>581</v>
      </c>
      <c r="C582" s="0" t="n">
        <v>0.197</v>
      </c>
      <c r="D582" s="0" t="n">
        <v>0.93</v>
      </c>
      <c r="E582" s="0" t="n">
        <v>0.3284</v>
      </c>
      <c r="F582" s="0" t="n">
        <v>6</v>
      </c>
      <c r="G582" s="0" t="n">
        <v>35</v>
      </c>
      <c r="H582" s="0" t="n">
        <v>41</v>
      </c>
    </row>
    <row r="583" customFormat="false" ht="15" hidden="false" customHeight="false" outlineLevel="0" collapsed="false">
      <c r="A583" s="0" t="n">
        <v>581</v>
      </c>
      <c r="B583" s="0" t="n">
        <v>582</v>
      </c>
      <c r="C583" s="0" t="n">
        <v>0.197</v>
      </c>
      <c r="D583" s="0" t="n">
        <v>0.93</v>
      </c>
      <c r="E583" s="0" t="n">
        <v>0.3284</v>
      </c>
      <c r="F583" s="0" t="n">
        <v>7</v>
      </c>
      <c r="G583" s="0" t="n">
        <v>41</v>
      </c>
      <c r="H583" s="0" t="n">
        <v>48</v>
      </c>
    </row>
    <row r="584" customFormat="false" ht="15" hidden="false" customHeight="false" outlineLevel="0" collapsed="false">
      <c r="A584" s="0" t="n">
        <v>582</v>
      </c>
      <c r="B584" s="0" t="n">
        <v>583</v>
      </c>
      <c r="C584" s="0" t="n">
        <v>0.197</v>
      </c>
      <c r="D584" s="0" t="n">
        <v>0.93</v>
      </c>
      <c r="E584" s="0" t="n">
        <v>0.3284</v>
      </c>
      <c r="F584" s="0" t="n">
        <v>4</v>
      </c>
      <c r="G584" s="0" t="n">
        <v>43</v>
      </c>
      <c r="H584" s="0" t="n">
        <v>47</v>
      </c>
    </row>
    <row r="585" customFormat="false" ht="15" hidden="false" customHeight="false" outlineLevel="0" collapsed="false">
      <c r="A585" s="0" t="n">
        <v>583</v>
      </c>
      <c r="B585" s="0" t="n">
        <v>584</v>
      </c>
      <c r="C585" s="0" t="n">
        <v>0.197</v>
      </c>
      <c r="D585" s="0" t="n">
        <v>0.93</v>
      </c>
      <c r="E585" s="0" t="n">
        <v>0.3582</v>
      </c>
      <c r="F585" s="0" t="n">
        <v>0</v>
      </c>
      <c r="G585" s="0" t="n">
        <v>36</v>
      </c>
      <c r="H585" s="0" t="n">
        <v>36</v>
      </c>
    </row>
    <row r="586" customFormat="false" ht="15" hidden="false" customHeight="false" outlineLevel="0" collapsed="false">
      <c r="A586" s="0" t="n">
        <v>584</v>
      </c>
      <c r="B586" s="0" t="n">
        <v>585</v>
      </c>
      <c r="C586" s="0" t="n">
        <v>0.1818</v>
      </c>
      <c r="D586" s="0" t="n">
        <v>0.93</v>
      </c>
      <c r="E586" s="0" t="n">
        <v>0.4627</v>
      </c>
      <c r="F586" s="0" t="n">
        <v>1</v>
      </c>
      <c r="G586" s="0" t="n">
        <v>42</v>
      </c>
      <c r="H586" s="0" t="n">
        <v>43</v>
      </c>
    </row>
    <row r="587" customFormat="false" ht="15" hidden="false" customHeight="false" outlineLevel="0" collapsed="false">
      <c r="A587" s="0" t="n">
        <v>585</v>
      </c>
      <c r="B587" s="0" t="n">
        <v>586</v>
      </c>
      <c r="C587" s="0" t="n">
        <v>0.197</v>
      </c>
      <c r="D587" s="0" t="n">
        <v>0.93</v>
      </c>
      <c r="E587" s="0" t="n">
        <v>0.3284</v>
      </c>
      <c r="F587" s="0" t="n">
        <v>1</v>
      </c>
      <c r="G587" s="0" t="n">
        <v>35</v>
      </c>
      <c r="H587" s="0" t="n">
        <v>36</v>
      </c>
    </row>
    <row r="588" customFormat="false" ht="15" hidden="false" customHeight="false" outlineLevel="0" collapsed="false">
      <c r="A588" s="0" t="n">
        <v>586</v>
      </c>
      <c r="B588" s="0" t="n">
        <v>587</v>
      </c>
      <c r="C588" s="0" t="n">
        <v>0.1818</v>
      </c>
      <c r="D588" s="0" t="n">
        <v>0.93</v>
      </c>
      <c r="E588" s="0" t="n">
        <v>0.3582</v>
      </c>
      <c r="F588" s="0" t="n">
        <v>0</v>
      </c>
      <c r="G588" s="0" t="n">
        <v>26</v>
      </c>
      <c r="H588" s="0" t="n">
        <v>26</v>
      </c>
    </row>
    <row r="589" customFormat="false" ht="15" hidden="false" customHeight="false" outlineLevel="0" collapsed="false">
      <c r="A589" s="0" t="n">
        <v>587</v>
      </c>
      <c r="B589" s="0" t="n">
        <v>588</v>
      </c>
      <c r="C589" s="0" t="n">
        <v>0.2273</v>
      </c>
      <c r="D589" s="0" t="n">
        <v>0.55</v>
      </c>
      <c r="E589" s="0" t="n">
        <v>0.194</v>
      </c>
      <c r="F589" s="0" t="n">
        <v>1</v>
      </c>
      <c r="G589" s="0" t="n">
        <v>23</v>
      </c>
      <c r="H589" s="0" t="n">
        <v>24</v>
      </c>
    </row>
    <row r="590" customFormat="false" ht="15" hidden="false" customHeight="false" outlineLevel="0" collapsed="false">
      <c r="A590" s="0" t="n">
        <v>588</v>
      </c>
      <c r="B590" s="0" t="n">
        <v>589</v>
      </c>
      <c r="C590" s="0" t="n">
        <v>0.2424</v>
      </c>
      <c r="D590" s="0" t="n">
        <v>0.55</v>
      </c>
      <c r="E590" s="0" t="n">
        <v>0.1045</v>
      </c>
      <c r="F590" s="0" t="n">
        <v>2</v>
      </c>
      <c r="G590" s="0" t="n">
        <v>82</v>
      </c>
      <c r="H590" s="0" t="n">
        <v>84</v>
      </c>
    </row>
    <row r="591" customFormat="false" ht="15" hidden="false" customHeight="false" outlineLevel="0" collapsed="false">
      <c r="A591" s="0" t="n">
        <v>589</v>
      </c>
      <c r="B591" s="0" t="n">
        <v>590</v>
      </c>
      <c r="C591" s="0" t="n">
        <v>0.2273</v>
      </c>
      <c r="D591" s="0" t="n">
        <v>0.69</v>
      </c>
      <c r="E591" s="0" t="n">
        <v>0.0896</v>
      </c>
      <c r="F591" s="0" t="n">
        <v>3</v>
      </c>
      <c r="G591" s="0" t="n">
        <v>101</v>
      </c>
      <c r="H591" s="0" t="n">
        <v>104</v>
      </c>
    </row>
    <row r="592" customFormat="false" ht="15" hidden="false" customHeight="false" outlineLevel="0" collapsed="false">
      <c r="A592" s="0" t="n">
        <v>590</v>
      </c>
      <c r="B592" s="0" t="n">
        <v>591</v>
      </c>
      <c r="C592" s="0" t="n">
        <v>0.2273</v>
      </c>
      <c r="D592" s="0" t="n">
        <v>0.69</v>
      </c>
      <c r="E592" s="0" t="n">
        <v>0.0896</v>
      </c>
      <c r="F592" s="0" t="n">
        <v>3</v>
      </c>
      <c r="G592" s="0" t="n">
        <v>76</v>
      </c>
      <c r="H592" s="0" t="n">
        <v>79</v>
      </c>
    </row>
    <row r="593" customFormat="false" ht="15" hidden="false" customHeight="false" outlineLevel="0" collapsed="false">
      <c r="A593" s="0" t="n">
        <v>591</v>
      </c>
      <c r="B593" s="0" t="n">
        <v>592</v>
      </c>
      <c r="C593" s="0" t="n">
        <v>0.2121</v>
      </c>
      <c r="D593" s="0" t="n">
        <v>0.74</v>
      </c>
      <c r="E593" s="0" t="n">
        <v>0.0896</v>
      </c>
      <c r="F593" s="0" t="n">
        <v>4</v>
      </c>
      <c r="G593" s="0" t="n">
        <v>55</v>
      </c>
      <c r="H593" s="0" t="n">
        <v>59</v>
      </c>
    </row>
    <row r="594" customFormat="false" ht="15" hidden="false" customHeight="false" outlineLevel="0" collapsed="false">
      <c r="A594" s="0" t="n">
        <v>592</v>
      </c>
      <c r="B594" s="0" t="n">
        <v>593</v>
      </c>
      <c r="C594" s="0" t="n">
        <v>0.2121</v>
      </c>
      <c r="D594" s="0" t="n">
        <v>0.74</v>
      </c>
      <c r="E594" s="0" t="n">
        <v>0.0896</v>
      </c>
      <c r="F594" s="0" t="n">
        <v>2</v>
      </c>
      <c r="G594" s="0" t="n">
        <v>36</v>
      </c>
      <c r="H594" s="0" t="n">
        <v>38</v>
      </c>
    </row>
    <row r="595" customFormat="false" ht="15" hidden="false" customHeight="false" outlineLevel="0" collapsed="false">
      <c r="A595" s="0" t="n">
        <v>593</v>
      </c>
      <c r="B595" s="0" t="n">
        <v>594</v>
      </c>
      <c r="C595" s="0" t="n">
        <v>0.2121</v>
      </c>
      <c r="D595" s="0" t="n">
        <v>0.74</v>
      </c>
      <c r="E595" s="0" t="n">
        <v>0.0896</v>
      </c>
      <c r="F595" s="0" t="n">
        <v>0</v>
      </c>
      <c r="G595" s="0" t="n">
        <v>27</v>
      </c>
      <c r="H595" s="0" t="n">
        <v>27</v>
      </c>
    </row>
    <row r="596" customFormat="false" ht="15" hidden="false" customHeight="false" outlineLevel="0" collapsed="false">
      <c r="A596" s="0" t="n">
        <v>594</v>
      </c>
      <c r="B596" s="0" t="n">
        <v>595</v>
      </c>
      <c r="C596" s="0" t="n">
        <v>0.197</v>
      </c>
      <c r="D596" s="0" t="n">
        <v>0.8</v>
      </c>
      <c r="E596" s="0" t="n">
        <v>0.1642</v>
      </c>
      <c r="F596" s="0" t="n">
        <v>0</v>
      </c>
      <c r="G596" s="0" t="n">
        <v>16</v>
      </c>
      <c r="H596" s="0" t="n">
        <v>16</v>
      </c>
    </row>
    <row r="597" customFormat="false" ht="15" hidden="false" customHeight="false" outlineLevel="0" collapsed="false">
      <c r="A597" s="0" t="n">
        <v>595</v>
      </c>
      <c r="B597" s="0" t="n">
        <v>596</v>
      </c>
      <c r="C597" s="0" t="n">
        <v>0.2121</v>
      </c>
      <c r="D597" s="0" t="n">
        <v>0.75</v>
      </c>
      <c r="E597" s="0" t="n">
        <v>0.1343</v>
      </c>
      <c r="F597" s="0" t="n">
        <v>0</v>
      </c>
      <c r="G597" s="0" t="n">
        <v>9</v>
      </c>
      <c r="H597" s="0" t="n">
        <v>9</v>
      </c>
    </row>
    <row r="598" customFormat="false" ht="15" hidden="false" customHeight="false" outlineLevel="0" collapsed="false">
      <c r="A598" s="0" t="n">
        <v>596</v>
      </c>
      <c r="B598" s="0" t="n">
        <v>597</v>
      </c>
      <c r="C598" s="0" t="n">
        <v>0.2121</v>
      </c>
      <c r="D598" s="0" t="n">
        <v>0.75</v>
      </c>
      <c r="E598" s="0" t="n">
        <v>0.1343</v>
      </c>
      <c r="F598" s="0" t="n">
        <v>1</v>
      </c>
      <c r="G598" s="0" t="n">
        <v>2</v>
      </c>
      <c r="H598" s="0" t="n">
        <v>3</v>
      </c>
    </row>
    <row r="599" customFormat="false" ht="15" hidden="false" customHeight="false" outlineLevel="0" collapsed="false">
      <c r="A599" s="0" t="n">
        <v>597</v>
      </c>
      <c r="B599" s="0" t="n">
        <v>598</v>
      </c>
      <c r="C599" s="0" t="n">
        <v>0.2121</v>
      </c>
      <c r="D599" s="0" t="n">
        <v>0.75</v>
      </c>
      <c r="E599" s="0" t="n">
        <v>0.1642</v>
      </c>
      <c r="F599" s="0" t="n">
        <v>0</v>
      </c>
      <c r="G599" s="0" t="n">
        <v>2</v>
      </c>
      <c r="H599" s="0" t="n">
        <v>2</v>
      </c>
    </row>
    <row r="600" customFormat="false" ht="15" hidden="false" customHeight="false" outlineLevel="0" collapsed="false">
      <c r="A600" s="0" t="n">
        <v>598</v>
      </c>
      <c r="B600" s="0" t="n">
        <v>599</v>
      </c>
      <c r="C600" s="0" t="n">
        <v>0.2273</v>
      </c>
      <c r="D600" s="0" t="n">
        <v>0.75</v>
      </c>
      <c r="E600" s="0" t="n">
        <v>0.1045</v>
      </c>
      <c r="F600" s="0" t="n">
        <v>1</v>
      </c>
      <c r="G600" s="0" t="n">
        <v>0</v>
      </c>
      <c r="H600" s="0" t="n">
        <v>1</v>
      </c>
    </row>
    <row r="601" customFormat="false" ht="15" hidden="false" customHeight="false" outlineLevel="0" collapsed="false">
      <c r="A601" s="0" t="n">
        <v>599</v>
      </c>
      <c r="B601" s="0" t="n">
        <v>600</v>
      </c>
      <c r="C601" s="0" t="n">
        <v>0.2121</v>
      </c>
      <c r="D601" s="0" t="n">
        <v>0.8</v>
      </c>
      <c r="E601" s="0" t="n">
        <v>0.1045</v>
      </c>
      <c r="F601" s="0" t="n">
        <v>0</v>
      </c>
      <c r="G601" s="0" t="n">
        <v>4</v>
      </c>
      <c r="H601" s="0" t="n">
        <v>4</v>
      </c>
    </row>
    <row r="602" customFormat="false" ht="15" hidden="false" customHeight="false" outlineLevel="0" collapsed="false">
      <c r="A602" s="0" t="n">
        <v>600</v>
      </c>
      <c r="B602" s="0" t="n">
        <v>601</v>
      </c>
      <c r="C602" s="0" t="n">
        <v>0.197</v>
      </c>
      <c r="D602" s="0" t="n">
        <v>0.8</v>
      </c>
      <c r="E602" s="0" t="n">
        <v>0.1343</v>
      </c>
      <c r="F602" s="0" t="n">
        <v>0</v>
      </c>
      <c r="G602" s="0" t="n">
        <v>16</v>
      </c>
      <c r="H602" s="0" t="n">
        <v>16</v>
      </c>
    </row>
    <row r="603" customFormat="false" ht="15" hidden="false" customHeight="false" outlineLevel="0" collapsed="false">
      <c r="A603" s="0" t="n">
        <v>601</v>
      </c>
      <c r="B603" s="0" t="n">
        <v>602</v>
      </c>
      <c r="C603" s="0" t="n">
        <v>0.197</v>
      </c>
      <c r="D603" s="0" t="n">
        <v>0.86</v>
      </c>
      <c r="E603" s="0" t="n">
        <v>0.0896</v>
      </c>
      <c r="F603" s="0" t="n">
        <v>2</v>
      </c>
      <c r="G603" s="0" t="n">
        <v>58</v>
      </c>
      <c r="H603" s="0" t="n">
        <v>60</v>
      </c>
    </row>
    <row r="604" customFormat="false" ht="15" hidden="false" customHeight="false" outlineLevel="0" collapsed="false">
      <c r="A604" s="0" t="n">
        <v>602</v>
      </c>
      <c r="B604" s="0" t="n">
        <v>603</v>
      </c>
      <c r="C604" s="0" t="n">
        <v>0.197</v>
      </c>
      <c r="D604" s="0" t="n">
        <v>0.86</v>
      </c>
      <c r="E604" s="0" t="n">
        <v>0.0896</v>
      </c>
      <c r="F604" s="0" t="n">
        <v>2</v>
      </c>
      <c r="G604" s="0" t="n">
        <v>155</v>
      </c>
      <c r="H604" s="0" t="n">
        <v>157</v>
      </c>
    </row>
    <row r="605" customFormat="false" ht="15" hidden="false" customHeight="false" outlineLevel="0" collapsed="false">
      <c r="A605" s="0" t="n">
        <v>603</v>
      </c>
      <c r="B605" s="0" t="n">
        <v>604</v>
      </c>
      <c r="C605" s="0" t="n">
        <v>0.2121</v>
      </c>
      <c r="D605" s="0" t="n">
        <v>0.86</v>
      </c>
      <c r="E605" s="0" t="n">
        <v>0.0896</v>
      </c>
      <c r="F605" s="0" t="n">
        <v>6</v>
      </c>
      <c r="G605" s="0" t="n">
        <v>95</v>
      </c>
      <c r="H605" s="0" t="n">
        <v>101</v>
      </c>
    </row>
    <row r="606" customFormat="false" ht="15" hidden="false" customHeight="false" outlineLevel="0" collapsed="false">
      <c r="A606" s="0" t="n">
        <v>604</v>
      </c>
      <c r="B606" s="0" t="n">
        <v>605</v>
      </c>
      <c r="C606" s="0" t="n">
        <v>0.2121</v>
      </c>
      <c r="D606" s="0" t="n">
        <v>0.86</v>
      </c>
      <c r="E606" s="0" t="n">
        <v>0.1045</v>
      </c>
      <c r="F606" s="0" t="n">
        <v>0</v>
      </c>
      <c r="G606" s="0" t="n">
        <v>49</v>
      </c>
      <c r="H606" s="0" t="n">
        <v>49</v>
      </c>
    </row>
    <row r="607" customFormat="false" ht="15" hidden="false" customHeight="false" outlineLevel="0" collapsed="false">
      <c r="A607" s="0" t="n">
        <v>605</v>
      </c>
      <c r="B607" s="0" t="n">
        <v>606</v>
      </c>
      <c r="C607" s="0" t="n">
        <v>0.2121</v>
      </c>
      <c r="D607" s="0" t="n">
        <v>0.93</v>
      </c>
      <c r="E607" s="0" t="n">
        <v>0.1045</v>
      </c>
      <c r="F607" s="0" t="n">
        <v>0</v>
      </c>
      <c r="G607" s="0" t="n">
        <v>30</v>
      </c>
      <c r="H607" s="0" t="n">
        <v>30</v>
      </c>
    </row>
    <row r="608" customFormat="false" ht="15" hidden="false" customHeight="false" outlineLevel="0" collapsed="false">
      <c r="A608" s="0" t="n">
        <v>606</v>
      </c>
      <c r="B608" s="0" t="n">
        <v>607</v>
      </c>
      <c r="C608" s="0" t="n">
        <v>0.2121</v>
      </c>
      <c r="D608" s="0" t="n">
        <v>0.93</v>
      </c>
      <c r="E608" s="0" t="n">
        <v>0.1045</v>
      </c>
      <c r="F608" s="0" t="n">
        <v>1</v>
      </c>
      <c r="G608" s="0" t="n">
        <v>28</v>
      </c>
      <c r="H608" s="0" t="n">
        <v>29</v>
      </c>
    </row>
    <row r="609" customFormat="false" ht="15" hidden="false" customHeight="false" outlineLevel="0" collapsed="false">
      <c r="A609" s="0" t="n">
        <v>607</v>
      </c>
      <c r="B609" s="0" t="n">
        <v>608</v>
      </c>
      <c r="C609" s="0" t="n">
        <v>0.2121</v>
      </c>
      <c r="D609" s="0" t="n">
        <v>0.93</v>
      </c>
      <c r="E609" s="0" t="n">
        <v>0.1045</v>
      </c>
      <c r="F609" s="0" t="n">
        <v>0</v>
      </c>
      <c r="G609" s="0" t="n">
        <v>31</v>
      </c>
      <c r="H609" s="0" t="n">
        <v>31</v>
      </c>
    </row>
    <row r="610" customFormat="false" ht="15" hidden="false" customHeight="false" outlineLevel="0" collapsed="false">
      <c r="A610" s="0" t="n">
        <v>608</v>
      </c>
      <c r="B610" s="0" t="n">
        <v>609</v>
      </c>
      <c r="C610" s="0" t="n">
        <v>0.2727</v>
      </c>
      <c r="D610" s="0" t="n">
        <v>0.8</v>
      </c>
      <c r="E610" s="0" t="n">
        <v>0</v>
      </c>
      <c r="F610" s="0" t="n">
        <v>2</v>
      </c>
      <c r="G610" s="0" t="n">
        <v>36</v>
      </c>
      <c r="H610" s="0" t="n">
        <v>38</v>
      </c>
    </row>
    <row r="611" customFormat="false" ht="15" hidden="false" customHeight="false" outlineLevel="0" collapsed="false">
      <c r="A611" s="0" t="n">
        <v>609</v>
      </c>
      <c r="B611" s="0" t="n">
        <v>610</v>
      </c>
      <c r="C611" s="0" t="n">
        <v>0.2576</v>
      </c>
      <c r="D611" s="0" t="n">
        <v>0.86</v>
      </c>
      <c r="E611" s="0" t="n">
        <v>0</v>
      </c>
      <c r="F611" s="0" t="n">
        <v>1</v>
      </c>
      <c r="G611" s="0" t="n">
        <v>40</v>
      </c>
      <c r="H611" s="0" t="n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67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  <c r="G1" s="28" t="s">
        <v>73</v>
      </c>
      <c r="H1" s="28" t="s">
        <v>74</v>
      </c>
      <c r="I1" s="28" t="s">
        <v>75</v>
      </c>
      <c r="J1" s="28" t="s">
        <v>76</v>
      </c>
      <c r="K1" s="28" t="s">
        <v>106</v>
      </c>
      <c r="L1" s="28" t="s">
        <v>107</v>
      </c>
      <c r="M1" s="28" t="s">
        <v>108</v>
      </c>
      <c r="N1" s="28" t="s">
        <v>109</v>
      </c>
      <c r="O1" s="28" t="s">
        <v>110</v>
      </c>
      <c r="P1" s="28" t="s">
        <v>111</v>
      </c>
    </row>
    <row r="2" customFormat="false" ht="15" hidden="false" customHeight="false" outlineLevel="0" collapsed="false">
      <c r="A2" s="0" t="n">
        <v>620</v>
      </c>
      <c r="B2" s="0" t="s">
        <v>112</v>
      </c>
      <c r="C2" s="0" t="n">
        <v>1</v>
      </c>
      <c r="D2" s="0" t="n">
        <v>0</v>
      </c>
      <c r="E2" s="0" t="n">
        <v>1</v>
      </c>
      <c r="F2" s="0" t="n">
        <v>1</v>
      </c>
      <c r="G2" s="0" t="b">
        <f aca="false">FALSE()</f>
        <v>0</v>
      </c>
      <c r="H2" s="0" t="n">
        <v>6</v>
      </c>
      <c r="I2" s="0" t="n">
        <v>1</v>
      </c>
      <c r="J2" s="0" t="n">
        <v>0.22</v>
      </c>
      <c r="K2" s="0" t="n">
        <v>0.2273</v>
      </c>
      <c r="L2" s="0" t="n">
        <v>0.64</v>
      </c>
      <c r="M2" s="0" t="n">
        <v>0.194</v>
      </c>
      <c r="N2" s="0" t="n">
        <v>0</v>
      </c>
      <c r="O2" s="0" t="n">
        <v>20</v>
      </c>
      <c r="P2" s="0" t="n">
        <v>20</v>
      </c>
    </row>
    <row r="3" customFormat="false" ht="15" hidden="false" customHeight="false" outlineLevel="0" collapsed="false">
      <c r="A3" s="0" t="n">
        <v>621</v>
      </c>
      <c r="B3" s="0" t="s">
        <v>112</v>
      </c>
      <c r="C3" s="0" t="n">
        <v>1</v>
      </c>
      <c r="D3" s="0" t="n">
        <v>0</v>
      </c>
      <c r="E3" s="0" t="n">
        <v>1</v>
      </c>
      <c r="F3" s="0" t="n">
        <v>2</v>
      </c>
      <c r="G3" s="0" t="b">
        <f aca="false">FALSE()</f>
        <v>0</v>
      </c>
      <c r="H3" s="0" t="n">
        <v>6</v>
      </c>
      <c r="I3" s="0" t="n">
        <v>1</v>
      </c>
      <c r="J3" s="0" t="n">
        <v>0.22</v>
      </c>
      <c r="K3" s="0" t="n">
        <v>0.2273</v>
      </c>
      <c r="L3" s="0" t="n">
        <v>0.64</v>
      </c>
      <c r="M3" s="0" t="n">
        <v>0.1642</v>
      </c>
      <c r="N3" s="0" t="n">
        <v>0</v>
      </c>
      <c r="O3" s="0" t="n">
        <v>15</v>
      </c>
      <c r="P3" s="0" t="n">
        <v>15</v>
      </c>
    </row>
    <row r="4" customFormat="false" ht="15" hidden="false" customHeight="false" outlineLevel="0" collapsed="false">
      <c r="A4" s="0" t="n">
        <v>622</v>
      </c>
      <c r="B4" s="0" t="s">
        <v>112</v>
      </c>
      <c r="C4" s="0" t="n">
        <v>1</v>
      </c>
      <c r="D4" s="0" t="n">
        <v>0</v>
      </c>
      <c r="E4" s="0" t="n">
        <v>1</v>
      </c>
      <c r="F4" s="0" t="n">
        <v>3</v>
      </c>
      <c r="G4" s="0" t="b">
        <f aca="false">FALSE()</f>
        <v>0</v>
      </c>
      <c r="H4" s="0" t="n">
        <v>6</v>
      </c>
      <c r="I4" s="0" t="n">
        <v>1</v>
      </c>
      <c r="J4" s="0" t="n">
        <v>0.2</v>
      </c>
      <c r="K4" s="0" t="n">
        <v>0.2121</v>
      </c>
      <c r="L4" s="0" t="n">
        <v>0.64</v>
      </c>
      <c r="M4" s="0" t="n">
        <v>0.1343</v>
      </c>
      <c r="N4" s="0" t="n">
        <v>3</v>
      </c>
      <c r="O4" s="0" t="n">
        <v>5</v>
      </c>
      <c r="P4" s="0" t="n">
        <v>8</v>
      </c>
    </row>
    <row r="5" customFormat="false" ht="15" hidden="false" customHeight="false" outlineLevel="0" collapsed="false">
      <c r="A5" s="0" t="n">
        <v>623</v>
      </c>
      <c r="B5" s="0" t="s">
        <v>112</v>
      </c>
      <c r="C5" s="0" t="n">
        <v>1</v>
      </c>
      <c r="D5" s="0" t="n">
        <v>0</v>
      </c>
      <c r="E5" s="0" t="n">
        <v>1</v>
      </c>
      <c r="F5" s="0" t="n">
        <v>4</v>
      </c>
      <c r="G5" s="0" t="b">
        <f aca="false">FALSE()</f>
        <v>0</v>
      </c>
      <c r="H5" s="0" t="n">
        <v>6</v>
      </c>
      <c r="I5" s="0" t="n">
        <v>1</v>
      </c>
      <c r="J5" s="0" t="n">
        <v>0.16</v>
      </c>
      <c r="K5" s="0" t="n">
        <v>0.1818</v>
      </c>
      <c r="L5" s="0" t="n">
        <v>0.69</v>
      </c>
      <c r="M5" s="0" t="n">
        <v>0.1045</v>
      </c>
      <c r="N5" s="0" t="n">
        <v>1</v>
      </c>
      <c r="O5" s="0" t="n">
        <v>2</v>
      </c>
      <c r="P5" s="0" t="n">
        <v>3</v>
      </c>
    </row>
    <row r="6" customFormat="false" ht="15" hidden="false" customHeight="false" outlineLevel="0" collapsed="false">
      <c r="A6" s="0" t="n">
        <v>624</v>
      </c>
      <c r="B6" s="0" t="s">
        <v>112</v>
      </c>
      <c r="C6" s="0" t="n">
        <v>1</v>
      </c>
      <c r="D6" s="0" t="n">
        <v>0</v>
      </c>
      <c r="E6" s="0" t="n">
        <v>1</v>
      </c>
      <c r="F6" s="0" t="n">
        <v>6</v>
      </c>
      <c r="G6" s="0" t="b">
        <f aca="false">FALSE()</f>
        <v>0</v>
      </c>
      <c r="H6" s="0" t="n">
        <v>6</v>
      </c>
      <c r="I6" s="0" t="n">
        <v>1</v>
      </c>
      <c r="J6" s="0" t="n">
        <v>0.16</v>
      </c>
      <c r="K6" s="0" t="n">
        <v>0.1818</v>
      </c>
      <c r="L6" s="0" t="n">
        <v>0.64</v>
      </c>
      <c r="M6" s="0" t="n">
        <v>0.1343</v>
      </c>
      <c r="N6" s="0" t="n">
        <v>0</v>
      </c>
      <c r="O6" s="0" t="n">
        <v>2</v>
      </c>
      <c r="P6" s="0" t="n">
        <v>2</v>
      </c>
    </row>
    <row r="7" customFormat="false" ht="15" hidden="false" customHeight="false" outlineLevel="0" collapsed="false">
      <c r="A7" s="0" t="n">
        <v>625</v>
      </c>
      <c r="B7" s="0" t="s">
        <v>112</v>
      </c>
      <c r="C7" s="0" t="n">
        <v>1</v>
      </c>
      <c r="D7" s="0" t="n">
        <v>0</v>
      </c>
      <c r="E7" s="0" t="n">
        <v>1</v>
      </c>
      <c r="F7" s="0" t="n">
        <v>7</v>
      </c>
      <c r="G7" s="0" t="b">
        <f aca="false">FALSE()</f>
        <v>0</v>
      </c>
      <c r="H7" s="0" t="n">
        <v>6</v>
      </c>
      <c r="I7" s="0" t="n">
        <v>1</v>
      </c>
      <c r="J7" s="0" t="n">
        <v>0.16</v>
      </c>
      <c r="K7" s="0" t="n">
        <v>0.1818</v>
      </c>
      <c r="L7" s="0" t="n">
        <v>0.59</v>
      </c>
      <c r="M7" s="0" t="n">
        <v>0.1045</v>
      </c>
      <c r="N7" s="0" t="n">
        <v>1</v>
      </c>
      <c r="O7" s="0" t="n">
        <v>4</v>
      </c>
      <c r="P7" s="0" t="n">
        <v>5</v>
      </c>
    </row>
    <row r="8" customFormat="false" ht="15" hidden="false" customHeight="false" outlineLevel="0" collapsed="false">
      <c r="A8" s="0" t="n">
        <v>626</v>
      </c>
      <c r="B8" s="0" t="s">
        <v>112</v>
      </c>
      <c r="C8" s="0" t="n">
        <v>1</v>
      </c>
      <c r="D8" s="0" t="n">
        <v>0</v>
      </c>
      <c r="E8" s="0" t="n">
        <v>1</v>
      </c>
      <c r="F8" s="0" t="n">
        <v>8</v>
      </c>
      <c r="G8" s="0" t="b">
        <f aca="false">FALSE()</f>
        <v>0</v>
      </c>
      <c r="H8" s="0" t="n">
        <v>6</v>
      </c>
      <c r="I8" s="0" t="n">
        <v>1</v>
      </c>
      <c r="J8" s="0" t="n">
        <v>0.18</v>
      </c>
      <c r="K8" s="0" t="n">
        <v>0.197</v>
      </c>
      <c r="L8" s="0" t="n">
        <v>0.55</v>
      </c>
      <c r="M8" s="0" t="n">
        <v>0.1642</v>
      </c>
      <c r="N8" s="0" t="n">
        <v>3</v>
      </c>
      <c r="O8" s="0" t="n">
        <v>31</v>
      </c>
      <c r="P8" s="0" t="n">
        <v>34</v>
      </c>
    </row>
    <row r="9" customFormat="false" ht="15" hidden="false" customHeight="false" outlineLevel="0" collapsed="false">
      <c r="A9" s="0" t="n">
        <v>627</v>
      </c>
      <c r="B9" s="0" t="s">
        <v>112</v>
      </c>
      <c r="C9" s="0" t="n">
        <v>1</v>
      </c>
      <c r="D9" s="0" t="n">
        <v>0</v>
      </c>
      <c r="E9" s="0" t="n">
        <v>1</v>
      </c>
      <c r="F9" s="0" t="n">
        <v>9</v>
      </c>
      <c r="G9" s="0" t="b">
        <f aca="false">FALSE()</f>
        <v>0</v>
      </c>
      <c r="H9" s="0" t="n">
        <v>6</v>
      </c>
      <c r="I9" s="0" t="n">
        <v>1</v>
      </c>
      <c r="J9" s="0" t="n">
        <v>0.18</v>
      </c>
      <c r="K9" s="0" t="n">
        <v>0.2121</v>
      </c>
      <c r="L9" s="0" t="n">
        <v>0.59</v>
      </c>
      <c r="M9" s="0" t="n">
        <v>0.0896</v>
      </c>
      <c r="N9" s="0" t="n">
        <v>0</v>
      </c>
      <c r="O9" s="0" t="n">
        <v>34</v>
      </c>
      <c r="P9" s="0" t="n">
        <v>34</v>
      </c>
    </row>
    <row r="10" customFormat="false" ht="15" hidden="false" customHeight="false" outlineLevel="0" collapsed="false">
      <c r="A10" s="0" t="n">
        <v>628</v>
      </c>
      <c r="B10" s="0" t="s">
        <v>112</v>
      </c>
      <c r="C10" s="0" t="n">
        <v>1</v>
      </c>
      <c r="D10" s="0" t="n">
        <v>0</v>
      </c>
      <c r="E10" s="0" t="n">
        <v>1</v>
      </c>
      <c r="F10" s="0" t="n">
        <v>10</v>
      </c>
      <c r="G10" s="0" t="b">
        <f aca="false">FALSE()</f>
        <v>0</v>
      </c>
      <c r="H10" s="0" t="n">
        <v>6</v>
      </c>
      <c r="I10" s="0" t="n">
        <v>2</v>
      </c>
      <c r="J10" s="0" t="n">
        <v>0.18</v>
      </c>
      <c r="K10" s="0" t="n">
        <v>0.2121</v>
      </c>
      <c r="L10" s="0" t="n">
        <v>0.64</v>
      </c>
      <c r="M10" s="0" t="n">
        <v>0.1045</v>
      </c>
      <c r="N10" s="0" t="n">
        <v>4</v>
      </c>
      <c r="O10" s="0" t="n">
        <v>51</v>
      </c>
      <c r="P10" s="0" t="n">
        <v>55</v>
      </c>
    </row>
    <row r="11" customFormat="false" ht="15" hidden="false" customHeight="false" outlineLevel="0" collapsed="false">
      <c r="A11" s="0" t="n">
        <v>629</v>
      </c>
      <c r="B11" s="0" t="s">
        <v>112</v>
      </c>
      <c r="C11" s="0" t="n">
        <v>1</v>
      </c>
      <c r="D11" s="0" t="n">
        <v>0</v>
      </c>
      <c r="E11" s="0" t="n">
        <v>1</v>
      </c>
      <c r="F11" s="0" t="n">
        <v>11</v>
      </c>
      <c r="G11" s="0" t="b">
        <f aca="false">FALSE()</f>
        <v>0</v>
      </c>
      <c r="H11" s="0" t="n">
        <v>6</v>
      </c>
      <c r="I11" s="0" t="n">
        <v>2</v>
      </c>
      <c r="J11" s="0" t="n">
        <v>0.18</v>
      </c>
      <c r="K11" s="0" t="n">
        <v>0.197</v>
      </c>
      <c r="L11" s="0" t="n">
        <v>0.64</v>
      </c>
      <c r="M11" s="0" t="n">
        <v>0.1343</v>
      </c>
      <c r="N11" s="0" t="n">
        <v>4</v>
      </c>
      <c r="O11" s="0" t="n">
        <v>60</v>
      </c>
      <c r="P11" s="0" t="n">
        <v>64</v>
      </c>
    </row>
    <row r="12" customFormat="false" ht="15" hidden="false" customHeight="false" outlineLevel="0" collapsed="false">
      <c r="A12" s="0" t="n">
        <v>630</v>
      </c>
      <c r="B12" s="0" t="s">
        <v>112</v>
      </c>
      <c r="C12" s="0" t="n">
        <v>1</v>
      </c>
      <c r="D12" s="0" t="n">
        <v>0</v>
      </c>
      <c r="E12" s="0" t="n">
        <v>1</v>
      </c>
      <c r="F12" s="0" t="n">
        <v>12</v>
      </c>
      <c r="G12" s="0" t="b">
        <f aca="false">FALSE()</f>
        <v>0</v>
      </c>
      <c r="H12" s="0" t="n">
        <v>6</v>
      </c>
      <c r="I12" s="0" t="n">
        <v>2</v>
      </c>
      <c r="J12" s="0" t="n">
        <v>0.2</v>
      </c>
      <c r="K12" s="0" t="n">
        <v>0.197</v>
      </c>
      <c r="L12" s="0" t="n">
        <v>0.59</v>
      </c>
      <c r="M12" s="0" t="n">
        <v>0.194</v>
      </c>
      <c r="N12" s="0" t="n">
        <v>12</v>
      </c>
      <c r="O12" s="0" t="n">
        <v>66</v>
      </c>
      <c r="P12" s="0" t="n">
        <v>78</v>
      </c>
    </row>
    <row r="13" customFormat="false" ht="15" hidden="false" customHeight="false" outlineLevel="0" collapsed="false">
      <c r="A13" s="0" t="n">
        <v>631</v>
      </c>
      <c r="B13" s="0" t="s">
        <v>112</v>
      </c>
      <c r="C13" s="0" t="n">
        <v>1</v>
      </c>
      <c r="D13" s="0" t="n">
        <v>0</v>
      </c>
      <c r="E13" s="0" t="n">
        <v>1</v>
      </c>
      <c r="F13" s="0" t="n">
        <v>13</v>
      </c>
      <c r="G13" s="0" t="b">
        <f aca="false">FALSE()</f>
        <v>0</v>
      </c>
      <c r="H13" s="0" t="n">
        <v>6</v>
      </c>
      <c r="I13" s="0" t="n">
        <v>2</v>
      </c>
      <c r="J13" s="0" t="n">
        <v>0.22</v>
      </c>
      <c r="K13" s="0" t="n">
        <v>0.2273</v>
      </c>
      <c r="L13" s="0" t="n">
        <v>0.55</v>
      </c>
      <c r="M13" s="0" t="n">
        <v>0.1642</v>
      </c>
      <c r="N13" s="0" t="n">
        <v>9</v>
      </c>
      <c r="O13" s="0" t="n">
        <v>56</v>
      </c>
      <c r="P13" s="0" t="n">
        <v>65</v>
      </c>
    </row>
    <row r="14" customFormat="false" ht="15" hidden="false" customHeight="false" outlineLevel="0" collapsed="false">
      <c r="A14" s="0" t="n">
        <v>632</v>
      </c>
      <c r="B14" s="0" t="s">
        <v>112</v>
      </c>
      <c r="C14" s="0" t="n">
        <v>1</v>
      </c>
      <c r="D14" s="0" t="n">
        <v>0</v>
      </c>
      <c r="E14" s="0" t="n">
        <v>1</v>
      </c>
      <c r="F14" s="0" t="n">
        <v>14</v>
      </c>
      <c r="G14" s="0" t="b">
        <f aca="false">FALSE()</f>
        <v>0</v>
      </c>
      <c r="H14" s="0" t="n">
        <v>6</v>
      </c>
      <c r="I14" s="0" t="n">
        <v>2</v>
      </c>
      <c r="J14" s="0" t="n">
        <v>0.22</v>
      </c>
      <c r="K14" s="0" t="n">
        <v>0.2273</v>
      </c>
      <c r="L14" s="0" t="n">
        <v>0.6</v>
      </c>
      <c r="M14" s="0" t="n">
        <v>0.1343</v>
      </c>
      <c r="N14" s="0" t="n">
        <v>10</v>
      </c>
      <c r="O14" s="0" t="n">
        <v>89</v>
      </c>
      <c r="P14" s="0" t="n">
        <v>99</v>
      </c>
    </row>
    <row r="15" customFormat="false" ht="15" hidden="false" customHeight="false" outlineLevel="0" collapsed="false">
      <c r="A15" s="0" t="n">
        <v>633</v>
      </c>
      <c r="B15" s="0" t="s">
        <v>112</v>
      </c>
      <c r="C15" s="0" t="n">
        <v>1</v>
      </c>
      <c r="D15" s="0" t="n">
        <v>0</v>
      </c>
      <c r="E15" s="0" t="n">
        <v>1</v>
      </c>
      <c r="F15" s="0" t="n">
        <v>15</v>
      </c>
      <c r="G15" s="0" t="b">
        <f aca="false">FALSE()</f>
        <v>0</v>
      </c>
      <c r="H15" s="0" t="n">
        <v>6</v>
      </c>
      <c r="I15" s="0" t="n">
        <v>1</v>
      </c>
      <c r="J15" s="0" t="n">
        <v>0.22</v>
      </c>
      <c r="K15" s="0" t="n">
        <v>0.2121</v>
      </c>
      <c r="L15" s="0" t="n">
        <v>0.69</v>
      </c>
      <c r="M15" s="0" t="n">
        <v>0.2537</v>
      </c>
      <c r="N15" s="0" t="n">
        <v>22</v>
      </c>
      <c r="O15" s="0" t="n">
        <v>98</v>
      </c>
      <c r="P15" s="0" t="n">
        <v>120</v>
      </c>
    </row>
    <row r="16" customFormat="false" ht="15" hidden="false" customHeight="false" outlineLevel="0" collapsed="false">
      <c r="A16" s="0" t="n">
        <v>634</v>
      </c>
      <c r="B16" s="0" t="s">
        <v>112</v>
      </c>
      <c r="C16" s="0" t="n">
        <v>1</v>
      </c>
      <c r="D16" s="0" t="n">
        <v>0</v>
      </c>
      <c r="E16" s="0" t="n">
        <v>1</v>
      </c>
      <c r="F16" s="0" t="n">
        <v>16</v>
      </c>
      <c r="G16" s="0" t="b">
        <f aca="false">FALSE()</f>
        <v>0</v>
      </c>
      <c r="H16" s="0" t="n">
        <v>6</v>
      </c>
      <c r="I16" s="0" t="n">
        <v>1</v>
      </c>
      <c r="J16" s="0" t="n">
        <v>0.24</v>
      </c>
      <c r="K16" s="0" t="n">
        <v>0.2424</v>
      </c>
      <c r="L16" s="0" t="n">
        <v>0.6</v>
      </c>
      <c r="M16" s="0" t="n">
        <v>0.1642</v>
      </c>
      <c r="N16" s="0" t="n">
        <v>19</v>
      </c>
      <c r="O16" s="0" t="n">
        <v>88</v>
      </c>
      <c r="P16" s="0" t="n">
        <v>107</v>
      </c>
    </row>
    <row r="17" customFormat="false" ht="15" hidden="false" customHeight="false" outlineLevel="0" collapsed="false">
      <c r="A17" s="0" t="n">
        <v>635</v>
      </c>
      <c r="B17" s="0" t="s">
        <v>112</v>
      </c>
      <c r="C17" s="0" t="n">
        <v>1</v>
      </c>
      <c r="D17" s="0" t="n">
        <v>0</v>
      </c>
      <c r="E17" s="0" t="n">
        <v>1</v>
      </c>
      <c r="F17" s="0" t="n">
        <v>17</v>
      </c>
      <c r="G17" s="0" t="b">
        <f aca="false">FALSE()</f>
        <v>0</v>
      </c>
      <c r="H17" s="0" t="n">
        <v>6</v>
      </c>
      <c r="I17" s="0" t="n">
        <v>1</v>
      </c>
      <c r="J17" s="0" t="n">
        <v>0.24</v>
      </c>
      <c r="K17" s="0" t="n">
        <v>0.2879</v>
      </c>
      <c r="L17" s="0" t="n">
        <v>0.6</v>
      </c>
      <c r="M17" s="0" t="n">
        <v>0</v>
      </c>
      <c r="N17" s="0" t="n">
        <v>9</v>
      </c>
      <c r="O17" s="0" t="n">
        <v>82</v>
      </c>
      <c r="P17" s="0" t="n">
        <v>91</v>
      </c>
    </row>
    <row r="18" customFormat="false" ht="15" hidden="false" customHeight="false" outlineLevel="0" collapsed="false">
      <c r="A18" s="0" t="n">
        <v>636</v>
      </c>
      <c r="B18" s="0" t="s">
        <v>112</v>
      </c>
      <c r="C18" s="0" t="n">
        <v>1</v>
      </c>
      <c r="D18" s="0" t="n">
        <v>0</v>
      </c>
      <c r="E18" s="0" t="n">
        <v>1</v>
      </c>
      <c r="F18" s="0" t="n">
        <v>18</v>
      </c>
      <c r="G18" s="0" t="b">
        <f aca="false">FALSE()</f>
        <v>0</v>
      </c>
      <c r="H18" s="0" t="n">
        <v>6</v>
      </c>
      <c r="I18" s="0" t="n">
        <v>1</v>
      </c>
      <c r="J18" s="0" t="n">
        <v>0.22</v>
      </c>
      <c r="K18" s="0" t="n">
        <v>0.2273</v>
      </c>
      <c r="L18" s="0" t="n">
        <v>0.69</v>
      </c>
      <c r="M18" s="0" t="n">
        <v>0.1343</v>
      </c>
      <c r="N18" s="0" t="n">
        <v>9</v>
      </c>
      <c r="O18" s="0" t="n">
        <v>59</v>
      </c>
      <c r="P18" s="0" t="n">
        <v>68</v>
      </c>
    </row>
    <row r="19" customFormat="false" ht="15" hidden="false" customHeight="false" outlineLevel="0" collapsed="false">
      <c r="A19" s="0" t="n">
        <v>637</v>
      </c>
      <c r="B19" s="0" t="s">
        <v>112</v>
      </c>
      <c r="C19" s="0" t="n">
        <v>1</v>
      </c>
      <c r="D19" s="0" t="n">
        <v>0</v>
      </c>
      <c r="E19" s="0" t="n">
        <v>1</v>
      </c>
      <c r="F19" s="0" t="n">
        <v>19</v>
      </c>
      <c r="G19" s="0" t="b">
        <f aca="false">FALSE()</f>
        <v>0</v>
      </c>
      <c r="H19" s="0" t="n">
        <v>6</v>
      </c>
      <c r="I19" s="0" t="n">
        <v>2</v>
      </c>
      <c r="J19" s="0" t="n">
        <v>0.22</v>
      </c>
      <c r="K19" s="0" t="n">
        <v>0.2121</v>
      </c>
      <c r="L19" s="0" t="n">
        <v>0.69</v>
      </c>
      <c r="M19" s="0" t="n">
        <v>0.2537</v>
      </c>
      <c r="N19" s="0" t="n">
        <v>6</v>
      </c>
      <c r="O19" s="0" t="n">
        <v>52</v>
      </c>
      <c r="P19" s="0" t="n">
        <v>58</v>
      </c>
    </row>
    <row r="20" customFormat="false" ht="15" hidden="false" customHeight="false" outlineLevel="0" collapsed="false">
      <c r="A20" s="0" t="n">
        <v>638</v>
      </c>
      <c r="B20" s="0" t="s">
        <v>112</v>
      </c>
      <c r="C20" s="0" t="n">
        <v>1</v>
      </c>
      <c r="D20" s="0" t="n">
        <v>0</v>
      </c>
      <c r="E20" s="0" t="n">
        <v>1</v>
      </c>
      <c r="F20" s="0" t="n">
        <v>20</v>
      </c>
      <c r="G20" s="0" t="b">
        <f aca="false">FALSE()</f>
        <v>0</v>
      </c>
      <c r="H20" s="0" t="n">
        <v>6</v>
      </c>
      <c r="I20" s="0" t="n">
        <v>1</v>
      </c>
      <c r="J20" s="0" t="n">
        <v>0.18</v>
      </c>
      <c r="K20" s="0" t="n">
        <v>0.2121</v>
      </c>
      <c r="L20" s="0" t="n">
        <v>0.74</v>
      </c>
      <c r="M20" s="0" t="n">
        <v>0.0896</v>
      </c>
      <c r="N20" s="0" t="n">
        <v>1</v>
      </c>
      <c r="O20" s="0" t="n">
        <v>42</v>
      </c>
      <c r="P20" s="0" t="n">
        <v>43</v>
      </c>
    </row>
    <row r="21" customFormat="false" ht="15" hidden="false" customHeight="false" outlineLevel="0" collapsed="false">
      <c r="A21" s="0" t="n">
        <v>639</v>
      </c>
      <c r="B21" s="0" t="s">
        <v>112</v>
      </c>
      <c r="C21" s="0" t="n">
        <v>1</v>
      </c>
      <c r="D21" s="0" t="n">
        <v>0</v>
      </c>
      <c r="E21" s="0" t="n">
        <v>1</v>
      </c>
      <c r="F21" s="0" t="n">
        <v>21</v>
      </c>
      <c r="G21" s="0" t="b">
        <f aca="false">FALSE()</f>
        <v>0</v>
      </c>
      <c r="H21" s="0" t="n">
        <v>6</v>
      </c>
      <c r="I21" s="0" t="n">
        <v>1</v>
      </c>
      <c r="J21" s="0" t="n">
        <v>0.18</v>
      </c>
      <c r="K21" s="0" t="n">
        <v>0.2121</v>
      </c>
      <c r="L21" s="0" t="n">
        <v>0.74</v>
      </c>
      <c r="M21" s="0" t="n">
        <v>0.0896</v>
      </c>
      <c r="N21" s="0" t="n">
        <v>1</v>
      </c>
      <c r="O21" s="0" t="n">
        <v>35</v>
      </c>
      <c r="P21" s="0" t="n">
        <v>36</v>
      </c>
    </row>
    <row r="22" customFormat="false" ht="15" hidden="false" customHeight="false" outlineLevel="0" collapsed="false">
      <c r="A22" s="0" t="n">
        <v>640</v>
      </c>
      <c r="B22" s="0" t="s">
        <v>112</v>
      </c>
      <c r="C22" s="0" t="n">
        <v>1</v>
      </c>
      <c r="D22" s="0" t="n">
        <v>0</v>
      </c>
      <c r="E22" s="0" t="n">
        <v>1</v>
      </c>
      <c r="F22" s="0" t="n">
        <v>22</v>
      </c>
      <c r="G22" s="0" t="b">
        <f aca="false">FALSE()</f>
        <v>0</v>
      </c>
      <c r="H22" s="0" t="n">
        <v>6</v>
      </c>
      <c r="I22" s="0" t="n">
        <v>1</v>
      </c>
      <c r="J22" s="0" t="n">
        <v>0.16</v>
      </c>
      <c r="K22" s="0" t="n">
        <v>0.197</v>
      </c>
      <c r="L22" s="0" t="n">
        <v>0.8</v>
      </c>
      <c r="M22" s="0" t="n">
        <v>0.0896</v>
      </c>
      <c r="N22" s="0" t="n">
        <v>4</v>
      </c>
      <c r="O22" s="0" t="n">
        <v>28</v>
      </c>
      <c r="P22" s="0" t="n">
        <v>32</v>
      </c>
    </row>
    <row r="23" customFormat="false" ht="15" hidden="false" customHeight="false" outlineLevel="0" collapsed="false">
      <c r="A23" s="0" t="n">
        <v>641</v>
      </c>
      <c r="B23" s="0" t="s">
        <v>112</v>
      </c>
      <c r="C23" s="0" t="n">
        <v>1</v>
      </c>
      <c r="D23" s="0" t="n">
        <v>0</v>
      </c>
      <c r="E23" s="0" t="n">
        <v>1</v>
      </c>
      <c r="F23" s="0" t="n">
        <v>23</v>
      </c>
      <c r="G23" s="0" t="b">
        <f aca="false">FALSE()</f>
        <v>0</v>
      </c>
      <c r="H23" s="0" t="n">
        <v>6</v>
      </c>
      <c r="I23" s="0" t="n">
        <v>1</v>
      </c>
      <c r="J23" s="0" t="n">
        <v>0.16</v>
      </c>
      <c r="K23" s="0" t="n">
        <v>0.197</v>
      </c>
      <c r="L23" s="0" t="n">
        <v>0.8</v>
      </c>
      <c r="M23" s="0" t="n">
        <v>0.0896</v>
      </c>
      <c r="N23" s="0" t="n">
        <v>3</v>
      </c>
      <c r="O23" s="0" t="n">
        <v>30</v>
      </c>
      <c r="P23" s="0" t="n">
        <v>33</v>
      </c>
    </row>
    <row r="24" customFormat="false" ht="15" hidden="false" customHeight="false" outlineLevel="0" collapsed="false">
      <c r="A24" s="0" t="n">
        <v>642</v>
      </c>
      <c r="B24" s="0" t="s">
        <v>113</v>
      </c>
      <c r="C24" s="0" t="n">
        <v>1</v>
      </c>
      <c r="D24" s="0" t="n">
        <v>0</v>
      </c>
      <c r="E24" s="0" t="n">
        <v>1</v>
      </c>
      <c r="F24" s="0" t="n">
        <v>0</v>
      </c>
      <c r="G24" s="0" t="b">
        <f aca="false">FALSE()</f>
        <v>0</v>
      </c>
      <c r="H24" s="0" t="n">
        <v>0</v>
      </c>
      <c r="I24" s="0" t="n">
        <v>1</v>
      </c>
      <c r="J24" s="0" t="n">
        <v>0.16</v>
      </c>
      <c r="K24" s="0" t="n">
        <v>0.1818</v>
      </c>
      <c r="L24" s="0" t="n">
        <v>0.8</v>
      </c>
      <c r="M24" s="0" t="n">
        <v>0.1045</v>
      </c>
      <c r="N24" s="0" t="n">
        <v>0</v>
      </c>
      <c r="O24" s="0" t="n">
        <v>33</v>
      </c>
      <c r="P24" s="0" t="n">
        <v>33</v>
      </c>
    </row>
    <row r="25" customFormat="false" ht="15" hidden="false" customHeight="false" outlineLevel="0" collapsed="false">
      <c r="A25" s="0" t="n">
        <v>643</v>
      </c>
      <c r="B25" s="0" t="s">
        <v>113</v>
      </c>
      <c r="C25" s="0" t="n">
        <v>1</v>
      </c>
      <c r="D25" s="0" t="n">
        <v>0</v>
      </c>
      <c r="E25" s="0" t="n">
        <v>1</v>
      </c>
      <c r="F25" s="0" t="n">
        <v>1</v>
      </c>
      <c r="G25" s="0" t="b">
        <f aca="false">FALSE()</f>
        <v>0</v>
      </c>
      <c r="H25" s="0" t="n">
        <v>0</v>
      </c>
      <c r="I25" s="0" t="n">
        <v>1</v>
      </c>
      <c r="J25" s="0" t="n">
        <v>0.14</v>
      </c>
      <c r="K25" s="0" t="n">
        <v>0.2121</v>
      </c>
      <c r="L25" s="0" t="n">
        <v>0.8</v>
      </c>
      <c r="M25" s="0" t="n">
        <v>0</v>
      </c>
      <c r="N25" s="0" t="n">
        <v>7</v>
      </c>
      <c r="O25" s="0" t="n">
        <v>22</v>
      </c>
      <c r="P25" s="0" t="n">
        <v>29</v>
      </c>
    </row>
    <row r="26" customFormat="false" ht="15" hidden="false" customHeight="false" outlineLevel="0" collapsed="false">
      <c r="A26" s="0" t="n">
        <v>644</v>
      </c>
      <c r="B26" s="0" t="s">
        <v>113</v>
      </c>
      <c r="C26" s="0" t="n">
        <v>1</v>
      </c>
      <c r="D26" s="0" t="n">
        <v>0</v>
      </c>
      <c r="E26" s="0" t="n">
        <v>1</v>
      </c>
      <c r="F26" s="0" t="n">
        <v>2</v>
      </c>
      <c r="G26" s="0" t="b">
        <f aca="false">FALSE()</f>
        <v>0</v>
      </c>
      <c r="H26" s="0" t="n">
        <v>0</v>
      </c>
      <c r="I26" s="0" t="n">
        <v>1</v>
      </c>
      <c r="J26" s="0" t="n">
        <v>0.16</v>
      </c>
      <c r="K26" s="0" t="n">
        <v>0.2273</v>
      </c>
      <c r="L26" s="0" t="n">
        <v>0.8</v>
      </c>
      <c r="M26" s="0" t="n">
        <v>0</v>
      </c>
      <c r="N26" s="0" t="n">
        <v>1</v>
      </c>
      <c r="O26" s="0" t="n">
        <v>10</v>
      </c>
      <c r="P26" s="0" t="n">
        <v>11</v>
      </c>
    </row>
    <row r="27" customFormat="false" ht="15" hidden="false" customHeight="false" outlineLevel="0" collapsed="false">
      <c r="A27" s="0" t="n">
        <v>645</v>
      </c>
      <c r="B27" s="0" t="s">
        <v>113</v>
      </c>
      <c r="C27" s="0" t="n">
        <v>1</v>
      </c>
      <c r="D27" s="0" t="n">
        <v>0</v>
      </c>
      <c r="E27" s="0" t="n">
        <v>1</v>
      </c>
      <c r="F27" s="0" t="n">
        <v>3</v>
      </c>
      <c r="G27" s="0" t="b">
        <f aca="false">FALSE()</f>
        <v>0</v>
      </c>
      <c r="H27" s="0" t="n">
        <v>0</v>
      </c>
      <c r="I27" s="0" t="n">
        <v>1</v>
      </c>
      <c r="J27" s="0" t="n">
        <v>0.14</v>
      </c>
      <c r="K27" s="0" t="n">
        <v>0.2121</v>
      </c>
      <c r="L27" s="0" t="n">
        <v>0.93</v>
      </c>
      <c r="M27" s="0" t="n">
        <v>0</v>
      </c>
      <c r="N27" s="0" t="n">
        <v>1</v>
      </c>
      <c r="O27" s="0" t="n">
        <v>7</v>
      </c>
      <c r="P27" s="0" t="n">
        <v>8</v>
      </c>
    </row>
    <row r="28" customFormat="false" ht="15" hidden="false" customHeight="false" outlineLevel="0" collapsed="false">
      <c r="A28" s="0" t="n">
        <v>646</v>
      </c>
      <c r="B28" s="0" t="s">
        <v>113</v>
      </c>
      <c r="C28" s="0" t="n">
        <v>1</v>
      </c>
      <c r="D28" s="0" t="n">
        <v>0</v>
      </c>
      <c r="E28" s="0" t="n">
        <v>1</v>
      </c>
      <c r="F28" s="0" t="n">
        <v>4</v>
      </c>
      <c r="G28" s="0" t="b">
        <f aca="false">FALSE()</f>
        <v>0</v>
      </c>
      <c r="H28" s="0" t="n">
        <v>0</v>
      </c>
      <c r="I28" s="0" t="n">
        <v>1</v>
      </c>
      <c r="J28" s="0" t="n">
        <v>0.14</v>
      </c>
      <c r="K28" s="0" t="n">
        <v>0.2121</v>
      </c>
      <c r="L28" s="0" t="n">
        <v>0.93</v>
      </c>
      <c r="M28" s="0" t="n">
        <v>0</v>
      </c>
      <c r="N28" s="0" t="n">
        <v>0</v>
      </c>
      <c r="O28" s="0" t="n">
        <v>1</v>
      </c>
      <c r="P28" s="0" t="n">
        <v>1</v>
      </c>
    </row>
    <row r="29" customFormat="false" ht="15" hidden="false" customHeight="false" outlineLevel="0" collapsed="false">
      <c r="A29" s="0" t="n">
        <v>647</v>
      </c>
      <c r="B29" s="0" t="s">
        <v>113</v>
      </c>
      <c r="C29" s="0" t="n">
        <v>1</v>
      </c>
      <c r="D29" s="0" t="n">
        <v>0</v>
      </c>
      <c r="E29" s="0" t="n">
        <v>1</v>
      </c>
      <c r="F29" s="0" t="n">
        <v>5</v>
      </c>
      <c r="G29" s="0" t="b">
        <f aca="false">FALSE()</f>
        <v>0</v>
      </c>
      <c r="H29" s="0" t="n">
        <v>0</v>
      </c>
      <c r="I29" s="0" t="n">
        <v>1</v>
      </c>
      <c r="J29" s="0" t="n">
        <v>0.14</v>
      </c>
      <c r="K29" s="0" t="n">
        <v>0.2121</v>
      </c>
      <c r="L29" s="0" t="n">
        <v>0.86</v>
      </c>
      <c r="M29" s="0" t="n">
        <v>0</v>
      </c>
      <c r="N29" s="0" t="n">
        <v>0</v>
      </c>
      <c r="O29" s="0" t="n">
        <v>3</v>
      </c>
      <c r="P29" s="0" t="n">
        <v>3</v>
      </c>
    </row>
    <row r="30" customFormat="false" ht="15" hidden="false" customHeight="false" outlineLevel="0" collapsed="false">
      <c r="A30" s="0" t="n">
        <v>648</v>
      </c>
      <c r="B30" s="0" t="s">
        <v>113</v>
      </c>
      <c r="C30" s="0" t="n">
        <v>1</v>
      </c>
      <c r="D30" s="0" t="n">
        <v>0</v>
      </c>
      <c r="E30" s="0" t="n">
        <v>1</v>
      </c>
      <c r="F30" s="0" t="n">
        <v>7</v>
      </c>
      <c r="G30" s="0" t="b">
        <f aca="false">FALSE()</f>
        <v>0</v>
      </c>
      <c r="H30" s="0" t="n">
        <v>0</v>
      </c>
      <c r="I30" s="0" t="n">
        <v>1</v>
      </c>
      <c r="J30" s="0" t="n">
        <v>0.14</v>
      </c>
      <c r="K30" s="0" t="n">
        <v>0.2121</v>
      </c>
      <c r="L30" s="0" t="n">
        <v>0.86</v>
      </c>
      <c r="M30" s="0" t="n">
        <v>0</v>
      </c>
      <c r="N30" s="0" t="n">
        <v>0</v>
      </c>
      <c r="O30" s="0" t="n">
        <v>3</v>
      </c>
      <c r="P30" s="0" t="n">
        <v>3</v>
      </c>
    </row>
    <row r="31" customFormat="false" ht="15" hidden="false" customHeight="false" outlineLevel="0" collapsed="false">
      <c r="A31" s="0" t="n">
        <v>649</v>
      </c>
      <c r="B31" s="0" t="s">
        <v>113</v>
      </c>
      <c r="C31" s="0" t="n">
        <v>1</v>
      </c>
      <c r="D31" s="0" t="n">
        <v>0</v>
      </c>
      <c r="E31" s="0" t="n">
        <v>1</v>
      </c>
      <c r="F31" s="0" t="n">
        <v>8</v>
      </c>
      <c r="G31" s="0" t="b">
        <f aca="false">FALSE()</f>
        <v>0</v>
      </c>
      <c r="H31" s="0" t="n">
        <v>0</v>
      </c>
      <c r="I31" s="0" t="n">
        <v>2</v>
      </c>
      <c r="J31" s="0" t="n">
        <v>0.14</v>
      </c>
      <c r="K31" s="0" t="n">
        <v>0.2121</v>
      </c>
      <c r="L31" s="0" t="n">
        <v>0.86</v>
      </c>
      <c r="M31" s="0" t="n">
        <v>0</v>
      </c>
      <c r="N31" s="0" t="n">
        <v>1</v>
      </c>
      <c r="O31" s="0" t="n">
        <v>11</v>
      </c>
      <c r="P31" s="0" t="n">
        <v>12</v>
      </c>
    </row>
    <row r="32" customFormat="false" ht="15" hidden="false" customHeight="false" outlineLevel="0" collapsed="false">
      <c r="A32" s="0" t="n">
        <v>650</v>
      </c>
      <c r="B32" s="0" t="s">
        <v>113</v>
      </c>
      <c r="C32" s="0" t="n">
        <v>1</v>
      </c>
      <c r="D32" s="0" t="n">
        <v>0</v>
      </c>
      <c r="E32" s="0" t="n">
        <v>1</v>
      </c>
      <c r="F32" s="0" t="n">
        <v>9</v>
      </c>
      <c r="G32" s="0" t="b">
        <f aca="false">FALSE()</f>
        <v>0</v>
      </c>
      <c r="H32" s="0" t="n">
        <v>0</v>
      </c>
      <c r="I32" s="0" t="n">
        <v>2</v>
      </c>
      <c r="J32" s="0" t="n">
        <v>0.16</v>
      </c>
      <c r="K32" s="0" t="n">
        <v>0.2273</v>
      </c>
      <c r="L32" s="0" t="n">
        <v>0.8</v>
      </c>
      <c r="M32" s="0" t="n">
        <v>0</v>
      </c>
      <c r="N32" s="0" t="n">
        <v>4</v>
      </c>
      <c r="O32" s="0" t="n">
        <v>34</v>
      </c>
      <c r="P32" s="0" t="n">
        <v>38</v>
      </c>
    </row>
    <row r="33" customFormat="false" ht="15" hidden="false" customHeight="false" outlineLevel="0" collapsed="false">
      <c r="A33" s="0" t="n">
        <v>651</v>
      </c>
      <c r="B33" s="0" t="s">
        <v>113</v>
      </c>
      <c r="C33" s="0" t="n">
        <v>1</v>
      </c>
      <c r="D33" s="0" t="n">
        <v>0</v>
      </c>
      <c r="E33" s="0" t="n">
        <v>1</v>
      </c>
      <c r="F33" s="0" t="n">
        <v>10</v>
      </c>
      <c r="G33" s="0" t="b">
        <f aca="false">FALSE()</f>
        <v>0</v>
      </c>
      <c r="H33" s="0" t="n">
        <v>0</v>
      </c>
      <c r="I33" s="0" t="n">
        <v>2</v>
      </c>
      <c r="J33" s="0" t="n">
        <v>0.18</v>
      </c>
      <c r="K33" s="0" t="n">
        <v>0.2424</v>
      </c>
      <c r="L33" s="0" t="n">
        <v>0.8</v>
      </c>
      <c r="M33" s="0" t="n">
        <v>0</v>
      </c>
      <c r="N33" s="0" t="n">
        <v>7</v>
      </c>
      <c r="O33" s="0" t="n">
        <v>57</v>
      </c>
      <c r="P33" s="0" t="n">
        <v>64</v>
      </c>
    </row>
    <row r="34" customFormat="false" ht="15" hidden="false" customHeight="false" outlineLevel="0" collapsed="false">
      <c r="A34" s="0" t="n">
        <v>652</v>
      </c>
      <c r="B34" s="0" t="s">
        <v>113</v>
      </c>
      <c r="C34" s="0" t="n">
        <v>1</v>
      </c>
      <c r="D34" s="0" t="n">
        <v>0</v>
      </c>
      <c r="E34" s="0" t="n">
        <v>1</v>
      </c>
      <c r="F34" s="0" t="n">
        <v>11</v>
      </c>
      <c r="G34" s="0" t="b">
        <f aca="false">FALSE()</f>
        <v>0</v>
      </c>
      <c r="H34" s="0" t="n">
        <v>0</v>
      </c>
      <c r="I34" s="0" t="n">
        <v>1</v>
      </c>
      <c r="J34" s="0" t="n">
        <v>0.22</v>
      </c>
      <c r="K34" s="0" t="n">
        <v>0.2727</v>
      </c>
      <c r="L34" s="0" t="n">
        <v>0.75</v>
      </c>
      <c r="M34" s="0" t="n">
        <v>0</v>
      </c>
      <c r="N34" s="0" t="n">
        <v>9</v>
      </c>
      <c r="O34" s="0" t="n">
        <v>50</v>
      </c>
      <c r="P34" s="0" t="n">
        <v>59</v>
      </c>
    </row>
    <row r="35" customFormat="false" ht="15" hidden="false" customHeight="false" outlineLevel="0" collapsed="false">
      <c r="A35" s="0" t="n">
        <v>653</v>
      </c>
      <c r="B35" s="0" t="s">
        <v>113</v>
      </c>
      <c r="C35" s="0" t="n">
        <v>1</v>
      </c>
      <c r="D35" s="0" t="n">
        <v>0</v>
      </c>
      <c r="E35" s="0" t="n">
        <v>1</v>
      </c>
      <c r="F35" s="0" t="n">
        <v>12</v>
      </c>
      <c r="G35" s="0" t="b">
        <f aca="false">FALSE()</f>
        <v>0</v>
      </c>
      <c r="H35" s="0" t="n">
        <v>0</v>
      </c>
      <c r="I35" s="0" t="n">
        <v>1</v>
      </c>
      <c r="J35" s="0" t="n">
        <v>0.3</v>
      </c>
      <c r="K35" s="0" t="n">
        <v>0.3182</v>
      </c>
      <c r="L35" s="0" t="n">
        <v>0.52</v>
      </c>
      <c r="M35" s="0" t="n">
        <v>0.1045</v>
      </c>
      <c r="N35" s="0" t="n">
        <v>10</v>
      </c>
      <c r="O35" s="0" t="n">
        <v>87</v>
      </c>
      <c r="P35" s="0" t="n">
        <v>97</v>
      </c>
    </row>
    <row r="36" customFormat="false" ht="15" hidden="false" customHeight="false" outlineLevel="0" collapsed="false">
      <c r="A36" s="0" t="n">
        <v>654</v>
      </c>
      <c r="B36" s="0" t="s">
        <v>113</v>
      </c>
      <c r="C36" s="0" t="n">
        <v>1</v>
      </c>
      <c r="D36" s="0" t="n">
        <v>0</v>
      </c>
      <c r="E36" s="0" t="n">
        <v>1</v>
      </c>
      <c r="F36" s="0" t="n">
        <v>13</v>
      </c>
      <c r="G36" s="0" t="b">
        <f aca="false">FALSE()</f>
        <v>0</v>
      </c>
      <c r="H36" s="0" t="n">
        <v>0</v>
      </c>
      <c r="I36" s="0" t="n">
        <v>1</v>
      </c>
      <c r="J36" s="0" t="n">
        <v>0.28</v>
      </c>
      <c r="K36" s="0" t="n">
        <v>0.2879</v>
      </c>
      <c r="L36" s="0" t="n">
        <v>0.61</v>
      </c>
      <c r="M36" s="0" t="n">
        <v>0.1045</v>
      </c>
      <c r="N36" s="0" t="n">
        <v>13</v>
      </c>
      <c r="O36" s="0" t="n">
        <v>71</v>
      </c>
      <c r="P36" s="0" t="n">
        <v>84</v>
      </c>
    </row>
    <row r="37" customFormat="false" ht="15" hidden="false" customHeight="false" outlineLevel="0" collapsed="false">
      <c r="A37" s="0" t="n">
        <v>655</v>
      </c>
      <c r="B37" s="0" t="s">
        <v>113</v>
      </c>
      <c r="C37" s="0" t="n">
        <v>1</v>
      </c>
      <c r="D37" s="0" t="n">
        <v>0</v>
      </c>
      <c r="E37" s="0" t="n">
        <v>1</v>
      </c>
      <c r="F37" s="0" t="n">
        <v>14</v>
      </c>
      <c r="G37" s="0" t="b">
        <f aca="false">FALSE()</f>
        <v>0</v>
      </c>
      <c r="H37" s="0" t="n">
        <v>0</v>
      </c>
      <c r="I37" s="0" t="n">
        <v>1</v>
      </c>
      <c r="J37" s="0" t="n">
        <v>0.28</v>
      </c>
      <c r="K37" s="0" t="n">
        <v>0.303</v>
      </c>
      <c r="L37" s="0" t="n">
        <v>0.61</v>
      </c>
      <c r="M37" s="0" t="n">
        <v>0.0896</v>
      </c>
      <c r="N37" s="0" t="n">
        <v>18</v>
      </c>
      <c r="O37" s="0" t="n">
        <v>104</v>
      </c>
      <c r="P37" s="0" t="n">
        <v>122</v>
      </c>
    </row>
    <row r="38" customFormat="false" ht="15" hidden="false" customHeight="false" outlineLevel="0" collapsed="false">
      <c r="A38" s="0" t="n">
        <v>656</v>
      </c>
      <c r="B38" s="0" t="s">
        <v>113</v>
      </c>
      <c r="C38" s="0" t="n">
        <v>1</v>
      </c>
      <c r="D38" s="0" t="n">
        <v>0</v>
      </c>
      <c r="E38" s="0" t="n">
        <v>1</v>
      </c>
      <c r="F38" s="0" t="n">
        <v>15</v>
      </c>
      <c r="G38" s="0" t="b">
        <f aca="false">FALSE()</f>
        <v>0</v>
      </c>
      <c r="H38" s="0" t="n">
        <v>0</v>
      </c>
      <c r="I38" s="0" t="n">
        <v>1</v>
      </c>
      <c r="J38" s="0" t="n">
        <v>0.3</v>
      </c>
      <c r="K38" s="0" t="n">
        <v>0.3333</v>
      </c>
      <c r="L38" s="0" t="n">
        <v>0.56</v>
      </c>
      <c r="M38" s="0" t="n">
        <v>0</v>
      </c>
      <c r="N38" s="0" t="n">
        <v>14</v>
      </c>
      <c r="O38" s="0" t="n">
        <v>95</v>
      </c>
      <c r="P38" s="0" t="n">
        <v>109</v>
      </c>
    </row>
    <row r="39" customFormat="false" ht="15" hidden="false" customHeight="false" outlineLevel="0" collapsed="false">
      <c r="A39" s="0" t="n">
        <v>657</v>
      </c>
      <c r="B39" s="0" t="s">
        <v>113</v>
      </c>
      <c r="C39" s="0" t="n">
        <v>1</v>
      </c>
      <c r="D39" s="0" t="n">
        <v>0</v>
      </c>
      <c r="E39" s="0" t="n">
        <v>1</v>
      </c>
      <c r="F39" s="0" t="n">
        <v>16</v>
      </c>
      <c r="G39" s="0" t="b">
        <f aca="false">FALSE()</f>
        <v>0</v>
      </c>
      <c r="H39" s="0" t="n">
        <v>0</v>
      </c>
      <c r="I39" s="0" t="n">
        <v>1</v>
      </c>
      <c r="J39" s="0" t="n">
        <v>0.3</v>
      </c>
      <c r="K39" s="0" t="n">
        <v>0.3333</v>
      </c>
      <c r="L39" s="0" t="n">
        <v>0.56</v>
      </c>
      <c r="M39" s="0" t="n">
        <v>0</v>
      </c>
      <c r="N39" s="0" t="n">
        <v>19</v>
      </c>
      <c r="O39" s="0" t="n">
        <v>104</v>
      </c>
      <c r="P39" s="0" t="n">
        <v>123</v>
      </c>
    </row>
    <row r="40" customFormat="false" ht="15" hidden="false" customHeight="false" outlineLevel="0" collapsed="false">
      <c r="A40" s="0" t="n">
        <v>658</v>
      </c>
      <c r="B40" s="0" t="s">
        <v>113</v>
      </c>
      <c r="C40" s="0" t="n">
        <v>1</v>
      </c>
      <c r="D40" s="0" t="n">
        <v>0</v>
      </c>
      <c r="E40" s="0" t="n">
        <v>1</v>
      </c>
      <c r="F40" s="0" t="n">
        <v>17</v>
      </c>
      <c r="G40" s="0" t="b">
        <f aca="false">FALSE()</f>
        <v>0</v>
      </c>
      <c r="H40" s="0" t="n">
        <v>0</v>
      </c>
      <c r="I40" s="0" t="n">
        <v>1</v>
      </c>
      <c r="J40" s="0" t="n">
        <v>0.3</v>
      </c>
      <c r="K40" s="0" t="n">
        <v>0.2879</v>
      </c>
      <c r="L40" s="0" t="n">
        <v>0.56</v>
      </c>
      <c r="M40" s="0" t="n">
        <v>0.194</v>
      </c>
      <c r="N40" s="0" t="n">
        <v>6</v>
      </c>
      <c r="O40" s="0" t="n">
        <v>71</v>
      </c>
      <c r="P40" s="0" t="n">
        <v>77</v>
      </c>
    </row>
    <row r="41" customFormat="false" ht="15" hidden="false" customHeight="false" outlineLevel="0" collapsed="false">
      <c r="A41" s="0" t="n">
        <v>659</v>
      </c>
      <c r="B41" s="0" t="s">
        <v>113</v>
      </c>
      <c r="C41" s="0" t="n">
        <v>1</v>
      </c>
      <c r="D41" s="0" t="n">
        <v>0</v>
      </c>
      <c r="E41" s="0" t="n">
        <v>1</v>
      </c>
      <c r="F41" s="0" t="n">
        <v>18</v>
      </c>
      <c r="G41" s="0" t="b">
        <f aca="false">FALSE()</f>
        <v>0</v>
      </c>
      <c r="H41" s="0" t="n">
        <v>0</v>
      </c>
      <c r="I41" s="0" t="n">
        <v>1</v>
      </c>
      <c r="J41" s="0" t="n">
        <v>0.26</v>
      </c>
      <c r="K41" s="0" t="n">
        <v>0.2576</v>
      </c>
      <c r="L41" s="0" t="n">
        <v>0.65</v>
      </c>
      <c r="M41" s="0" t="n">
        <v>0.1642</v>
      </c>
      <c r="N41" s="0" t="n">
        <v>8</v>
      </c>
      <c r="O41" s="0" t="n">
        <v>57</v>
      </c>
      <c r="P41" s="0" t="n">
        <v>65</v>
      </c>
    </row>
    <row r="42" customFormat="false" ht="15" hidden="false" customHeight="false" outlineLevel="0" collapsed="false">
      <c r="A42" s="0" t="n">
        <v>660</v>
      </c>
      <c r="B42" s="0" t="s">
        <v>113</v>
      </c>
      <c r="C42" s="0" t="n">
        <v>1</v>
      </c>
      <c r="D42" s="0" t="n">
        <v>0</v>
      </c>
      <c r="E42" s="0" t="n">
        <v>1</v>
      </c>
      <c r="F42" s="0" t="n">
        <v>19</v>
      </c>
      <c r="G42" s="0" t="b">
        <f aca="false">FALSE()</f>
        <v>0</v>
      </c>
      <c r="H42" s="0" t="n">
        <v>0</v>
      </c>
      <c r="I42" s="0" t="n">
        <v>1</v>
      </c>
      <c r="J42" s="0" t="n">
        <v>0.26</v>
      </c>
      <c r="K42" s="0" t="n">
        <v>0.2576</v>
      </c>
      <c r="L42" s="0" t="n">
        <v>0.65</v>
      </c>
      <c r="M42" s="0" t="n">
        <v>0.194</v>
      </c>
      <c r="N42" s="0" t="n">
        <v>9</v>
      </c>
      <c r="O42" s="0" t="n">
        <v>46</v>
      </c>
      <c r="P42" s="0" t="n">
        <v>55</v>
      </c>
    </row>
    <row r="43" customFormat="false" ht="15" hidden="false" customHeight="false" outlineLevel="0" collapsed="false">
      <c r="A43" s="0" t="n">
        <v>661</v>
      </c>
      <c r="B43" s="0" t="s">
        <v>113</v>
      </c>
      <c r="C43" s="0" t="n">
        <v>1</v>
      </c>
      <c r="D43" s="0" t="n">
        <v>0</v>
      </c>
      <c r="E43" s="0" t="n">
        <v>1</v>
      </c>
      <c r="F43" s="0" t="n">
        <v>20</v>
      </c>
      <c r="G43" s="0" t="b">
        <f aca="false">FALSE()</f>
        <v>0</v>
      </c>
      <c r="H43" s="0" t="n">
        <v>0</v>
      </c>
      <c r="I43" s="0" t="n">
        <v>2</v>
      </c>
      <c r="J43" s="0" t="n">
        <v>0.26</v>
      </c>
      <c r="K43" s="0" t="n">
        <v>0.2727</v>
      </c>
      <c r="L43" s="0" t="n">
        <v>0.65</v>
      </c>
      <c r="M43" s="0" t="n">
        <v>0.1045</v>
      </c>
      <c r="N43" s="0" t="n">
        <v>3</v>
      </c>
      <c r="O43" s="0" t="n">
        <v>30</v>
      </c>
      <c r="P43" s="0" t="n">
        <v>33</v>
      </c>
    </row>
    <row r="44" customFormat="false" ht="15" hidden="false" customHeight="false" outlineLevel="0" collapsed="false">
      <c r="A44" s="0" t="n">
        <v>662</v>
      </c>
      <c r="B44" s="0" t="s">
        <v>113</v>
      </c>
      <c r="C44" s="0" t="n">
        <v>1</v>
      </c>
      <c r="D44" s="0" t="n">
        <v>0</v>
      </c>
      <c r="E44" s="0" t="n">
        <v>1</v>
      </c>
      <c r="F44" s="0" t="n">
        <v>21</v>
      </c>
      <c r="G44" s="0" t="b">
        <f aca="false">FALSE()</f>
        <v>0</v>
      </c>
      <c r="H44" s="0" t="n">
        <v>0</v>
      </c>
      <c r="I44" s="0" t="n">
        <v>2</v>
      </c>
      <c r="J44" s="0" t="n">
        <v>0.24</v>
      </c>
      <c r="K44" s="0" t="n">
        <v>0.2424</v>
      </c>
      <c r="L44" s="0" t="n">
        <v>0.7</v>
      </c>
      <c r="M44" s="0" t="n">
        <v>0.1642</v>
      </c>
      <c r="N44" s="0" t="n">
        <v>3</v>
      </c>
      <c r="O44" s="0" t="n">
        <v>25</v>
      </c>
      <c r="P44" s="0" t="n">
        <v>28</v>
      </c>
    </row>
    <row r="45" customFormat="false" ht="15" hidden="false" customHeight="false" outlineLevel="0" collapsed="false">
      <c r="A45" s="0" t="n">
        <v>663</v>
      </c>
      <c r="B45" s="0" t="s">
        <v>113</v>
      </c>
      <c r="C45" s="0" t="n">
        <v>1</v>
      </c>
      <c r="D45" s="0" t="n">
        <v>0</v>
      </c>
      <c r="E45" s="0" t="n">
        <v>1</v>
      </c>
      <c r="F45" s="0" t="n">
        <v>22</v>
      </c>
      <c r="G45" s="0" t="b">
        <f aca="false">FALSE()</f>
        <v>0</v>
      </c>
      <c r="H45" s="0" t="n">
        <v>0</v>
      </c>
      <c r="I45" s="0" t="n">
        <v>2</v>
      </c>
      <c r="J45" s="0" t="n">
        <v>0.24</v>
      </c>
      <c r="K45" s="0" t="n">
        <v>0.2273</v>
      </c>
      <c r="L45" s="0" t="n">
        <v>0.7</v>
      </c>
      <c r="M45" s="0" t="n">
        <v>0.194</v>
      </c>
      <c r="N45" s="0" t="n">
        <v>2</v>
      </c>
      <c r="O45" s="0" t="n">
        <v>19</v>
      </c>
      <c r="P45" s="0" t="n">
        <v>21</v>
      </c>
    </row>
    <row r="46" customFormat="false" ht="15" hidden="false" customHeight="false" outlineLevel="0" collapsed="false">
      <c r="A46" s="0" t="n">
        <v>664</v>
      </c>
      <c r="B46" s="0" t="s">
        <v>113</v>
      </c>
      <c r="C46" s="0" t="n">
        <v>1</v>
      </c>
      <c r="D46" s="0" t="n">
        <v>0</v>
      </c>
      <c r="E46" s="0" t="n">
        <v>1</v>
      </c>
      <c r="F46" s="0" t="n">
        <v>23</v>
      </c>
      <c r="G46" s="0" t="b">
        <f aca="false">FALSE()</f>
        <v>0</v>
      </c>
      <c r="H46" s="0" t="n">
        <v>0</v>
      </c>
      <c r="I46" s="0" t="n">
        <v>2</v>
      </c>
      <c r="J46" s="0" t="n">
        <v>0.24</v>
      </c>
      <c r="K46" s="0" t="n">
        <v>0.2121</v>
      </c>
      <c r="L46" s="0" t="n">
        <v>0.65</v>
      </c>
      <c r="M46" s="0" t="n">
        <v>0.2836</v>
      </c>
      <c r="N46" s="0" t="n">
        <v>5</v>
      </c>
      <c r="O46" s="0" t="n">
        <v>16</v>
      </c>
      <c r="P46" s="0" t="n">
        <v>21</v>
      </c>
    </row>
    <row r="47" customFormat="false" ht="15" hidden="false" customHeight="false" outlineLevel="0" collapsed="false">
      <c r="A47" s="0" t="n">
        <v>665</v>
      </c>
      <c r="B47" s="0" t="s">
        <v>114</v>
      </c>
      <c r="C47" s="0" t="n">
        <v>1</v>
      </c>
      <c r="D47" s="0" t="n">
        <v>0</v>
      </c>
      <c r="E47" s="0" t="n">
        <v>1</v>
      </c>
      <c r="F47" s="0" t="n">
        <v>0</v>
      </c>
      <c r="G47" s="0" t="b">
        <f aca="false">FALSE()</f>
        <v>0</v>
      </c>
      <c r="H47" s="0" t="n">
        <v>1</v>
      </c>
      <c r="I47" s="0" t="n">
        <v>2</v>
      </c>
      <c r="J47" s="0" t="n">
        <v>0.24</v>
      </c>
      <c r="K47" s="0" t="n">
        <v>0.2273</v>
      </c>
      <c r="L47" s="0" t="n">
        <v>0.65</v>
      </c>
      <c r="M47" s="0" t="n">
        <v>0.2239</v>
      </c>
      <c r="N47" s="0" t="n">
        <v>1</v>
      </c>
      <c r="O47" s="0" t="n">
        <v>6</v>
      </c>
      <c r="P47" s="0" t="n">
        <v>7</v>
      </c>
    </row>
    <row r="48" customFormat="false" ht="15" hidden="false" customHeight="false" outlineLevel="0" collapsed="false">
      <c r="A48" s="0" t="n">
        <v>666</v>
      </c>
      <c r="B48" s="0" t="s">
        <v>114</v>
      </c>
      <c r="C48" s="0" t="n">
        <v>1</v>
      </c>
      <c r="D48" s="0" t="n">
        <v>0</v>
      </c>
      <c r="E48" s="0" t="n">
        <v>1</v>
      </c>
      <c r="F48" s="0" t="n">
        <v>1</v>
      </c>
      <c r="G48" s="0" t="b">
        <f aca="false">FALSE()</f>
        <v>0</v>
      </c>
      <c r="H48" s="0" t="n">
        <v>1</v>
      </c>
      <c r="I48" s="0" t="n">
        <v>1</v>
      </c>
      <c r="J48" s="0" t="n">
        <v>0.22</v>
      </c>
      <c r="K48" s="0" t="n">
        <v>0.2121</v>
      </c>
      <c r="L48" s="0" t="n">
        <v>0.64</v>
      </c>
      <c r="M48" s="0" t="n">
        <v>0.2537</v>
      </c>
      <c r="N48" s="0" t="n">
        <v>2</v>
      </c>
      <c r="O48" s="0" t="n">
        <v>5</v>
      </c>
      <c r="P48" s="0" t="n">
        <v>7</v>
      </c>
    </row>
    <row r="49" customFormat="false" ht="15" hidden="false" customHeight="false" outlineLevel="0" collapsed="false">
      <c r="A49" s="0" t="n">
        <v>667</v>
      </c>
      <c r="B49" s="0" t="s">
        <v>114</v>
      </c>
      <c r="C49" s="0" t="n">
        <v>1</v>
      </c>
      <c r="D49" s="0" t="n">
        <v>0</v>
      </c>
      <c r="E49" s="0" t="n">
        <v>1</v>
      </c>
      <c r="F49" s="0" t="n">
        <v>2</v>
      </c>
      <c r="G49" s="0" t="b">
        <f aca="false">FALSE()</f>
        <v>0</v>
      </c>
      <c r="H49" s="0" t="n">
        <v>1</v>
      </c>
      <c r="I49" s="0" t="n">
        <v>1</v>
      </c>
      <c r="J49" s="0" t="n">
        <v>0.22</v>
      </c>
      <c r="K49" s="0" t="n">
        <v>0.2273</v>
      </c>
      <c r="L49" s="0" t="n">
        <v>0.64</v>
      </c>
      <c r="M49" s="0" t="n">
        <v>0.194</v>
      </c>
      <c r="N49" s="0" t="n">
        <v>0</v>
      </c>
      <c r="O49" s="0" t="n">
        <v>1</v>
      </c>
      <c r="P49" s="0" t="n">
        <v>1</v>
      </c>
    </row>
    <row r="50" customFormat="false" ht="15" hidden="false" customHeight="false" outlineLevel="0" collapsed="false">
      <c r="A50" s="0" t="n">
        <v>668</v>
      </c>
      <c r="B50" s="0" t="s">
        <v>114</v>
      </c>
      <c r="C50" s="0" t="n">
        <v>1</v>
      </c>
      <c r="D50" s="0" t="n">
        <v>0</v>
      </c>
      <c r="E50" s="0" t="n">
        <v>1</v>
      </c>
      <c r="F50" s="0" t="n">
        <v>3</v>
      </c>
      <c r="G50" s="0" t="b">
        <f aca="false">FALSE()</f>
        <v>0</v>
      </c>
      <c r="H50" s="0" t="n">
        <v>1</v>
      </c>
      <c r="I50" s="0" t="n">
        <v>1</v>
      </c>
      <c r="J50" s="0" t="n">
        <v>0.22</v>
      </c>
      <c r="K50" s="0" t="n">
        <v>0.2273</v>
      </c>
      <c r="L50" s="0" t="n">
        <v>0.64</v>
      </c>
      <c r="M50" s="0" t="n">
        <v>0.194</v>
      </c>
      <c r="N50" s="0" t="n">
        <v>0</v>
      </c>
      <c r="O50" s="0" t="n">
        <v>2</v>
      </c>
      <c r="P50" s="0" t="n">
        <v>2</v>
      </c>
    </row>
    <row r="51" customFormat="false" ht="15" hidden="false" customHeight="false" outlineLevel="0" collapsed="false">
      <c r="A51" s="0" t="n">
        <v>669</v>
      </c>
      <c r="B51" s="0" t="s">
        <v>114</v>
      </c>
      <c r="C51" s="0" t="n">
        <v>1</v>
      </c>
      <c r="D51" s="0" t="n">
        <v>0</v>
      </c>
      <c r="E51" s="0" t="n">
        <v>1</v>
      </c>
      <c r="F51" s="0" t="n">
        <v>4</v>
      </c>
      <c r="G51" s="0" t="b">
        <f aca="false">FALSE()</f>
        <v>0</v>
      </c>
      <c r="H51" s="0" t="n">
        <v>1</v>
      </c>
      <c r="I51" s="0" t="n">
        <v>1</v>
      </c>
      <c r="J51" s="0" t="n">
        <v>0.2</v>
      </c>
      <c r="K51" s="0" t="n">
        <v>0.197</v>
      </c>
      <c r="L51" s="0" t="n">
        <v>0.59</v>
      </c>
      <c r="M51" s="0" t="n">
        <v>0.2239</v>
      </c>
      <c r="N51" s="0" t="n">
        <v>0</v>
      </c>
      <c r="O51" s="0" t="n">
        <v>2</v>
      </c>
      <c r="P51" s="0" t="n">
        <v>2</v>
      </c>
    </row>
    <row r="52" customFormat="false" ht="15" hidden="false" customHeight="false" outlineLevel="0" collapsed="false">
      <c r="A52" s="0" t="n">
        <v>670</v>
      </c>
      <c r="B52" s="0" t="s">
        <v>114</v>
      </c>
      <c r="C52" s="0" t="n">
        <v>1</v>
      </c>
      <c r="D52" s="0" t="n">
        <v>0</v>
      </c>
      <c r="E52" s="0" t="n">
        <v>1</v>
      </c>
      <c r="F52" s="0" t="n">
        <v>5</v>
      </c>
      <c r="G52" s="0" t="b">
        <f aca="false">FALSE()</f>
        <v>0</v>
      </c>
      <c r="H52" s="0" t="n">
        <v>1</v>
      </c>
      <c r="I52" s="0" t="n">
        <v>1</v>
      </c>
      <c r="J52" s="0" t="n">
        <v>0.18</v>
      </c>
      <c r="K52" s="0" t="n">
        <v>0.1667</v>
      </c>
      <c r="L52" s="0" t="n">
        <v>0.64</v>
      </c>
      <c r="M52" s="0" t="n">
        <v>0.2836</v>
      </c>
      <c r="N52" s="0" t="n">
        <v>0</v>
      </c>
      <c r="O52" s="0" t="n">
        <v>8</v>
      </c>
      <c r="P52" s="0" t="n">
        <v>8</v>
      </c>
    </row>
    <row r="53" customFormat="false" ht="15" hidden="false" customHeight="false" outlineLevel="0" collapsed="false">
      <c r="A53" s="0" t="n">
        <v>671</v>
      </c>
      <c r="B53" s="0" t="s">
        <v>114</v>
      </c>
      <c r="C53" s="0" t="n">
        <v>1</v>
      </c>
      <c r="D53" s="0" t="n">
        <v>0</v>
      </c>
      <c r="E53" s="0" t="n">
        <v>1</v>
      </c>
      <c r="F53" s="0" t="n">
        <v>6</v>
      </c>
      <c r="G53" s="0" t="b">
        <f aca="false">FALSE()</f>
        <v>0</v>
      </c>
      <c r="H53" s="0" t="n">
        <v>1</v>
      </c>
      <c r="I53" s="0" t="n">
        <v>1</v>
      </c>
      <c r="J53" s="0" t="n">
        <v>0.16</v>
      </c>
      <c r="K53" s="0" t="n">
        <v>0.1364</v>
      </c>
      <c r="L53" s="0" t="n">
        <v>0.69</v>
      </c>
      <c r="M53" s="0" t="n">
        <v>0.3284</v>
      </c>
      <c r="N53" s="0" t="n">
        <v>0</v>
      </c>
      <c r="O53" s="0" t="n">
        <v>37</v>
      </c>
      <c r="P53" s="0" t="n">
        <v>37</v>
      </c>
    </row>
    <row r="54" customFormat="false" ht="15" hidden="false" customHeight="false" outlineLevel="0" collapsed="false">
      <c r="A54" s="0" t="n">
        <v>672</v>
      </c>
      <c r="B54" s="0" t="s">
        <v>114</v>
      </c>
      <c r="C54" s="0" t="n">
        <v>1</v>
      </c>
      <c r="D54" s="0" t="n">
        <v>0</v>
      </c>
      <c r="E54" s="0" t="n">
        <v>1</v>
      </c>
      <c r="F54" s="0" t="n">
        <v>7</v>
      </c>
      <c r="G54" s="0" t="b">
        <f aca="false">FALSE()</f>
        <v>0</v>
      </c>
      <c r="H54" s="0" t="n">
        <v>1</v>
      </c>
      <c r="I54" s="0" t="n">
        <v>2</v>
      </c>
      <c r="J54" s="0" t="n">
        <v>0.16</v>
      </c>
      <c r="K54" s="0" t="n">
        <v>0.1364</v>
      </c>
      <c r="L54" s="0" t="n">
        <v>0.64</v>
      </c>
      <c r="M54" s="0" t="n">
        <v>0.2836</v>
      </c>
      <c r="N54" s="0" t="n">
        <v>1</v>
      </c>
      <c r="O54" s="0" t="n">
        <v>71</v>
      </c>
      <c r="P54" s="0" t="n">
        <v>72</v>
      </c>
    </row>
    <row r="55" customFormat="false" ht="15" hidden="false" customHeight="false" outlineLevel="0" collapsed="false">
      <c r="A55" s="0" t="n">
        <v>673</v>
      </c>
      <c r="B55" s="0" t="s">
        <v>114</v>
      </c>
      <c r="C55" s="0" t="n">
        <v>1</v>
      </c>
      <c r="D55" s="0" t="n">
        <v>0</v>
      </c>
      <c r="E55" s="0" t="n">
        <v>1</v>
      </c>
      <c r="F55" s="0" t="n">
        <v>8</v>
      </c>
      <c r="G55" s="0" t="b">
        <f aca="false">FALSE()</f>
        <v>0</v>
      </c>
      <c r="H55" s="0" t="n">
        <v>1</v>
      </c>
      <c r="I55" s="0" t="n">
        <v>2</v>
      </c>
      <c r="J55" s="0" t="n">
        <v>0.16</v>
      </c>
      <c r="K55" s="0" t="n">
        <v>0.1364</v>
      </c>
      <c r="L55" s="0" t="n">
        <v>0.59</v>
      </c>
      <c r="M55" s="0" t="n">
        <v>0.2836</v>
      </c>
      <c r="N55" s="0" t="n">
        <v>3</v>
      </c>
      <c r="O55" s="0" t="n">
        <v>182</v>
      </c>
      <c r="P55" s="0" t="n">
        <v>185</v>
      </c>
    </row>
    <row r="56" customFormat="false" ht="15" hidden="false" customHeight="false" outlineLevel="0" collapsed="false">
      <c r="A56" s="0" t="n">
        <v>674</v>
      </c>
      <c r="B56" s="0" t="s">
        <v>114</v>
      </c>
      <c r="C56" s="0" t="n">
        <v>1</v>
      </c>
      <c r="D56" s="0" t="n">
        <v>0</v>
      </c>
      <c r="E56" s="0" t="n">
        <v>1</v>
      </c>
      <c r="F56" s="0" t="n">
        <v>9</v>
      </c>
      <c r="G56" s="0" t="b">
        <f aca="false">FALSE()</f>
        <v>0</v>
      </c>
      <c r="H56" s="0" t="n">
        <v>1</v>
      </c>
      <c r="I56" s="0" t="n">
        <v>2</v>
      </c>
      <c r="J56" s="0" t="n">
        <v>0.16</v>
      </c>
      <c r="K56" s="0" t="n">
        <v>0.1364</v>
      </c>
      <c r="L56" s="0" t="n">
        <v>0.59</v>
      </c>
      <c r="M56" s="0" t="n">
        <v>0.2985</v>
      </c>
      <c r="N56" s="0" t="n">
        <v>0</v>
      </c>
      <c r="O56" s="0" t="n">
        <v>112</v>
      </c>
      <c r="P56" s="0" t="n">
        <v>112</v>
      </c>
    </row>
    <row r="57" customFormat="false" ht="15" hidden="false" customHeight="false" outlineLevel="0" collapsed="false">
      <c r="A57" s="0" t="n">
        <v>675</v>
      </c>
      <c r="B57" s="0" t="s">
        <v>114</v>
      </c>
      <c r="C57" s="0" t="n">
        <v>1</v>
      </c>
      <c r="D57" s="0" t="n">
        <v>0</v>
      </c>
      <c r="E57" s="0" t="n">
        <v>1</v>
      </c>
      <c r="F57" s="0" t="n">
        <v>10</v>
      </c>
      <c r="G57" s="0" t="b">
        <f aca="false">FALSE()</f>
        <v>0</v>
      </c>
      <c r="H57" s="0" t="n">
        <v>1</v>
      </c>
      <c r="I57" s="0" t="n">
        <v>2</v>
      </c>
      <c r="J57" s="0" t="n">
        <v>0.16</v>
      </c>
      <c r="K57" s="0" t="n">
        <v>0.1515</v>
      </c>
      <c r="L57" s="0" t="n">
        <v>0.59</v>
      </c>
      <c r="M57" s="0" t="n">
        <v>0.194</v>
      </c>
      <c r="N57" s="0" t="n">
        <v>1</v>
      </c>
      <c r="O57" s="0" t="n">
        <v>68</v>
      </c>
      <c r="P57" s="0" t="n">
        <v>69</v>
      </c>
    </row>
    <row r="58" customFormat="false" ht="15" hidden="false" customHeight="false" outlineLevel="0" collapsed="false">
      <c r="A58" s="0" t="n">
        <v>676</v>
      </c>
      <c r="B58" s="0" t="s">
        <v>114</v>
      </c>
      <c r="C58" s="0" t="n">
        <v>1</v>
      </c>
      <c r="D58" s="0" t="n">
        <v>0</v>
      </c>
      <c r="E58" s="0" t="n">
        <v>1</v>
      </c>
      <c r="F58" s="0" t="n">
        <v>11</v>
      </c>
      <c r="G58" s="0" t="b">
        <f aca="false">FALSE()</f>
        <v>0</v>
      </c>
      <c r="H58" s="0" t="n">
        <v>1</v>
      </c>
      <c r="I58" s="0" t="n">
        <v>2</v>
      </c>
      <c r="J58" s="0" t="n">
        <v>0.16</v>
      </c>
      <c r="K58" s="0" t="n">
        <v>0.1515</v>
      </c>
      <c r="L58" s="0" t="n">
        <v>0.59</v>
      </c>
      <c r="M58" s="0" t="n">
        <v>0.194</v>
      </c>
      <c r="N58" s="0" t="n">
        <v>2</v>
      </c>
      <c r="O58" s="0" t="n">
        <v>46</v>
      </c>
      <c r="P58" s="0" t="n">
        <v>48</v>
      </c>
    </row>
    <row r="59" customFormat="false" ht="15" hidden="false" customHeight="false" outlineLevel="0" collapsed="false">
      <c r="A59" s="0" t="n">
        <v>677</v>
      </c>
      <c r="B59" s="0" t="s">
        <v>114</v>
      </c>
      <c r="C59" s="0" t="n">
        <v>1</v>
      </c>
      <c r="D59" s="0" t="n">
        <v>0</v>
      </c>
      <c r="E59" s="0" t="n">
        <v>1</v>
      </c>
      <c r="F59" s="0" t="n">
        <v>12</v>
      </c>
      <c r="G59" s="0" t="b">
        <f aca="false">FALSE()</f>
        <v>0</v>
      </c>
      <c r="H59" s="0" t="n">
        <v>1</v>
      </c>
      <c r="I59" s="0" t="n">
        <v>2</v>
      </c>
      <c r="J59" s="0" t="n">
        <v>0.18</v>
      </c>
      <c r="K59" s="0" t="n">
        <v>0.2121</v>
      </c>
      <c r="L59" s="0" t="n">
        <v>0.55</v>
      </c>
      <c r="M59" s="0" t="n">
        <v>0.1045</v>
      </c>
      <c r="N59" s="0" t="n">
        <v>6</v>
      </c>
      <c r="O59" s="0" t="n">
        <v>62</v>
      </c>
      <c r="P59" s="0" t="n">
        <v>68</v>
      </c>
    </row>
    <row r="60" customFormat="false" ht="15" hidden="false" customHeight="false" outlineLevel="0" collapsed="false">
      <c r="A60" s="0" t="n">
        <v>678</v>
      </c>
      <c r="B60" s="0" t="s">
        <v>114</v>
      </c>
      <c r="C60" s="0" t="n">
        <v>1</v>
      </c>
      <c r="D60" s="0" t="n">
        <v>0</v>
      </c>
      <c r="E60" s="0" t="n">
        <v>1</v>
      </c>
      <c r="F60" s="0" t="n">
        <v>13</v>
      </c>
      <c r="G60" s="0" t="b">
        <f aca="false">FALSE()</f>
        <v>0</v>
      </c>
      <c r="H60" s="0" t="n">
        <v>1</v>
      </c>
      <c r="I60" s="0" t="n">
        <v>2</v>
      </c>
      <c r="J60" s="0" t="n">
        <v>0.16</v>
      </c>
      <c r="K60" s="0" t="n">
        <v>0.2273</v>
      </c>
      <c r="L60" s="0" t="n">
        <v>0.59</v>
      </c>
      <c r="M60" s="0" t="n">
        <v>0</v>
      </c>
      <c r="N60" s="0" t="n">
        <v>2</v>
      </c>
      <c r="O60" s="0" t="n">
        <v>52</v>
      </c>
      <c r="P60" s="0" t="n">
        <v>54</v>
      </c>
    </row>
    <row r="61" customFormat="false" ht="15" hidden="false" customHeight="false" outlineLevel="0" collapsed="false">
      <c r="A61" s="0" t="n">
        <v>679</v>
      </c>
      <c r="B61" s="0" t="s">
        <v>114</v>
      </c>
      <c r="C61" s="0" t="n">
        <v>1</v>
      </c>
      <c r="D61" s="0" t="n">
        <v>0</v>
      </c>
      <c r="E61" s="0" t="n">
        <v>1</v>
      </c>
      <c r="F61" s="0" t="n">
        <v>14</v>
      </c>
      <c r="G61" s="0" t="b">
        <f aca="false">FALSE()</f>
        <v>0</v>
      </c>
      <c r="H61" s="0" t="n">
        <v>1</v>
      </c>
      <c r="I61" s="0" t="n">
        <v>2</v>
      </c>
      <c r="J61" s="0" t="n">
        <v>0.18</v>
      </c>
      <c r="K61" s="0" t="n">
        <v>0.197</v>
      </c>
      <c r="L61" s="0" t="n">
        <v>0.55</v>
      </c>
      <c r="M61" s="0" t="n">
        <v>0.1343</v>
      </c>
      <c r="N61" s="0" t="n">
        <v>1</v>
      </c>
      <c r="O61" s="0" t="n">
        <v>85</v>
      </c>
      <c r="P61" s="0" t="n">
        <v>86</v>
      </c>
    </row>
    <row r="62" customFormat="false" ht="15" hidden="false" customHeight="false" outlineLevel="0" collapsed="false">
      <c r="A62" s="0" t="n">
        <v>680</v>
      </c>
      <c r="B62" s="0" t="s">
        <v>114</v>
      </c>
      <c r="C62" s="0" t="n">
        <v>1</v>
      </c>
      <c r="D62" s="0" t="n">
        <v>0</v>
      </c>
      <c r="E62" s="0" t="n">
        <v>1</v>
      </c>
      <c r="F62" s="0" t="n">
        <v>15</v>
      </c>
      <c r="G62" s="0" t="b">
        <f aca="false">FALSE()</f>
        <v>0</v>
      </c>
      <c r="H62" s="0" t="n">
        <v>1</v>
      </c>
      <c r="I62" s="0" t="n">
        <v>2</v>
      </c>
      <c r="J62" s="0" t="n">
        <v>0.16</v>
      </c>
      <c r="K62" s="0" t="n">
        <v>0.1818</v>
      </c>
      <c r="L62" s="0" t="n">
        <v>0.59</v>
      </c>
      <c r="M62" s="0" t="n">
        <v>0.1343</v>
      </c>
      <c r="N62" s="0" t="n">
        <v>3</v>
      </c>
      <c r="O62" s="0" t="n">
        <v>41</v>
      </c>
      <c r="P62" s="0" t="n">
        <v>44</v>
      </c>
    </row>
    <row r="63" customFormat="false" ht="15" hidden="false" customHeight="false" outlineLevel="0" collapsed="false">
      <c r="A63" s="0" t="n">
        <v>681</v>
      </c>
      <c r="B63" s="0" t="s">
        <v>114</v>
      </c>
      <c r="C63" s="0" t="n">
        <v>1</v>
      </c>
      <c r="D63" s="0" t="n">
        <v>0</v>
      </c>
      <c r="E63" s="0" t="n">
        <v>1</v>
      </c>
      <c r="F63" s="0" t="n">
        <v>16</v>
      </c>
      <c r="G63" s="0" t="b">
        <f aca="false">FALSE()</f>
        <v>0</v>
      </c>
      <c r="H63" s="0" t="n">
        <v>1</v>
      </c>
      <c r="I63" s="0" t="n">
        <v>2</v>
      </c>
      <c r="J63" s="0" t="n">
        <v>0.16</v>
      </c>
      <c r="K63" s="0" t="n">
        <v>0.1818</v>
      </c>
      <c r="L63" s="0" t="n">
        <v>0.56</v>
      </c>
      <c r="M63" s="0" t="n">
        <v>0.194</v>
      </c>
      <c r="N63" s="0" t="n">
        <v>3</v>
      </c>
      <c r="O63" s="0" t="n">
        <v>83</v>
      </c>
      <c r="P63" s="0" t="n">
        <v>86</v>
      </c>
    </row>
    <row r="64" customFormat="false" ht="15" hidden="false" customHeight="false" outlineLevel="0" collapsed="false">
      <c r="A64" s="0" t="n">
        <v>682</v>
      </c>
      <c r="B64" s="0" t="s">
        <v>114</v>
      </c>
      <c r="C64" s="0" t="n">
        <v>1</v>
      </c>
      <c r="D64" s="0" t="n">
        <v>0</v>
      </c>
      <c r="E64" s="0" t="n">
        <v>1</v>
      </c>
      <c r="F64" s="0" t="n">
        <v>17</v>
      </c>
      <c r="G64" s="0" t="b">
        <f aca="false">FALSE()</f>
        <v>0</v>
      </c>
      <c r="H64" s="0" t="n">
        <v>1</v>
      </c>
      <c r="I64" s="0" t="n">
        <v>2</v>
      </c>
      <c r="J64" s="0" t="n">
        <v>0.16</v>
      </c>
      <c r="K64" s="0" t="n">
        <v>0.1515</v>
      </c>
      <c r="L64" s="0" t="n">
        <v>0.59</v>
      </c>
      <c r="M64" s="0" t="n">
        <v>0.194</v>
      </c>
      <c r="N64" s="0" t="n">
        <v>6</v>
      </c>
      <c r="O64" s="0" t="n">
        <v>155</v>
      </c>
      <c r="P64" s="0" t="n">
        <v>161</v>
      </c>
    </row>
    <row r="65" customFormat="false" ht="15" hidden="false" customHeight="false" outlineLevel="0" collapsed="false">
      <c r="A65" s="0" t="n">
        <v>683</v>
      </c>
      <c r="B65" s="0" t="s">
        <v>114</v>
      </c>
      <c r="C65" s="0" t="n">
        <v>1</v>
      </c>
      <c r="D65" s="0" t="n">
        <v>0</v>
      </c>
      <c r="E65" s="0" t="n">
        <v>1</v>
      </c>
      <c r="F65" s="0" t="n">
        <v>18</v>
      </c>
      <c r="G65" s="0" t="b">
        <f aca="false">FALSE()</f>
        <v>0</v>
      </c>
      <c r="H65" s="0" t="n">
        <v>1</v>
      </c>
      <c r="I65" s="0" t="n">
        <v>2</v>
      </c>
      <c r="J65" s="0" t="n">
        <v>0.16</v>
      </c>
      <c r="K65" s="0" t="n">
        <v>0.1515</v>
      </c>
      <c r="L65" s="0" t="n">
        <v>0.55</v>
      </c>
      <c r="M65" s="0" t="n">
        <v>0.2239</v>
      </c>
      <c r="N65" s="0" t="n">
        <v>3</v>
      </c>
      <c r="O65" s="0" t="n">
        <v>153</v>
      </c>
      <c r="P65" s="0" t="n">
        <v>156</v>
      </c>
    </row>
    <row r="66" customFormat="false" ht="15" hidden="false" customHeight="false" outlineLevel="0" collapsed="false">
      <c r="A66" s="0" t="n">
        <v>684</v>
      </c>
      <c r="B66" s="0" t="s">
        <v>114</v>
      </c>
      <c r="C66" s="0" t="n">
        <v>1</v>
      </c>
      <c r="D66" s="0" t="n">
        <v>0</v>
      </c>
      <c r="E66" s="0" t="n">
        <v>1</v>
      </c>
      <c r="F66" s="0" t="n">
        <v>19</v>
      </c>
      <c r="G66" s="0" t="b">
        <f aca="false">FALSE()</f>
        <v>0</v>
      </c>
      <c r="H66" s="0" t="n">
        <v>1</v>
      </c>
      <c r="I66" s="0" t="n">
        <v>1</v>
      </c>
      <c r="J66" s="0" t="n">
        <v>0.3</v>
      </c>
      <c r="K66" s="0" t="n">
        <v>0.3182</v>
      </c>
      <c r="L66" s="0" t="n">
        <v>0.61</v>
      </c>
      <c r="M66" s="0" t="n">
        <v>0.1045</v>
      </c>
      <c r="N66" s="0" t="n">
        <v>3</v>
      </c>
      <c r="O66" s="0" t="n">
        <v>108</v>
      </c>
      <c r="P66" s="0" t="n">
        <v>111</v>
      </c>
    </row>
    <row r="67" customFormat="false" ht="15" hidden="false" customHeight="false" outlineLevel="0" collapsed="false">
      <c r="A67" s="0" t="n">
        <v>685</v>
      </c>
      <c r="B67" s="0" t="s">
        <v>114</v>
      </c>
      <c r="C67" s="0" t="n">
        <v>1</v>
      </c>
      <c r="D67" s="0" t="n">
        <v>0</v>
      </c>
      <c r="E67" s="0" t="n">
        <v>1</v>
      </c>
      <c r="F67" s="0" t="n">
        <v>20</v>
      </c>
      <c r="G67" s="0" t="b">
        <f aca="false">FALSE()</f>
        <v>0</v>
      </c>
      <c r="H67" s="0" t="n">
        <v>1</v>
      </c>
      <c r="I67" s="0" t="n">
        <v>3</v>
      </c>
      <c r="J67" s="0" t="n">
        <v>0.16</v>
      </c>
      <c r="K67" s="0" t="n">
        <v>0.1667</v>
      </c>
      <c r="L67" s="0" t="n">
        <v>0.59</v>
      </c>
      <c r="M67" s="0" t="n">
        <v>0.1642</v>
      </c>
      <c r="N67" s="0" t="n">
        <v>0</v>
      </c>
      <c r="O67" s="0" t="n">
        <v>78</v>
      </c>
      <c r="P67" s="0" t="n">
        <v>78</v>
      </c>
    </row>
    <row r="68" customFormat="false" ht="15" hidden="false" customHeight="false" outlineLevel="0" collapsed="false">
      <c r="A68" s="0" t="n">
        <v>686</v>
      </c>
      <c r="B68" s="0" t="s">
        <v>114</v>
      </c>
      <c r="C68" s="0" t="n">
        <v>1</v>
      </c>
      <c r="D68" s="0" t="n">
        <v>0</v>
      </c>
      <c r="E68" s="0" t="n">
        <v>1</v>
      </c>
      <c r="F68" s="0" t="n">
        <v>21</v>
      </c>
      <c r="G68" s="0" t="b">
        <f aca="false">FALSE()</f>
        <v>0</v>
      </c>
      <c r="H68" s="0" t="n">
        <v>1</v>
      </c>
      <c r="I68" s="0" t="n">
        <v>3</v>
      </c>
      <c r="J68" s="0" t="n">
        <v>0.16</v>
      </c>
      <c r="K68" s="0" t="n">
        <v>0.197</v>
      </c>
      <c r="L68" s="0" t="n">
        <v>0.59</v>
      </c>
      <c r="M68" s="0" t="n">
        <v>0.0896</v>
      </c>
      <c r="N68" s="0" t="n">
        <v>3</v>
      </c>
      <c r="O68" s="0" t="n">
        <v>53</v>
      </c>
      <c r="P68" s="0" t="n">
        <v>56</v>
      </c>
    </row>
    <row r="69" customFormat="false" ht="15" hidden="false" customHeight="false" outlineLevel="0" collapsed="false">
      <c r="A69" s="0" t="n">
        <v>687</v>
      </c>
      <c r="B69" s="0" t="s">
        <v>114</v>
      </c>
      <c r="C69" s="0" t="n">
        <v>1</v>
      </c>
      <c r="D69" s="0" t="n">
        <v>0</v>
      </c>
      <c r="E69" s="0" t="n">
        <v>1</v>
      </c>
      <c r="F69" s="0" t="n">
        <v>22</v>
      </c>
      <c r="G69" s="0" t="b">
        <f aca="false">FALSE()</f>
        <v>0</v>
      </c>
      <c r="H69" s="0" t="n">
        <v>1</v>
      </c>
      <c r="I69" s="0" t="n">
        <v>2</v>
      </c>
      <c r="J69" s="0" t="n">
        <v>0.16</v>
      </c>
      <c r="K69" s="0" t="n">
        <v>0.1818</v>
      </c>
      <c r="L69" s="0" t="n">
        <v>0.59</v>
      </c>
      <c r="M69" s="0" t="n">
        <v>0.1045</v>
      </c>
      <c r="N69" s="0" t="n">
        <v>0</v>
      </c>
      <c r="O69" s="0" t="n">
        <v>34</v>
      </c>
      <c r="P69" s="0" t="n">
        <v>34</v>
      </c>
    </row>
    <row r="70" customFormat="false" ht="15" hidden="false" customHeight="false" outlineLevel="0" collapsed="false">
      <c r="A70" s="0" t="n">
        <v>688</v>
      </c>
      <c r="B70" s="0" t="s">
        <v>114</v>
      </c>
      <c r="C70" s="0" t="n">
        <v>1</v>
      </c>
      <c r="D70" s="0" t="n">
        <v>0</v>
      </c>
      <c r="E70" s="0" t="n">
        <v>1</v>
      </c>
      <c r="F70" s="0" t="n">
        <v>23</v>
      </c>
      <c r="G70" s="0" t="b">
        <f aca="false">FALSE()</f>
        <v>0</v>
      </c>
      <c r="H70" s="0" t="n">
        <v>1</v>
      </c>
      <c r="I70" s="0" t="n">
        <v>2</v>
      </c>
      <c r="J70" s="0" t="n">
        <v>0.16</v>
      </c>
      <c r="K70" s="0" t="n">
        <v>0.197</v>
      </c>
      <c r="L70" s="0" t="n">
        <v>0.64</v>
      </c>
      <c r="M70" s="0" t="n">
        <v>0.0896</v>
      </c>
      <c r="N70" s="0" t="n">
        <v>2</v>
      </c>
      <c r="O70" s="0" t="n">
        <v>15</v>
      </c>
      <c r="P70" s="0" t="n">
        <v>17</v>
      </c>
    </row>
    <row r="71" customFormat="false" ht="15" hidden="false" customHeight="false" outlineLevel="0" collapsed="false">
      <c r="A71" s="0" t="n">
        <v>689</v>
      </c>
      <c r="B71" s="0" t="s">
        <v>115</v>
      </c>
      <c r="C71" s="0" t="n">
        <v>1</v>
      </c>
      <c r="D71" s="0" t="n">
        <v>0</v>
      </c>
      <c r="E71" s="0" t="n">
        <v>2</v>
      </c>
      <c r="F71" s="0" t="n">
        <v>0</v>
      </c>
      <c r="G71" s="0" t="b">
        <f aca="false">FALSE()</f>
        <v>0</v>
      </c>
      <c r="H71" s="0" t="n">
        <v>2</v>
      </c>
      <c r="I71" s="0" t="n">
        <v>2</v>
      </c>
      <c r="J71" s="0" t="n">
        <v>0.16</v>
      </c>
      <c r="K71" s="0" t="n">
        <v>0.1818</v>
      </c>
      <c r="L71" s="0" t="n">
        <v>0.64</v>
      </c>
      <c r="M71" s="0" t="n">
        <v>0.1045</v>
      </c>
      <c r="N71" s="0" t="n">
        <v>2</v>
      </c>
      <c r="O71" s="0" t="n">
        <v>6</v>
      </c>
      <c r="P71" s="0" t="n">
        <v>8</v>
      </c>
    </row>
    <row r="72" customFormat="false" ht="15" hidden="false" customHeight="false" outlineLevel="0" collapsed="false">
      <c r="A72" s="0" t="n">
        <v>690</v>
      </c>
      <c r="B72" s="0" t="s">
        <v>115</v>
      </c>
      <c r="C72" s="0" t="n">
        <v>1</v>
      </c>
      <c r="D72" s="0" t="n">
        <v>0</v>
      </c>
      <c r="E72" s="0" t="n">
        <v>2</v>
      </c>
      <c r="F72" s="0" t="n">
        <v>1</v>
      </c>
      <c r="G72" s="0" t="b">
        <f aca="false">FALSE()</f>
        <v>0</v>
      </c>
      <c r="H72" s="0" t="n">
        <v>2</v>
      </c>
      <c r="I72" s="0" t="n">
        <v>2</v>
      </c>
      <c r="J72" s="0" t="n">
        <v>0.16</v>
      </c>
      <c r="K72" s="0" t="n">
        <v>0.1818</v>
      </c>
      <c r="L72" s="0" t="n">
        <v>0.69</v>
      </c>
      <c r="M72" s="0" t="n">
        <v>0.1045</v>
      </c>
      <c r="N72" s="0" t="n">
        <v>0</v>
      </c>
      <c r="O72" s="0" t="n">
        <v>3</v>
      </c>
      <c r="P72" s="0" t="n">
        <v>3</v>
      </c>
    </row>
    <row r="73" customFormat="false" ht="15" hidden="false" customHeight="false" outlineLevel="0" collapsed="false">
      <c r="A73" s="0" t="n">
        <v>691</v>
      </c>
      <c r="B73" s="0" t="s">
        <v>115</v>
      </c>
      <c r="C73" s="0" t="n">
        <v>1</v>
      </c>
      <c r="D73" s="0" t="n">
        <v>0</v>
      </c>
      <c r="E73" s="0" t="n">
        <v>2</v>
      </c>
      <c r="F73" s="0" t="n">
        <v>2</v>
      </c>
      <c r="G73" s="0" t="b">
        <f aca="false">FALSE()</f>
        <v>0</v>
      </c>
      <c r="H73" s="0" t="n">
        <v>2</v>
      </c>
      <c r="I73" s="0" t="n">
        <v>2</v>
      </c>
      <c r="J73" s="0" t="n">
        <v>0.16</v>
      </c>
      <c r="K73" s="0" t="n">
        <v>0.2273</v>
      </c>
      <c r="L73" s="0" t="n">
        <v>0.69</v>
      </c>
      <c r="M73" s="0" t="n">
        <v>0</v>
      </c>
      <c r="N73" s="0" t="n">
        <v>0</v>
      </c>
      <c r="O73" s="0" t="n">
        <v>2</v>
      </c>
      <c r="P73" s="0" t="n">
        <v>2</v>
      </c>
    </row>
    <row r="74" customFormat="false" ht="15" hidden="false" customHeight="false" outlineLevel="0" collapsed="false">
      <c r="A74" s="0" t="n">
        <v>692</v>
      </c>
      <c r="B74" s="0" t="s">
        <v>115</v>
      </c>
      <c r="C74" s="0" t="n">
        <v>1</v>
      </c>
      <c r="D74" s="0" t="n">
        <v>0</v>
      </c>
      <c r="E74" s="0" t="n">
        <v>2</v>
      </c>
      <c r="F74" s="0" t="n">
        <v>3</v>
      </c>
      <c r="G74" s="0" t="b">
        <f aca="false">FALSE()</f>
        <v>0</v>
      </c>
      <c r="H74" s="0" t="n">
        <v>2</v>
      </c>
      <c r="I74" s="0" t="n">
        <v>2</v>
      </c>
      <c r="J74" s="0" t="n">
        <v>0.16</v>
      </c>
      <c r="K74" s="0" t="n">
        <v>0.2273</v>
      </c>
      <c r="L74" s="0" t="n">
        <v>0.69</v>
      </c>
      <c r="M74" s="0" t="n">
        <v>0</v>
      </c>
      <c r="N74" s="0" t="n">
        <v>0</v>
      </c>
      <c r="O74" s="0" t="n">
        <v>2</v>
      </c>
      <c r="P74" s="0" t="n">
        <v>2</v>
      </c>
    </row>
    <row r="75" customFormat="false" ht="15" hidden="false" customHeight="false" outlineLevel="0" collapsed="false">
      <c r="A75" s="0" t="n">
        <v>693</v>
      </c>
      <c r="B75" s="0" t="s">
        <v>115</v>
      </c>
      <c r="C75" s="0" t="n">
        <v>1</v>
      </c>
      <c r="D75" s="0" t="n">
        <v>0</v>
      </c>
      <c r="E75" s="0" t="n">
        <v>2</v>
      </c>
      <c r="F75" s="0" t="n">
        <v>5</v>
      </c>
      <c r="G75" s="0" t="b">
        <f aca="false">FALSE()</f>
        <v>0</v>
      </c>
      <c r="H75" s="0" t="n">
        <v>2</v>
      </c>
      <c r="I75" s="0" t="n">
        <v>3</v>
      </c>
      <c r="J75" s="0" t="n">
        <v>0.14</v>
      </c>
      <c r="K75" s="0" t="n">
        <v>0.2121</v>
      </c>
      <c r="L75" s="0" t="n">
        <v>0.93</v>
      </c>
      <c r="M75" s="0" t="n">
        <v>0</v>
      </c>
      <c r="N75" s="0" t="n">
        <v>0</v>
      </c>
      <c r="O75" s="0" t="n">
        <v>3</v>
      </c>
      <c r="P75" s="0" t="n">
        <v>3</v>
      </c>
    </row>
    <row r="76" customFormat="false" ht="15" hidden="false" customHeight="false" outlineLevel="0" collapsed="false">
      <c r="A76" s="0" t="n">
        <v>694</v>
      </c>
      <c r="B76" s="0" t="s">
        <v>115</v>
      </c>
      <c r="C76" s="0" t="n">
        <v>1</v>
      </c>
      <c r="D76" s="0" t="n">
        <v>0</v>
      </c>
      <c r="E76" s="0" t="n">
        <v>2</v>
      </c>
      <c r="F76" s="0" t="n">
        <v>6</v>
      </c>
      <c r="G76" s="0" t="b">
        <f aca="false">FALSE()</f>
        <v>0</v>
      </c>
      <c r="H76" s="0" t="n">
        <v>2</v>
      </c>
      <c r="I76" s="0" t="n">
        <v>3</v>
      </c>
      <c r="J76" s="0" t="n">
        <v>0.14</v>
      </c>
      <c r="K76" s="0" t="n">
        <v>0.2121</v>
      </c>
      <c r="L76" s="0" t="n">
        <v>0.93</v>
      </c>
      <c r="M76" s="0" t="n">
        <v>0</v>
      </c>
      <c r="N76" s="0" t="n">
        <v>0</v>
      </c>
      <c r="O76" s="0" t="n">
        <v>22</v>
      </c>
      <c r="P76" s="0" t="n">
        <v>22</v>
      </c>
    </row>
    <row r="77" customFormat="false" ht="15" hidden="false" customHeight="false" outlineLevel="0" collapsed="false">
      <c r="A77" s="0" t="n">
        <v>695</v>
      </c>
      <c r="B77" s="0" t="s">
        <v>115</v>
      </c>
      <c r="C77" s="0" t="n">
        <v>1</v>
      </c>
      <c r="D77" s="0" t="n">
        <v>0</v>
      </c>
      <c r="E77" s="0" t="n">
        <v>2</v>
      </c>
      <c r="F77" s="0" t="n">
        <v>7</v>
      </c>
      <c r="G77" s="0" t="b">
        <f aca="false">FALSE()</f>
        <v>0</v>
      </c>
      <c r="H77" s="0" t="n">
        <v>2</v>
      </c>
      <c r="I77" s="0" t="n">
        <v>3</v>
      </c>
      <c r="J77" s="0" t="n">
        <v>0.16</v>
      </c>
      <c r="K77" s="0" t="n">
        <v>0.2273</v>
      </c>
      <c r="L77" s="0" t="n">
        <v>0.93</v>
      </c>
      <c r="M77" s="0" t="n">
        <v>0</v>
      </c>
      <c r="N77" s="0" t="n">
        <v>0</v>
      </c>
      <c r="O77" s="0" t="n">
        <v>52</v>
      </c>
      <c r="P77" s="0" t="n">
        <v>52</v>
      </c>
    </row>
    <row r="78" customFormat="false" ht="15" hidden="false" customHeight="false" outlineLevel="0" collapsed="false">
      <c r="A78" s="0" t="n">
        <v>696</v>
      </c>
      <c r="B78" s="0" t="s">
        <v>115</v>
      </c>
      <c r="C78" s="0" t="n">
        <v>1</v>
      </c>
      <c r="D78" s="0" t="n">
        <v>0</v>
      </c>
      <c r="E78" s="0" t="n">
        <v>2</v>
      </c>
      <c r="F78" s="0" t="n">
        <v>8</v>
      </c>
      <c r="G78" s="0" t="b">
        <f aca="false">FALSE()</f>
        <v>0</v>
      </c>
      <c r="H78" s="0" t="n">
        <v>2</v>
      </c>
      <c r="I78" s="0" t="n">
        <v>3</v>
      </c>
      <c r="J78" s="0" t="n">
        <v>0.16</v>
      </c>
      <c r="K78" s="0" t="n">
        <v>0.2273</v>
      </c>
      <c r="L78" s="0" t="n">
        <v>0.93</v>
      </c>
      <c r="M78" s="0" t="n">
        <v>0</v>
      </c>
      <c r="N78" s="0" t="n">
        <v>3</v>
      </c>
      <c r="O78" s="0" t="n">
        <v>132</v>
      </c>
      <c r="P78" s="0" t="n">
        <v>135</v>
      </c>
    </row>
    <row r="79" customFormat="false" ht="15" hidden="false" customHeight="false" outlineLevel="0" collapsed="false">
      <c r="A79" s="0" t="n">
        <v>697</v>
      </c>
      <c r="B79" s="0" t="s">
        <v>115</v>
      </c>
      <c r="C79" s="0" t="n">
        <v>1</v>
      </c>
      <c r="D79" s="0" t="n">
        <v>0</v>
      </c>
      <c r="E79" s="0" t="n">
        <v>2</v>
      </c>
      <c r="F79" s="0" t="n">
        <v>9</v>
      </c>
      <c r="G79" s="0" t="b">
        <f aca="false">FALSE()</f>
        <v>0</v>
      </c>
      <c r="H79" s="0" t="n">
        <v>2</v>
      </c>
      <c r="I79" s="0" t="n">
        <v>2</v>
      </c>
      <c r="J79" s="0" t="n">
        <v>0.16</v>
      </c>
      <c r="K79" s="0" t="n">
        <v>0.2273</v>
      </c>
      <c r="L79" s="0" t="n">
        <v>0.93</v>
      </c>
      <c r="M79" s="0" t="n">
        <v>0</v>
      </c>
      <c r="N79" s="0" t="n">
        <v>2</v>
      </c>
      <c r="O79" s="0" t="n">
        <v>114</v>
      </c>
      <c r="P79" s="0" t="n">
        <v>116</v>
      </c>
    </row>
    <row r="80" customFormat="false" ht="15" hidden="false" customHeight="false" outlineLevel="0" collapsed="false">
      <c r="A80" s="0" t="n">
        <v>698</v>
      </c>
      <c r="B80" s="0" t="s">
        <v>115</v>
      </c>
      <c r="C80" s="0" t="n">
        <v>1</v>
      </c>
      <c r="D80" s="0" t="n">
        <v>0</v>
      </c>
      <c r="E80" s="0" t="n">
        <v>2</v>
      </c>
      <c r="F80" s="0" t="n">
        <v>10</v>
      </c>
      <c r="G80" s="0" t="b">
        <f aca="false">FALSE()</f>
        <v>0</v>
      </c>
      <c r="H80" s="0" t="n">
        <v>2</v>
      </c>
      <c r="I80" s="0" t="n">
        <v>2</v>
      </c>
      <c r="J80" s="0" t="n">
        <v>0.16</v>
      </c>
      <c r="K80" s="0" t="n">
        <v>0.2273</v>
      </c>
      <c r="L80" s="0" t="n">
        <v>0.93</v>
      </c>
      <c r="M80" s="0" t="n">
        <v>0</v>
      </c>
      <c r="N80" s="0" t="n">
        <v>0</v>
      </c>
      <c r="O80" s="0" t="n">
        <v>47</v>
      </c>
      <c r="P80" s="0" t="n">
        <v>47</v>
      </c>
    </row>
    <row r="81" customFormat="false" ht="15" hidden="false" customHeight="false" outlineLevel="0" collapsed="false">
      <c r="A81" s="0" t="n">
        <v>699</v>
      </c>
      <c r="B81" s="0" t="s">
        <v>115</v>
      </c>
      <c r="C81" s="0" t="n">
        <v>1</v>
      </c>
      <c r="D81" s="0" t="n">
        <v>0</v>
      </c>
      <c r="E81" s="0" t="n">
        <v>2</v>
      </c>
      <c r="F81" s="0" t="n">
        <v>11</v>
      </c>
      <c r="G81" s="0" t="b">
        <f aca="false">FALSE()</f>
        <v>0</v>
      </c>
      <c r="H81" s="0" t="n">
        <v>2</v>
      </c>
      <c r="I81" s="0" t="n">
        <v>2</v>
      </c>
      <c r="J81" s="0" t="n">
        <v>0.18</v>
      </c>
      <c r="K81" s="0" t="n">
        <v>0.2424</v>
      </c>
      <c r="L81" s="0" t="n">
        <v>0.86</v>
      </c>
      <c r="M81" s="0" t="n">
        <v>0</v>
      </c>
      <c r="N81" s="0" t="n">
        <v>2</v>
      </c>
      <c r="O81" s="0" t="n">
        <v>49</v>
      </c>
      <c r="P81" s="0" t="n">
        <v>51</v>
      </c>
    </row>
    <row r="82" customFormat="false" ht="15" hidden="false" customHeight="false" outlineLevel="0" collapsed="false">
      <c r="A82" s="0" t="n">
        <v>700</v>
      </c>
      <c r="B82" s="0" t="s">
        <v>115</v>
      </c>
      <c r="C82" s="0" t="n">
        <v>1</v>
      </c>
      <c r="D82" s="0" t="n">
        <v>0</v>
      </c>
      <c r="E82" s="0" t="n">
        <v>2</v>
      </c>
      <c r="F82" s="0" t="n">
        <v>12</v>
      </c>
      <c r="G82" s="0" t="b">
        <f aca="false">FALSE()</f>
        <v>0</v>
      </c>
      <c r="H82" s="0" t="n">
        <v>2</v>
      </c>
      <c r="I82" s="0" t="n">
        <v>2</v>
      </c>
      <c r="J82" s="0" t="n">
        <v>0.2</v>
      </c>
      <c r="K82" s="0" t="n">
        <v>0.2576</v>
      </c>
      <c r="L82" s="0" t="n">
        <v>0.86</v>
      </c>
      <c r="M82" s="0" t="n">
        <v>0</v>
      </c>
      <c r="N82" s="0" t="n">
        <v>2</v>
      </c>
      <c r="O82" s="0" t="n">
        <v>53</v>
      </c>
      <c r="P82" s="0" t="n">
        <v>55</v>
      </c>
    </row>
    <row r="83" customFormat="false" ht="15" hidden="false" customHeight="false" outlineLevel="0" collapsed="false">
      <c r="A83" s="0" t="n">
        <v>701</v>
      </c>
      <c r="B83" s="0" t="s">
        <v>115</v>
      </c>
      <c r="C83" s="0" t="n">
        <v>1</v>
      </c>
      <c r="D83" s="0" t="n">
        <v>0</v>
      </c>
      <c r="E83" s="0" t="n">
        <v>2</v>
      </c>
      <c r="F83" s="0" t="n">
        <v>13</v>
      </c>
      <c r="G83" s="0" t="b">
        <f aca="false">FALSE()</f>
        <v>0</v>
      </c>
      <c r="H83" s="0" t="n">
        <v>2</v>
      </c>
      <c r="I83" s="0" t="n">
        <v>2</v>
      </c>
      <c r="J83" s="0" t="n">
        <v>0.2</v>
      </c>
      <c r="K83" s="0" t="n">
        <v>0.2576</v>
      </c>
      <c r="L83" s="0" t="n">
        <v>0.86</v>
      </c>
      <c r="M83" s="0" t="n">
        <v>0</v>
      </c>
      <c r="N83" s="0" t="n">
        <v>3</v>
      </c>
      <c r="O83" s="0" t="n">
        <v>49</v>
      </c>
      <c r="P83" s="0" t="n">
        <v>52</v>
      </c>
    </row>
    <row r="84" customFormat="false" ht="15" hidden="false" customHeight="false" outlineLevel="0" collapsed="false">
      <c r="A84" s="0" t="n">
        <v>702</v>
      </c>
      <c r="B84" s="0" t="s">
        <v>115</v>
      </c>
      <c r="C84" s="0" t="n">
        <v>1</v>
      </c>
      <c r="D84" s="0" t="n">
        <v>0</v>
      </c>
      <c r="E84" s="0" t="n">
        <v>2</v>
      </c>
      <c r="F84" s="0" t="n">
        <v>14</v>
      </c>
      <c r="G84" s="0" t="b">
        <f aca="false">FALSE()</f>
        <v>0</v>
      </c>
      <c r="H84" s="0" t="n">
        <v>2</v>
      </c>
      <c r="I84" s="0" t="n">
        <v>2</v>
      </c>
      <c r="J84" s="0" t="n">
        <v>0.22</v>
      </c>
      <c r="K84" s="0" t="n">
        <v>0.2576</v>
      </c>
      <c r="L84" s="0" t="n">
        <v>0.8</v>
      </c>
      <c r="M84" s="0" t="n">
        <v>0.0896</v>
      </c>
      <c r="N84" s="0" t="n">
        <v>5</v>
      </c>
      <c r="O84" s="0" t="n">
        <v>49</v>
      </c>
      <c r="P84" s="0" t="n">
        <v>54</v>
      </c>
    </row>
    <row r="85" customFormat="false" ht="15" hidden="false" customHeight="false" outlineLevel="0" collapsed="false">
      <c r="A85" s="0" t="n">
        <v>703</v>
      </c>
      <c r="B85" s="0" t="s">
        <v>115</v>
      </c>
      <c r="C85" s="0" t="n">
        <v>1</v>
      </c>
      <c r="D85" s="0" t="n">
        <v>0</v>
      </c>
      <c r="E85" s="0" t="n">
        <v>2</v>
      </c>
      <c r="F85" s="0" t="n">
        <v>15</v>
      </c>
      <c r="G85" s="0" t="b">
        <f aca="false">FALSE()</f>
        <v>0</v>
      </c>
      <c r="H85" s="0" t="n">
        <v>2</v>
      </c>
      <c r="I85" s="0" t="n">
        <v>2</v>
      </c>
      <c r="J85" s="0" t="n">
        <v>0.24</v>
      </c>
      <c r="K85" s="0" t="n">
        <v>0.2879</v>
      </c>
      <c r="L85" s="0" t="n">
        <v>0.75</v>
      </c>
      <c r="M85" s="0" t="n">
        <v>0</v>
      </c>
      <c r="N85" s="0" t="n">
        <v>7</v>
      </c>
      <c r="O85" s="0" t="n">
        <v>45</v>
      </c>
      <c r="P85" s="0" t="n">
        <v>52</v>
      </c>
    </row>
    <row r="86" customFormat="false" ht="15" hidden="false" customHeight="false" outlineLevel="0" collapsed="false">
      <c r="A86" s="0" t="n">
        <v>704</v>
      </c>
      <c r="B86" s="0" t="s">
        <v>115</v>
      </c>
      <c r="C86" s="0" t="n">
        <v>1</v>
      </c>
      <c r="D86" s="0" t="n">
        <v>0</v>
      </c>
      <c r="E86" s="0" t="n">
        <v>2</v>
      </c>
      <c r="F86" s="0" t="n">
        <v>16</v>
      </c>
      <c r="G86" s="0" t="b">
        <f aca="false">FALSE()</f>
        <v>0</v>
      </c>
      <c r="H86" s="0" t="n">
        <v>2</v>
      </c>
      <c r="I86" s="0" t="n">
        <v>2</v>
      </c>
      <c r="J86" s="0" t="n">
        <v>0.24</v>
      </c>
      <c r="K86" s="0" t="n">
        <v>0.2424</v>
      </c>
      <c r="L86" s="0" t="n">
        <v>0.75</v>
      </c>
      <c r="M86" s="0" t="n">
        <v>0.1343</v>
      </c>
      <c r="N86" s="0" t="n">
        <v>3</v>
      </c>
      <c r="O86" s="0" t="n">
        <v>61</v>
      </c>
      <c r="P86" s="0" t="n">
        <v>64</v>
      </c>
    </row>
    <row r="87" customFormat="false" ht="15" hidden="false" customHeight="false" outlineLevel="0" collapsed="false">
      <c r="A87" s="0" t="n">
        <v>705</v>
      </c>
      <c r="B87" s="0" t="s">
        <v>115</v>
      </c>
      <c r="C87" s="0" t="n">
        <v>1</v>
      </c>
      <c r="D87" s="0" t="n">
        <v>0</v>
      </c>
      <c r="E87" s="0" t="n">
        <v>2</v>
      </c>
      <c r="F87" s="0" t="n">
        <v>17</v>
      </c>
      <c r="G87" s="0" t="b">
        <f aca="false">FALSE()</f>
        <v>0</v>
      </c>
      <c r="H87" s="0" t="n">
        <v>2</v>
      </c>
      <c r="I87" s="0" t="n">
        <v>2</v>
      </c>
      <c r="J87" s="0" t="n">
        <v>0.24</v>
      </c>
      <c r="K87" s="0" t="n">
        <v>0.2879</v>
      </c>
      <c r="L87" s="0" t="n">
        <v>0.75</v>
      </c>
      <c r="M87" s="0" t="n">
        <v>0</v>
      </c>
      <c r="N87" s="0" t="n">
        <v>4</v>
      </c>
      <c r="O87" s="0" t="n">
        <v>172</v>
      </c>
      <c r="P87" s="0" t="n">
        <v>176</v>
      </c>
    </row>
    <row r="88" customFormat="false" ht="15" hidden="false" customHeight="false" outlineLevel="0" collapsed="false">
      <c r="A88" s="0" t="n">
        <v>706</v>
      </c>
      <c r="B88" s="0" t="s">
        <v>115</v>
      </c>
      <c r="C88" s="0" t="n">
        <v>1</v>
      </c>
      <c r="D88" s="0" t="n">
        <v>0</v>
      </c>
      <c r="E88" s="0" t="n">
        <v>2</v>
      </c>
      <c r="F88" s="0" t="n">
        <v>18</v>
      </c>
      <c r="G88" s="0" t="b">
        <f aca="false">FALSE()</f>
        <v>0</v>
      </c>
      <c r="H88" s="0" t="n">
        <v>2</v>
      </c>
      <c r="I88" s="0" t="n">
        <v>2</v>
      </c>
      <c r="J88" s="0" t="n">
        <v>0.24</v>
      </c>
      <c r="K88" s="0" t="n">
        <v>0.2576</v>
      </c>
      <c r="L88" s="0" t="n">
        <v>0.81</v>
      </c>
      <c r="M88" s="0" t="n">
        <v>0.1045</v>
      </c>
      <c r="N88" s="0" t="n">
        <v>3</v>
      </c>
      <c r="O88" s="0" t="n">
        <v>165</v>
      </c>
      <c r="P88" s="0" t="n">
        <v>168</v>
      </c>
    </row>
    <row r="89" customFormat="false" ht="15" hidden="false" customHeight="false" outlineLevel="0" collapsed="false">
      <c r="A89" s="0" t="n">
        <v>707</v>
      </c>
      <c r="B89" s="0" t="s">
        <v>115</v>
      </c>
      <c r="C89" s="0" t="n">
        <v>1</v>
      </c>
      <c r="D89" s="0" t="n">
        <v>0</v>
      </c>
      <c r="E89" s="0" t="n">
        <v>2</v>
      </c>
      <c r="F89" s="0" t="n">
        <v>19</v>
      </c>
      <c r="G89" s="0" t="b">
        <f aca="false">FALSE()</f>
        <v>0</v>
      </c>
      <c r="H89" s="0" t="n">
        <v>2</v>
      </c>
      <c r="I89" s="0" t="n">
        <v>2</v>
      </c>
      <c r="J89" s="0" t="n">
        <v>0.24</v>
      </c>
      <c r="K89" s="0" t="n">
        <v>0.2424</v>
      </c>
      <c r="L89" s="0" t="n">
        <v>0.81</v>
      </c>
      <c r="M89" s="0" t="n">
        <v>0.1343</v>
      </c>
      <c r="N89" s="0" t="n">
        <v>3</v>
      </c>
      <c r="O89" s="0" t="n">
        <v>105</v>
      </c>
      <c r="P89" s="0" t="n">
        <v>108</v>
      </c>
    </row>
    <row r="90" customFormat="false" ht="15" hidden="false" customHeight="false" outlineLevel="0" collapsed="false">
      <c r="A90" s="0" t="n">
        <v>708</v>
      </c>
      <c r="B90" s="0" t="s">
        <v>115</v>
      </c>
      <c r="C90" s="0" t="n">
        <v>1</v>
      </c>
      <c r="D90" s="0" t="n">
        <v>0</v>
      </c>
      <c r="E90" s="0" t="n">
        <v>2</v>
      </c>
      <c r="F90" s="0" t="n">
        <v>20</v>
      </c>
      <c r="G90" s="0" t="b">
        <f aca="false">FALSE()</f>
        <v>0</v>
      </c>
      <c r="H90" s="0" t="n">
        <v>2</v>
      </c>
      <c r="I90" s="0" t="n">
        <v>2</v>
      </c>
      <c r="J90" s="0" t="n">
        <v>0.22</v>
      </c>
      <c r="K90" s="0" t="n">
        <v>0.2273</v>
      </c>
      <c r="L90" s="0" t="n">
        <v>0.87</v>
      </c>
      <c r="M90" s="0" t="n">
        <v>0.1343</v>
      </c>
      <c r="N90" s="0" t="n">
        <v>5</v>
      </c>
      <c r="O90" s="0" t="n">
        <v>69</v>
      </c>
      <c r="P90" s="0" t="n">
        <v>74</v>
      </c>
    </row>
    <row r="91" customFormat="false" ht="15" hidden="false" customHeight="false" outlineLevel="0" collapsed="false">
      <c r="A91" s="0" t="n">
        <v>709</v>
      </c>
      <c r="B91" s="0" t="s">
        <v>115</v>
      </c>
      <c r="C91" s="0" t="n">
        <v>1</v>
      </c>
      <c r="D91" s="0" t="n">
        <v>0</v>
      </c>
      <c r="E91" s="0" t="n">
        <v>2</v>
      </c>
      <c r="F91" s="0" t="n">
        <v>21</v>
      </c>
      <c r="G91" s="0" t="b">
        <f aca="false">FALSE()</f>
        <v>0</v>
      </c>
      <c r="H91" s="0" t="n">
        <v>2</v>
      </c>
      <c r="I91" s="0" t="n">
        <v>2</v>
      </c>
      <c r="J91" s="0" t="n">
        <v>0.22</v>
      </c>
      <c r="K91" s="0" t="n">
        <v>0.2273</v>
      </c>
      <c r="L91" s="0" t="n">
        <v>0.87</v>
      </c>
      <c r="M91" s="0" t="n">
        <v>0.1343</v>
      </c>
      <c r="N91" s="0" t="n">
        <v>0</v>
      </c>
      <c r="O91" s="0" t="n">
        <v>64</v>
      </c>
      <c r="P91" s="0" t="n">
        <v>64</v>
      </c>
    </row>
    <row r="92" customFormat="false" ht="15" hidden="false" customHeight="false" outlineLevel="0" collapsed="false">
      <c r="A92" s="0" t="n">
        <v>710</v>
      </c>
      <c r="B92" s="0" t="s">
        <v>115</v>
      </c>
      <c r="C92" s="0" t="n">
        <v>1</v>
      </c>
      <c r="D92" s="0" t="n">
        <v>0</v>
      </c>
      <c r="E92" s="0" t="n">
        <v>2</v>
      </c>
      <c r="F92" s="0" t="n">
        <v>22</v>
      </c>
      <c r="G92" s="0" t="b">
        <f aca="false">FALSE()</f>
        <v>0</v>
      </c>
      <c r="H92" s="0" t="n">
        <v>2</v>
      </c>
      <c r="I92" s="0" t="n">
        <v>2</v>
      </c>
      <c r="J92" s="0" t="n">
        <v>0.22</v>
      </c>
      <c r="K92" s="0" t="n">
        <v>0.2576</v>
      </c>
      <c r="L92" s="0" t="n">
        <v>0.87</v>
      </c>
      <c r="M92" s="0" t="n">
        <v>0.0896</v>
      </c>
      <c r="N92" s="0" t="n">
        <v>2</v>
      </c>
      <c r="O92" s="0" t="n">
        <v>34</v>
      </c>
      <c r="P92" s="0" t="n">
        <v>36</v>
      </c>
    </row>
    <row r="93" customFormat="false" ht="15" hidden="false" customHeight="false" outlineLevel="0" collapsed="false">
      <c r="A93" s="0" t="n">
        <v>711</v>
      </c>
      <c r="B93" s="0" t="s">
        <v>115</v>
      </c>
      <c r="C93" s="0" t="n">
        <v>1</v>
      </c>
      <c r="D93" s="0" t="n">
        <v>0</v>
      </c>
      <c r="E93" s="0" t="n">
        <v>2</v>
      </c>
      <c r="F93" s="0" t="n">
        <v>23</v>
      </c>
      <c r="G93" s="0" t="b">
        <f aca="false">FALSE()</f>
        <v>0</v>
      </c>
      <c r="H93" s="0" t="n">
        <v>2</v>
      </c>
      <c r="I93" s="0" t="n">
        <v>3</v>
      </c>
      <c r="J93" s="0" t="n">
        <v>0.2</v>
      </c>
      <c r="K93" s="0" t="n">
        <v>0.197</v>
      </c>
      <c r="L93" s="0" t="n">
        <v>0.93</v>
      </c>
      <c r="M93" s="0" t="n">
        <v>0.194</v>
      </c>
      <c r="N93" s="0" t="n">
        <v>1</v>
      </c>
      <c r="O93" s="0" t="n">
        <v>15</v>
      </c>
      <c r="P93" s="0" t="n">
        <v>16</v>
      </c>
    </row>
    <row r="94" customFormat="false" ht="15" hidden="false" customHeight="false" outlineLevel="0" collapsed="false">
      <c r="A94" s="0" t="n">
        <v>712</v>
      </c>
      <c r="B94" s="0" t="s">
        <v>116</v>
      </c>
      <c r="C94" s="0" t="n">
        <v>1</v>
      </c>
      <c r="D94" s="0" t="n">
        <v>0</v>
      </c>
      <c r="E94" s="0" t="n">
        <v>2</v>
      </c>
      <c r="F94" s="0" t="n">
        <v>0</v>
      </c>
      <c r="G94" s="0" t="b">
        <f aca="false">FALSE()</f>
        <v>0</v>
      </c>
      <c r="H94" s="0" t="n">
        <v>3</v>
      </c>
      <c r="I94" s="0" t="n">
        <v>3</v>
      </c>
      <c r="J94" s="0" t="n">
        <v>0.22</v>
      </c>
      <c r="K94" s="0" t="n">
        <v>0.2424</v>
      </c>
      <c r="L94" s="0" t="n">
        <v>0.93</v>
      </c>
      <c r="M94" s="0" t="n">
        <v>0.1045</v>
      </c>
      <c r="N94" s="0" t="n">
        <v>0</v>
      </c>
      <c r="O94" s="0" t="n">
        <v>2</v>
      </c>
      <c r="P94" s="0" t="n">
        <v>2</v>
      </c>
    </row>
    <row r="95" customFormat="false" ht="15" hidden="false" customHeight="false" outlineLevel="0" collapsed="false">
      <c r="A95" s="0" t="n">
        <v>713</v>
      </c>
      <c r="B95" s="0" t="s">
        <v>116</v>
      </c>
      <c r="C95" s="0" t="n">
        <v>1</v>
      </c>
      <c r="D95" s="0" t="n">
        <v>0</v>
      </c>
      <c r="E95" s="0" t="n">
        <v>2</v>
      </c>
      <c r="F95" s="0" t="n">
        <v>1</v>
      </c>
      <c r="G95" s="0" t="b">
        <f aca="false">FALSE()</f>
        <v>0</v>
      </c>
      <c r="H95" s="0" t="n">
        <v>3</v>
      </c>
      <c r="I95" s="0" t="n">
        <v>3</v>
      </c>
      <c r="J95" s="0" t="n">
        <v>0.22</v>
      </c>
      <c r="K95" s="0" t="n">
        <v>0.2273</v>
      </c>
      <c r="L95" s="0" t="n">
        <v>0.93</v>
      </c>
      <c r="M95" s="0" t="n">
        <v>0.194</v>
      </c>
      <c r="N95" s="0" t="n">
        <v>0</v>
      </c>
      <c r="O95" s="0" t="n">
        <v>3</v>
      </c>
      <c r="P95" s="0" t="n">
        <v>3</v>
      </c>
    </row>
    <row r="96" customFormat="false" ht="15" hidden="false" customHeight="false" outlineLevel="0" collapsed="false">
      <c r="A96" s="0" t="n">
        <v>714</v>
      </c>
      <c r="B96" s="0" t="s">
        <v>116</v>
      </c>
      <c r="C96" s="0" t="n">
        <v>1</v>
      </c>
      <c r="D96" s="0" t="n">
        <v>0</v>
      </c>
      <c r="E96" s="0" t="n">
        <v>2</v>
      </c>
      <c r="F96" s="0" t="n">
        <v>2</v>
      </c>
      <c r="G96" s="0" t="b">
        <f aca="false">FALSE()</f>
        <v>0</v>
      </c>
      <c r="H96" s="0" t="n">
        <v>3</v>
      </c>
      <c r="I96" s="0" t="n">
        <v>3</v>
      </c>
      <c r="J96" s="0" t="n">
        <v>0.22</v>
      </c>
      <c r="K96" s="0" t="n">
        <v>0.2273</v>
      </c>
      <c r="L96" s="0" t="n">
        <v>0.93</v>
      </c>
      <c r="M96" s="0" t="n">
        <v>0.1343</v>
      </c>
      <c r="N96" s="0" t="n">
        <v>4</v>
      </c>
      <c r="O96" s="0" t="n">
        <v>0</v>
      </c>
      <c r="P96" s="0" t="n">
        <v>4</v>
      </c>
    </row>
    <row r="97" customFormat="false" ht="15" hidden="false" customHeight="false" outlineLevel="0" collapsed="false">
      <c r="A97" s="0" t="n">
        <v>715</v>
      </c>
      <c r="B97" s="0" t="s">
        <v>116</v>
      </c>
      <c r="C97" s="0" t="n">
        <v>1</v>
      </c>
      <c r="D97" s="0" t="n">
        <v>0</v>
      </c>
      <c r="E97" s="0" t="n">
        <v>2</v>
      </c>
      <c r="F97" s="0" t="n">
        <v>3</v>
      </c>
      <c r="G97" s="0" t="b">
        <f aca="false">FALSE()</f>
        <v>0</v>
      </c>
      <c r="H97" s="0" t="n">
        <v>3</v>
      </c>
      <c r="I97" s="0" t="n">
        <v>3</v>
      </c>
      <c r="J97" s="0" t="n">
        <v>0.22</v>
      </c>
      <c r="K97" s="0" t="n">
        <v>0.2273</v>
      </c>
      <c r="L97" s="0" t="n">
        <v>0.93</v>
      </c>
      <c r="M97" s="0" t="n">
        <v>0.1343</v>
      </c>
      <c r="N97" s="0" t="n">
        <v>0</v>
      </c>
      <c r="O97" s="0" t="n">
        <v>1</v>
      </c>
      <c r="P97" s="0" t="n">
        <v>1</v>
      </c>
    </row>
    <row r="98" customFormat="false" ht="15" hidden="false" customHeight="false" outlineLevel="0" collapsed="false">
      <c r="A98" s="0" t="n">
        <v>716</v>
      </c>
      <c r="B98" s="0" t="s">
        <v>116</v>
      </c>
      <c r="C98" s="0" t="n">
        <v>1</v>
      </c>
      <c r="D98" s="0" t="n">
        <v>0</v>
      </c>
      <c r="E98" s="0" t="n">
        <v>2</v>
      </c>
      <c r="F98" s="0" t="n">
        <v>4</v>
      </c>
      <c r="G98" s="0" t="b">
        <f aca="false">FALSE()</f>
        <v>0</v>
      </c>
      <c r="H98" s="0" t="n">
        <v>3</v>
      </c>
      <c r="I98" s="0" t="n">
        <v>3</v>
      </c>
      <c r="J98" s="0" t="n">
        <v>0.22</v>
      </c>
      <c r="K98" s="0" t="n">
        <v>0.2121</v>
      </c>
      <c r="L98" s="0" t="n">
        <v>0.93</v>
      </c>
      <c r="M98" s="0" t="n">
        <v>0.2836</v>
      </c>
      <c r="N98" s="0" t="n">
        <v>0</v>
      </c>
      <c r="O98" s="0" t="n">
        <v>1</v>
      </c>
      <c r="P98" s="0" t="n">
        <v>1</v>
      </c>
    </row>
    <row r="99" customFormat="false" ht="15" hidden="false" customHeight="false" outlineLevel="0" collapsed="false">
      <c r="A99" s="0" t="n">
        <v>717</v>
      </c>
      <c r="B99" s="0" t="s">
        <v>116</v>
      </c>
      <c r="C99" s="0" t="n">
        <v>1</v>
      </c>
      <c r="D99" s="0" t="n">
        <v>0</v>
      </c>
      <c r="E99" s="0" t="n">
        <v>2</v>
      </c>
      <c r="F99" s="0" t="n">
        <v>5</v>
      </c>
      <c r="G99" s="0" t="b">
        <f aca="false">FALSE()</f>
        <v>0</v>
      </c>
      <c r="H99" s="0" t="n">
        <v>3</v>
      </c>
      <c r="I99" s="0" t="n">
        <v>3</v>
      </c>
      <c r="J99" s="0" t="n">
        <v>0.22</v>
      </c>
      <c r="K99" s="0" t="n">
        <v>0.2424</v>
      </c>
      <c r="L99" s="0" t="n">
        <v>0.93</v>
      </c>
      <c r="M99" s="0" t="n">
        <v>0.1045</v>
      </c>
      <c r="N99" s="0" t="n">
        <v>0</v>
      </c>
      <c r="O99" s="0" t="n">
        <v>3</v>
      </c>
      <c r="P99" s="0" t="n">
        <v>3</v>
      </c>
    </row>
    <row r="100" customFormat="false" ht="15" hidden="false" customHeight="false" outlineLevel="0" collapsed="false">
      <c r="A100" s="0" t="n">
        <v>718</v>
      </c>
      <c r="B100" s="0" t="s">
        <v>116</v>
      </c>
      <c r="C100" s="0" t="n">
        <v>1</v>
      </c>
      <c r="D100" s="0" t="n">
        <v>0</v>
      </c>
      <c r="E100" s="0" t="n">
        <v>2</v>
      </c>
      <c r="F100" s="0" t="n">
        <v>6</v>
      </c>
      <c r="G100" s="0" t="b">
        <f aca="false">FALSE()</f>
        <v>0</v>
      </c>
      <c r="H100" s="0" t="n">
        <v>3</v>
      </c>
      <c r="I100" s="0" t="n">
        <v>3</v>
      </c>
      <c r="J100" s="0" t="n">
        <v>0.22</v>
      </c>
      <c r="K100" s="0" t="n">
        <v>0.2424</v>
      </c>
      <c r="L100" s="0" t="n">
        <v>0.93</v>
      </c>
      <c r="M100" s="0" t="n">
        <v>0.1045</v>
      </c>
      <c r="N100" s="0" t="n">
        <v>1</v>
      </c>
      <c r="O100" s="0" t="n">
        <v>17</v>
      </c>
      <c r="P100" s="0" t="n">
        <v>18</v>
      </c>
    </row>
    <row r="101" customFormat="false" ht="15" hidden="false" customHeight="false" outlineLevel="0" collapsed="false">
      <c r="A101" s="0" t="n">
        <v>719</v>
      </c>
      <c r="B101" s="0" t="s">
        <v>116</v>
      </c>
      <c r="C101" s="0" t="n">
        <v>1</v>
      </c>
      <c r="D101" s="0" t="n">
        <v>0</v>
      </c>
      <c r="E101" s="0" t="n">
        <v>2</v>
      </c>
      <c r="F101" s="0" t="n">
        <v>7</v>
      </c>
      <c r="G101" s="0" t="b">
        <f aca="false">FALSE()</f>
        <v>0</v>
      </c>
      <c r="H101" s="0" t="n">
        <v>3</v>
      </c>
      <c r="I101" s="0" t="n">
        <v>3</v>
      </c>
      <c r="J101" s="0" t="n">
        <v>0.22</v>
      </c>
      <c r="K101" s="0" t="n">
        <v>0.2121</v>
      </c>
      <c r="L101" s="0" t="n">
        <v>0.93</v>
      </c>
      <c r="M101" s="0" t="n">
        <v>0.2239</v>
      </c>
      <c r="N101" s="0" t="n">
        <v>1</v>
      </c>
      <c r="O101" s="0" t="n">
        <v>48</v>
      </c>
      <c r="P101" s="0" t="n">
        <v>49</v>
      </c>
    </row>
    <row r="102" customFormat="false" ht="15" hidden="false" customHeight="false" outlineLevel="0" collapsed="false">
      <c r="A102" s="0" t="n">
        <v>720</v>
      </c>
      <c r="B102" s="0" t="s">
        <v>116</v>
      </c>
      <c r="C102" s="0" t="n">
        <v>1</v>
      </c>
      <c r="D102" s="0" t="n">
        <v>0</v>
      </c>
      <c r="E102" s="0" t="n">
        <v>2</v>
      </c>
      <c r="F102" s="0" t="n">
        <v>8</v>
      </c>
      <c r="G102" s="0" t="b">
        <f aca="false">FALSE()</f>
        <v>0</v>
      </c>
      <c r="H102" s="0" t="n">
        <v>3</v>
      </c>
      <c r="I102" s="0" t="n">
        <v>3</v>
      </c>
      <c r="J102" s="0" t="n">
        <v>0.22</v>
      </c>
      <c r="K102" s="0" t="n">
        <v>0.2121</v>
      </c>
      <c r="L102" s="0" t="n">
        <v>0.93</v>
      </c>
      <c r="M102" s="0" t="n">
        <v>0.2239</v>
      </c>
      <c r="N102" s="0" t="n">
        <v>1</v>
      </c>
      <c r="O102" s="0" t="n">
        <v>154</v>
      </c>
      <c r="P102" s="0" t="n">
        <v>155</v>
      </c>
    </row>
    <row r="103" customFormat="false" ht="15" hidden="false" customHeight="false" outlineLevel="0" collapsed="false">
      <c r="A103" s="0" t="n">
        <v>721</v>
      </c>
      <c r="B103" s="0" t="s">
        <v>116</v>
      </c>
      <c r="C103" s="0" t="n">
        <v>1</v>
      </c>
      <c r="D103" s="0" t="n">
        <v>0</v>
      </c>
      <c r="E103" s="0" t="n">
        <v>2</v>
      </c>
      <c r="F103" s="0" t="n">
        <v>9</v>
      </c>
      <c r="G103" s="0" t="b">
        <f aca="false">FALSE()</f>
        <v>0</v>
      </c>
      <c r="H103" s="0" t="n">
        <v>3</v>
      </c>
      <c r="I103" s="0" t="n">
        <v>2</v>
      </c>
      <c r="J103" s="0" t="n">
        <v>0.24</v>
      </c>
      <c r="K103" s="0" t="n">
        <v>0.2576</v>
      </c>
      <c r="L103" s="0" t="n">
        <v>0.93</v>
      </c>
      <c r="M103" s="0" t="n">
        <v>0.0896</v>
      </c>
      <c r="N103" s="0" t="n">
        <v>4</v>
      </c>
      <c r="O103" s="0" t="n">
        <v>119</v>
      </c>
      <c r="P103" s="0" t="n">
        <v>123</v>
      </c>
    </row>
    <row r="104" customFormat="false" ht="15" hidden="false" customHeight="false" outlineLevel="0" collapsed="false">
      <c r="A104" s="0" t="n">
        <v>722</v>
      </c>
      <c r="B104" s="0" t="s">
        <v>116</v>
      </c>
      <c r="C104" s="0" t="n">
        <v>1</v>
      </c>
      <c r="D104" s="0" t="n">
        <v>0</v>
      </c>
      <c r="E104" s="0" t="n">
        <v>2</v>
      </c>
      <c r="F104" s="0" t="n">
        <v>10</v>
      </c>
      <c r="G104" s="0" t="b">
        <f aca="false">FALSE()</f>
        <v>0</v>
      </c>
      <c r="H104" s="0" t="n">
        <v>3</v>
      </c>
      <c r="I104" s="0" t="n">
        <v>2</v>
      </c>
      <c r="J104" s="0" t="n">
        <v>0.22</v>
      </c>
      <c r="K104" s="0" t="n">
        <v>0.2727</v>
      </c>
      <c r="L104" s="0" t="n">
        <v>1</v>
      </c>
      <c r="M104" s="0" t="n">
        <v>0</v>
      </c>
      <c r="N104" s="0" t="n">
        <v>2</v>
      </c>
      <c r="O104" s="0" t="n">
        <v>59</v>
      </c>
      <c r="P104" s="0" t="n">
        <v>61</v>
      </c>
    </row>
    <row r="105" customFormat="false" ht="15" hidden="false" customHeight="false" outlineLevel="0" collapsed="false">
      <c r="A105" s="0" t="n">
        <v>723</v>
      </c>
      <c r="B105" s="0" t="s">
        <v>116</v>
      </c>
      <c r="C105" s="0" t="n">
        <v>1</v>
      </c>
      <c r="D105" s="0" t="n">
        <v>0</v>
      </c>
      <c r="E105" s="0" t="n">
        <v>2</v>
      </c>
      <c r="F105" s="0" t="n">
        <v>11</v>
      </c>
      <c r="G105" s="0" t="b">
        <f aca="false">FALSE()</f>
        <v>0</v>
      </c>
      <c r="H105" s="0" t="n">
        <v>3</v>
      </c>
      <c r="I105" s="0" t="n">
        <v>2</v>
      </c>
      <c r="J105" s="0" t="n">
        <v>0.24</v>
      </c>
      <c r="K105" s="0" t="n">
        <v>0.2273</v>
      </c>
      <c r="L105" s="0" t="n">
        <v>0.93</v>
      </c>
      <c r="M105" s="0" t="n">
        <v>0.194</v>
      </c>
      <c r="N105" s="0" t="n">
        <v>5</v>
      </c>
      <c r="O105" s="0" t="n">
        <v>47</v>
      </c>
      <c r="P105" s="0" t="n">
        <v>52</v>
      </c>
    </row>
    <row r="106" customFormat="false" ht="15" hidden="false" customHeight="false" outlineLevel="0" collapsed="false">
      <c r="A106" s="0" t="n">
        <v>724</v>
      </c>
      <c r="B106" s="0" t="s">
        <v>116</v>
      </c>
      <c r="C106" s="0" t="n">
        <v>1</v>
      </c>
      <c r="D106" s="0" t="n">
        <v>0</v>
      </c>
      <c r="E106" s="0" t="n">
        <v>2</v>
      </c>
      <c r="F106" s="0" t="n">
        <v>12</v>
      </c>
      <c r="G106" s="0" t="b">
        <f aca="false">FALSE()</f>
        <v>0</v>
      </c>
      <c r="H106" s="0" t="n">
        <v>3</v>
      </c>
      <c r="I106" s="0" t="n">
        <v>2</v>
      </c>
      <c r="J106" s="0" t="n">
        <v>0.24</v>
      </c>
      <c r="K106" s="0" t="n">
        <v>0.2273</v>
      </c>
      <c r="L106" s="0" t="n">
        <v>0.93</v>
      </c>
      <c r="M106" s="0" t="n">
        <v>0.2239</v>
      </c>
      <c r="N106" s="0" t="n">
        <v>3</v>
      </c>
      <c r="O106" s="0" t="n">
        <v>61</v>
      </c>
      <c r="P106" s="0" t="n">
        <v>64</v>
      </c>
    </row>
    <row r="107" customFormat="false" ht="15" hidden="false" customHeight="false" outlineLevel="0" collapsed="false">
      <c r="A107" s="0" t="n">
        <v>725</v>
      </c>
      <c r="B107" s="0" t="s">
        <v>116</v>
      </c>
      <c r="C107" s="0" t="n">
        <v>1</v>
      </c>
      <c r="D107" s="0" t="n">
        <v>0</v>
      </c>
      <c r="E107" s="0" t="n">
        <v>2</v>
      </c>
      <c r="F107" s="0" t="n">
        <v>13</v>
      </c>
      <c r="G107" s="0" t="b">
        <f aca="false">FALSE()</f>
        <v>0</v>
      </c>
      <c r="H107" s="0" t="n">
        <v>3</v>
      </c>
      <c r="I107" s="0" t="n">
        <v>1</v>
      </c>
      <c r="J107" s="0" t="n">
        <v>0.34</v>
      </c>
      <c r="K107" s="0" t="n">
        <v>0.3333</v>
      </c>
      <c r="L107" s="0" t="n">
        <v>0.93</v>
      </c>
      <c r="M107" s="0" t="n">
        <v>0.1642</v>
      </c>
      <c r="N107" s="0" t="n">
        <v>1</v>
      </c>
      <c r="O107" s="0" t="n">
        <v>74</v>
      </c>
      <c r="P107" s="0" t="n">
        <v>75</v>
      </c>
    </row>
    <row r="108" customFormat="false" ht="15" hidden="false" customHeight="false" outlineLevel="0" collapsed="false">
      <c r="A108" s="0" t="n">
        <v>726</v>
      </c>
      <c r="B108" s="0" t="s">
        <v>116</v>
      </c>
      <c r="C108" s="0" t="n">
        <v>1</v>
      </c>
      <c r="D108" s="0" t="n">
        <v>0</v>
      </c>
      <c r="E108" s="0" t="n">
        <v>2</v>
      </c>
      <c r="F108" s="0" t="n">
        <v>14</v>
      </c>
      <c r="G108" s="0" t="b">
        <f aca="false">FALSE()</f>
        <v>0</v>
      </c>
      <c r="H108" s="0" t="n">
        <v>3</v>
      </c>
      <c r="I108" s="0" t="n">
        <v>1</v>
      </c>
      <c r="J108" s="0" t="n">
        <v>0.38</v>
      </c>
      <c r="K108" s="0" t="n">
        <v>0.3939</v>
      </c>
      <c r="L108" s="0" t="n">
        <v>0.82</v>
      </c>
      <c r="M108" s="0" t="n">
        <v>0.3881</v>
      </c>
      <c r="N108" s="0" t="n">
        <v>2</v>
      </c>
      <c r="O108" s="0" t="n">
        <v>61</v>
      </c>
      <c r="P108" s="0" t="n">
        <v>63</v>
      </c>
    </row>
    <row r="109" customFormat="false" ht="15" hidden="false" customHeight="false" outlineLevel="0" collapsed="false">
      <c r="A109" s="0" t="n">
        <v>727</v>
      </c>
      <c r="B109" s="0" t="s">
        <v>116</v>
      </c>
      <c r="C109" s="0" t="n">
        <v>1</v>
      </c>
      <c r="D109" s="0" t="n">
        <v>0</v>
      </c>
      <c r="E109" s="0" t="n">
        <v>2</v>
      </c>
      <c r="F109" s="0" t="n">
        <v>15</v>
      </c>
      <c r="G109" s="0" t="b">
        <f aca="false">FALSE()</f>
        <v>0</v>
      </c>
      <c r="H109" s="0" t="n">
        <v>3</v>
      </c>
      <c r="I109" s="0" t="n">
        <v>1</v>
      </c>
      <c r="J109" s="0" t="n">
        <v>0.38</v>
      </c>
      <c r="K109" s="0" t="n">
        <v>0.3939</v>
      </c>
      <c r="L109" s="0" t="n">
        <v>0.76</v>
      </c>
      <c r="M109" s="0" t="n">
        <v>0.3284</v>
      </c>
      <c r="N109" s="0" t="n">
        <v>10</v>
      </c>
      <c r="O109" s="0" t="n">
        <v>66</v>
      </c>
      <c r="P109" s="0" t="n">
        <v>76</v>
      </c>
    </row>
    <row r="110" customFormat="false" ht="15" hidden="false" customHeight="false" outlineLevel="0" collapsed="false">
      <c r="A110" s="0" t="n">
        <v>728</v>
      </c>
      <c r="B110" s="0" t="s">
        <v>116</v>
      </c>
      <c r="C110" s="0" t="n">
        <v>1</v>
      </c>
      <c r="D110" s="0" t="n">
        <v>0</v>
      </c>
      <c r="E110" s="0" t="n">
        <v>2</v>
      </c>
      <c r="F110" s="0" t="n">
        <v>16</v>
      </c>
      <c r="G110" s="0" t="b">
        <f aca="false">FALSE()</f>
        <v>0</v>
      </c>
      <c r="H110" s="0" t="n">
        <v>3</v>
      </c>
      <c r="I110" s="0" t="n">
        <v>1</v>
      </c>
      <c r="J110" s="0" t="n">
        <v>0.36</v>
      </c>
      <c r="K110" s="0" t="n">
        <v>0.3333</v>
      </c>
      <c r="L110" s="0" t="n">
        <v>0.71</v>
      </c>
      <c r="M110" s="0" t="n">
        <v>0.2985</v>
      </c>
      <c r="N110" s="0" t="n">
        <v>8</v>
      </c>
      <c r="O110" s="0" t="n">
        <v>95</v>
      </c>
      <c r="P110" s="0" t="n">
        <v>103</v>
      </c>
    </row>
    <row r="111" customFormat="false" ht="15" hidden="false" customHeight="false" outlineLevel="0" collapsed="false">
      <c r="A111" s="0" t="n">
        <v>729</v>
      </c>
      <c r="B111" s="0" t="s">
        <v>116</v>
      </c>
      <c r="C111" s="0" t="n">
        <v>1</v>
      </c>
      <c r="D111" s="0" t="n">
        <v>0</v>
      </c>
      <c r="E111" s="0" t="n">
        <v>2</v>
      </c>
      <c r="F111" s="0" t="n">
        <v>17</v>
      </c>
      <c r="G111" s="0" t="b">
        <f aca="false">FALSE()</f>
        <v>0</v>
      </c>
      <c r="H111" s="0" t="n">
        <v>3</v>
      </c>
      <c r="I111" s="0" t="n">
        <v>1</v>
      </c>
      <c r="J111" s="0" t="n">
        <v>0.36</v>
      </c>
      <c r="K111" s="0" t="n">
        <v>0.3182</v>
      </c>
      <c r="L111" s="0" t="n">
        <v>0.53</v>
      </c>
      <c r="M111" s="0" t="n">
        <v>0.5224</v>
      </c>
      <c r="N111" s="0" t="n">
        <v>7</v>
      </c>
      <c r="O111" s="0" t="n">
        <v>183</v>
      </c>
      <c r="P111" s="0" t="n">
        <v>190</v>
      </c>
    </row>
    <row r="112" customFormat="false" ht="15" hidden="false" customHeight="false" outlineLevel="0" collapsed="false">
      <c r="A112" s="0" t="n">
        <v>730</v>
      </c>
      <c r="B112" s="0" t="s">
        <v>116</v>
      </c>
      <c r="C112" s="0" t="n">
        <v>1</v>
      </c>
      <c r="D112" s="0" t="n">
        <v>0</v>
      </c>
      <c r="E112" s="0" t="n">
        <v>2</v>
      </c>
      <c r="F112" s="0" t="n">
        <v>18</v>
      </c>
      <c r="G112" s="0" t="b">
        <f aca="false">FALSE()</f>
        <v>0</v>
      </c>
      <c r="H112" s="0" t="n">
        <v>3</v>
      </c>
      <c r="I112" s="0" t="n">
        <v>1</v>
      </c>
      <c r="J112" s="0" t="n">
        <v>0.34</v>
      </c>
      <c r="K112" s="0" t="n">
        <v>0.2879</v>
      </c>
      <c r="L112" s="0" t="n">
        <v>0.42</v>
      </c>
      <c r="M112" s="0" t="n">
        <v>0.5522</v>
      </c>
      <c r="N112" s="0" t="n">
        <v>7</v>
      </c>
      <c r="O112" s="0" t="n">
        <v>175</v>
      </c>
      <c r="P112" s="0" t="n">
        <v>182</v>
      </c>
    </row>
    <row r="113" customFormat="false" ht="15" hidden="false" customHeight="false" outlineLevel="0" collapsed="false">
      <c r="A113" s="0" t="n">
        <v>731</v>
      </c>
      <c r="B113" s="0" t="s">
        <v>116</v>
      </c>
      <c r="C113" s="0" t="n">
        <v>1</v>
      </c>
      <c r="D113" s="0" t="n">
        <v>0</v>
      </c>
      <c r="E113" s="0" t="n">
        <v>2</v>
      </c>
      <c r="F113" s="0" t="n">
        <v>19</v>
      </c>
      <c r="G113" s="0" t="b">
        <f aca="false">FALSE()</f>
        <v>0</v>
      </c>
      <c r="H113" s="0" t="n">
        <v>3</v>
      </c>
      <c r="I113" s="0" t="n">
        <v>1</v>
      </c>
      <c r="J113" s="0" t="n">
        <v>0.28</v>
      </c>
      <c r="K113" s="0" t="n">
        <v>0.2424</v>
      </c>
      <c r="L113" s="0" t="n">
        <v>0.45</v>
      </c>
      <c r="M113" s="0" t="n">
        <v>0.4925</v>
      </c>
      <c r="N113" s="0" t="n">
        <v>3</v>
      </c>
      <c r="O113" s="0" t="n">
        <v>88</v>
      </c>
      <c r="P113" s="0" t="n">
        <v>91</v>
      </c>
    </row>
    <row r="114" customFormat="false" ht="15" hidden="false" customHeight="false" outlineLevel="0" collapsed="false">
      <c r="A114" s="0" t="n">
        <v>732</v>
      </c>
      <c r="B114" s="0" t="s">
        <v>116</v>
      </c>
      <c r="C114" s="0" t="n">
        <v>1</v>
      </c>
      <c r="D114" s="0" t="n">
        <v>0</v>
      </c>
      <c r="E114" s="0" t="n">
        <v>2</v>
      </c>
      <c r="F114" s="0" t="n">
        <v>20</v>
      </c>
      <c r="G114" s="0" t="b">
        <f aca="false">FALSE()</f>
        <v>0</v>
      </c>
      <c r="H114" s="0" t="n">
        <v>3</v>
      </c>
      <c r="I114" s="0" t="n">
        <v>1</v>
      </c>
      <c r="J114" s="0" t="n">
        <v>0.24</v>
      </c>
      <c r="K114" s="0" t="n">
        <v>0.197</v>
      </c>
      <c r="L114" s="0" t="n">
        <v>0.48</v>
      </c>
      <c r="M114" s="0" t="n">
        <v>0.5522</v>
      </c>
      <c r="N114" s="0" t="n">
        <v>4</v>
      </c>
      <c r="O114" s="0" t="n">
        <v>71</v>
      </c>
      <c r="P114" s="0" t="n">
        <v>75</v>
      </c>
    </row>
    <row r="115" customFormat="false" ht="15" hidden="false" customHeight="false" outlineLevel="0" collapsed="false">
      <c r="A115" s="0" t="n">
        <v>733</v>
      </c>
      <c r="B115" s="0" t="s">
        <v>116</v>
      </c>
      <c r="C115" s="0" t="n">
        <v>1</v>
      </c>
      <c r="D115" s="0" t="n">
        <v>0</v>
      </c>
      <c r="E115" s="0" t="n">
        <v>2</v>
      </c>
      <c r="F115" s="0" t="n">
        <v>21</v>
      </c>
      <c r="G115" s="0" t="b">
        <f aca="false">FALSE()</f>
        <v>0</v>
      </c>
      <c r="H115" s="0" t="n">
        <v>3</v>
      </c>
      <c r="I115" s="0" t="n">
        <v>1</v>
      </c>
      <c r="J115" s="0" t="n">
        <v>0.22</v>
      </c>
      <c r="K115" s="0" t="n">
        <v>0.197</v>
      </c>
      <c r="L115" s="0" t="n">
        <v>0.47</v>
      </c>
      <c r="M115" s="0" t="n">
        <v>0.3284</v>
      </c>
      <c r="N115" s="0" t="n">
        <v>1</v>
      </c>
      <c r="O115" s="0" t="n">
        <v>62</v>
      </c>
      <c r="P115" s="0" t="n">
        <v>63</v>
      </c>
    </row>
    <row r="116" customFormat="false" ht="15" hidden="false" customHeight="false" outlineLevel="0" collapsed="false">
      <c r="A116" s="0" t="n">
        <v>734</v>
      </c>
      <c r="B116" s="0" t="s">
        <v>116</v>
      </c>
      <c r="C116" s="0" t="n">
        <v>1</v>
      </c>
      <c r="D116" s="0" t="n">
        <v>0</v>
      </c>
      <c r="E116" s="0" t="n">
        <v>2</v>
      </c>
      <c r="F116" s="0" t="n">
        <v>22</v>
      </c>
      <c r="G116" s="0" t="b">
        <f aca="false">FALSE()</f>
        <v>0</v>
      </c>
      <c r="H116" s="0" t="n">
        <v>3</v>
      </c>
      <c r="I116" s="0" t="n">
        <v>1</v>
      </c>
      <c r="J116" s="0" t="n">
        <v>0.22</v>
      </c>
      <c r="K116" s="0" t="n">
        <v>0.2121</v>
      </c>
      <c r="L116" s="0" t="n">
        <v>0.44</v>
      </c>
      <c r="M116" s="0" t="n">
        <v>0.2537</v>
      </c>
      <c r="N116" s="0" t="n">
        <v>5</v>
      </c>
      <c r="O116" s="0" t="n">
        <v>35</v>
      </c>
      <c r="P116" s="0" t="n">
        <v>40</v>
      </c>
    </row>
    <row r="117" customFormat="false" ht="15" hidden="false" customHeight="false" outlineLevel="0" collapsed="false">
      <c r="A117" s="0" t="n">
        <v>735</v>
      </c>
      <c r="B117" s="0" t="s">
        <v>116</v>
      </c>
      <c r="C117" s="0" t="n">
        <v>1</v>
      </c>
      <c r="D117" s="0" t="n">
        <v>0</v>
      </c>
      <c r="E117" s="0" t="n">
        <v>2</v>
      </c>
      <c r="F117" s="0" t="n">
        <v>23</v>
      </c>
      <c r="G117" s="0" t="b">
        <f aca="false">FALSE()</f>
        <v>0</v>
      </c>
      <c r="H117" s="0" t="n">
        <v>3</v>
      </c>
      <c r="I117" s="0" t="n">
        <v>1</v>
      </c>
      <c r="J117" s="0" t="n">
        <v>0.2</v>
      </c>
      <c r="K117" s="0" t="n">
        <v>0.1667</v>
      </c>
      <c r="L117" s="0" t="n">
        <v>0.44</v>
      </c>
      <c r="M117" s="0" t="n">
        <v>0.4478</v>
      </c>
      <c r="N117" s="0" t="n">
        <v>3</v>
      </c>
      <c r="O117" s="0" t="n">
        <v>29</v>
      </c>
      <c r="P117" s="0" t="n">
        <v>32</v>
      </c>
    </row>
    <row r="118" customFormat="false" ht="15" hidden="false" customHeight="false" outlineLevel="0" collapsed="false">
      <c r="A118" s="0" t="n">
        <v>736</v>
      </c>
      <c r="B118" s="0" t="s">
        <v>117</v>
      </c>
      <c r="C118" s="0" t="n">
        <v>1</v>
      </c>
      <c r="D118" s="0" t="n">
        <v>0</v>
      </c>
      <c r="E118" s="0" t="n">
        <v>2</v>
      </c>
      <c r="F118" s="0" t="n">
        <v>0</v>
      </c>
      <c r="G118" s="0" t="b">
        <f aca="false">FALSE()</f>
        <v>0</v>
      </c>
      <c r="H118" s="0" t="n">
        <v>4</v>
      </c>
      <c r="I118" s="0" t="n">
        <v>1</v>
      </c>
      <c r="J118" s="0" t="n">
        <v>0.2</v>
      </c>
      <c r="K118" s="0" t="n">
        <v>0.1667</v>
      </c>
      <c r="L118" s="0" t="n">
        <v>0.4</v>
      </c>
      <c r="M118" s="0" t="n">
        <v>0.4478</v>
      </c>
      <c r="N118" s="0" t="n">
        <v>1</v>
      </c>
      <c r="O118" s="0" t="n">
        <v>11</v>
      </c>
      <c r="P118" s="0" t="n">
        <v>12</v>
      </c>
    </row>
    <row r="119" customFormat="false" ht="15" hidden="false" customHeight="false" outlineLevel="0" collapsed="false">
      <c r="A119" s="0" t="n">
        <v>737</v>
      </c>
      <c r="B119" s="0" t="s">
        <v>117</v>
      </c>
      <c r="C119" s="0" t="n">
        <v>1</v>
      </c>
      <c r="D119" s="0" t="n">
        <v>0</v>
      </c>
      <c r="E119" s="0" t="n">
        <v>2</v>
      </c>
      <c r="F119" s="0" t="n">
        <v>1</v>
      </c>
      <c r="G119" s="0" t="b">
        <f aca="false">FALSE()</f>
        <v>0</v>
      </c>
      <c r="H119" s="0" t="n">
        <v>4</v>
      </c>
      <c r="I119" s="0" t="n">
        <v>1</v>
      </c>
      <c r="J119" s="0" t="n">
        <v>0.2</v>
      </c>
      <c r="K119" s="0" t="n">
        <v>0.1515</v>
      </c>
      <c r="L119" s="0" t="n">
        <v>0.44</v>
      </c>
      <c r="M119" s="0" t="n">
        <v>0.5224</v>
      </c>
      <c r="N119" s="0" t="n">
        <v>0</v>
      </c>
      <c r="O119" s="0" t="n">
        <v>5</v>
      </c>
      <c r="P119" s="0" t="n">
        <v>5</v>
      </c>
    </row>
    <row r="120" customFormat="false" ht="15" hidden="false" customHeight="false" outlineLevel="0" collapsed="false">
      <c r="A120" s="0" t="n">
        <v>738</v>
      </c>
      <c r="B120" s="0" t="s">
        <v>117</v>
      </c>
      <c r="C120" s="0" t="n">
        <v>1</v>
      </c>
      <c r="D120" s="0" t="n">
        <v>0</v>
      </c>
      <c r="E120" s="0" t="n">
        <v>2</v>
      </c>
      <c r="F120" s="0" t="n">
        <v>2</v>
      </c>
      <c r="G120" s="0" t="b">
        <f aca="false">FALSE()</f>
        <v>0</v>
      </c>
      <c r="H120" s="0" t="n">
        <v>4</v>
      </c>
      <c r="I120" s="0" t="n">
        <v>1</v>
      </c>
      <c r="J120" s="0" t="n">
        <v>0.18</v>
      </c>
      <c r="K120" s="0" t="n">
        <v>0.1667</v>
      </c>
      <c r="L120" s="0" t="n">
        <v>0.43</v>
      </c>
      <c r="M120" s="0" t="n">
        <v>0.2537</v>
      </c>
      <c r="N120" s="0" t="n">
        <v>0</v>
      </c>
      <c r="O120" s="0" t="n">
        <v>2</v>
      </c>
      <c r="P120" s="0" t="n">
        <v>2</v>
      </c>
    </row>
    <row r="121" customFormat="false" ht="15" hidden="false" customHeight="false" outlineLevel="0" collapsed="false">
      <c r="A121" s="0" t="n">
        <v>739</v>
      </c>
      <c r="B121" s="0" t="s">
        <v>117</v>
      </c>
      <c r="C121" s="0" t="n">
        <v>1</v>
      </c>
      <c r="D121" s="0" t="n">
        <v>0</v>
      </c>
      <c r="E121" s="0" t="n">
        <v>2</v>
      </c>
      <c r="F121" s="0" t="n">
        <v>3</v>
      </c>
      <c r="G121" s="0" t="b">
        <f aca="false">FALSE()</f>
        <v>0</v>
      </c>
      <c r="H121" s="0" t="n">
        <v>4</v>
      </c>
      <c r="I121" s="0" t="n">
        <v>1</v>
      </c>
      <c r="J121" s="0" t="n">
        <v>0.18</v>
      </c>
      <c r="K121" s="0" t="n">
        <v>0.1667</v>
      </c>
      <c r="L121" s="0" t="n">
        <v>0.43</v>
      </c>
      <c r="M121" s="0" t="n">
        <v>0.2537</v>
      </c>
      <c r="N121" s="0" t="n">
        <v>0</v>
      </c>
      <c r="O121" s="0" t="n">
        <v>1</v>
      </c>
      <c r="P121" s="0" t="n">
        <v>1</v>
      </c>
    </row>
    <row r="122" customFormat="false" ht="15" hidden="false" customHeight="false" outlineLevel="0" collapsed="false">
      <c r="A122" s="0" t="n">
        <v>740</v>
      </c>
      <c r="B122" s="0" t="s">
        <v>117</v>
      </c>
      <c r="C122" s="0" t="n">
        <v>1</v>
      </c>
      <c r="D122" s="0" t="n">
        <v>0</v>
      </c>
      <c r="E122" s="0" t="n">
        <v>2</v>
      </c>
      <c r="F122" s="0" t="n">
        <v>5</v>
      </c>
      <c r="G122" s="0" t="b">
        <f aca="false">FALSE()</f>
        <v>0</v>
      </c>
      <c r="H122" s="0" t="n">
        <v>4</v>
      </c>
      <c r="I122" s="0" t="n">
        <v>1</v>
      </c>
      <c r="J122" s="0" t="n">
        <v>0.16</v>
      </c>
      <c r="K122" s="0" t="n">
        <v>0.1364</v>
      </c>
      <c r="L122" s="0" t="n">
        <v>0.5</v>
      </c>
      <c r="M122" s="0" t="n">
        <v>0.2985</v>
      </c>
      <c r="N122" s="0" t="n">
        <v>0</v>
      </c>
      <c r="O122" s="0" t="n">
        <v>2</v>
      </c>
      <c r="P122" s="0" t="n">
        <v>2</v>
      </c>
    </row>
    <row r="123" customFormat="false" ht="15" hidden="false" customHeight="false" outlineLevel="0" collapsed="false">
      <c r="A123" s="0" t="n">
        <v>741</v>
      </c>
      <c r="B123" s="0" t="s">
        <v>117</v>
      </c>
      <c r="C123" s="0" t="n">
        <v>1</v>
      </c>
      <c r="D123" s="0" t="n">
        <v>0</v>
      </c>
      <c r="E123" s="0" t="n">
        <v>2</v>
      </c>
      <c r="F123" s="0" t="n">
        <v>6</v>
      </c>
      <c r="G123" s="0" t="b">
        <f aca="false">FALSE()</f>
        <v>0</v>
      </c>
      <c r="H123" s="0" t="n">
        <v>4</v>
      </c>
      <c r="I123" s="0" t="n">
        <v>1</v>
      </c>
      <c r="J123" s="0" t="n">
        <v>0.16</v>
      </c>
      <c r="K123" s="0" t="n">
        <v>0.1364</v>
      </c>
      <c r="L123" s="0" t="n">
        <v>0.43</v>
      </c>
      <c r="M123" s="0" t="n">
        <v>0.3582</v>
      </c>
      <c r="N123" s="0" t="n">
        <v>0</v>
      </c>
      <c r="O123" s="0" t="n">
        <v>39</v>
      </c>
      <c r="P123" s="0" t="n">
        <v>39</v>
      </c>
    </row>
    <row r="124" customFormat="false" ht="15" hidden="false" customHeight="false" outlineLevel="0" collapsed="false">
      <c r="A124" s="0" t="n">
        <v>742</v>
      </c>
      <c r="B124" s="0" t="s">
        <v>117</v>
      </c>
      <c r="C124" s="0" t="n">
        <v>1</v>
      </c>
      <c r="D124" s="0" t="n">
        <v>0</v>
      </c>
      <c r="E124" s="0" t="n">
        <v>2</v>
      </c>
      <c r="F124" s="0" t="n">
        <v>7</v>
      </c>
      <c r="G124" s="0" t="b">
        <f aca="false">FALSE()</f>
        <v>0</v>
      </c>
      <c r="H124" s="0" t="n">
        <v>4</v>
      </c>
      <c r="I124" s="0" t="n">
        <v>1</v>
      </c>
      <c r="J124" s="0" t="n">
        <v>0.14</v>
      </c>
      <c r="K124" s="0" t="n">
        <v>0.1212</v>
      </c>
      <c r="L124" s="0" t="n">
        <v>0.5</v>
      </c>
      <c r="M124" s="0" t="n">
        <v>0.3284</v>
      </c>
      <c r="N124" s="0" t="n">
        <v>1</v>
      </c>
      <c r="O124" s="0" t="n">
        <v>86</v>
      </c>
      <c r="P124" s="0" t="n">
        <v>87</v>
      </c>
    </row>
    <row r="125" customFormat="false" ht="15" hidden="false" customHeight="false" outlineLevel="0" collapsed="false">
      <c r="A125" s="0" t="n">
        <v>743</v>
      </c>
      <c r="B125" s="0" t="s">
        <v>117</v>
      </c>
      <c r="C125" s="0" t="n">
        <v>1</v>
      </c>
      <c r="D125" s="0" t="n">
        <v>0</v>
      </c>
      <c r="E125" s="0" t="n">
        <v>2</v>
      </c>
      <c r="F125" s="0" t="n">
        <v>8</v>
      </c>
      <c r="G125" s="0" t="b">
        <f aca="false">FALSE()</f>
        <v>0</v>
      </c>
      <c r="H125" s="0" t="n">
        <v>4</v>
      </c>
      <c r="I125" s="0" t="n">
        <v>1</v>
      </c>
      <c r="J125" s="0" t="n">
        <v>0.14</v>
      </c>
      <c r="K125" s="0" t="n">
        <v>0.1212</v>
      </c>
      <c r="L125" s="0" t="n">
        <v>0.5</v>
      </c>
      <c r="M125" s="0" t="n">
        <v>0.3582</v>
      </c>
      <c r="N125" s="0" t="n">
        <v>4</v>
      </c>
      <c r="O125" s="0" t="n">
        <v>184</v>
      </c>
      <c r="P125" s="0" t="n">
        <v>188</v>
      </c>
    </row>
    <row r="126" customFormat="false" ht="15" hidden="false" customHeight="false" outlineLevel="0" collapsed="false">
      <c r="A126" s="0" t="n">
        <v>744</v>
      </c>
      <c r="B126" s="0" t="s">
        <v>117</v>
      </c>
      <c r="C126" s="0" t="n">
        <v>1</v>
      </c>
      <c r="D126" s="0" t="n">
        <v>0</v>
      </c>
      <c r="E126" s="0" t="n">
        <v>2</v>
      </c>
      <c r="F126" s="0" t="n">
        <v>9</v>
      </c>
      <c r="G126" s="0" t="b">
        <f aca="false">FALSE()</f>
        <v>0</v>
      </c>
      <c r="H126" s="0" t="n">
        <v>4</v>
      </c>
      <c r="I126" s="0" t="n">
        <v>1</v>
      </c>
      <c r="J126" s="0" t="n">
        <v>0.16</v>
      </c>
      <c r="K126" s="0" t="n">
        <v>0.1364</v>
      </c>
      <c r="L126" s="0" t="n">
        <v>0.47</v>
      </c>
      <c r="M126" s="0" t="n">
        <v>0.2985</v>
      </c>
      <c r="N126" s="0" t="n">
        <v>6</v>
      </c>
      <c r="O126" s="0" t="n">
        <v>127</v>
      </c>
      <c r="P126" s="0" t="n">
        <v>133</v>
      </c>
    </row>
    <row r="127" customFormat="false" ht="15" hidden="false" customHeight="false" outlineLevel="0" collapsed="false">
      <c r="A127" s="0" t="n">
        <v>745</v>
      </c>
      <c r="B127" s="0" t="s">
        <v>117</v>
      </c>
      <c r="C127" s="0" t="n">
        <v>1</v>
      </c>
      <c r="D127" s="0" t="n">
        <v>0</v>
      </c>
      <c r="E127" s="0" t="n">
        <v>2</v>
      </c>
      <c r="F127" s="0" t="n">
        <v>10</v>
      </c>
      <c r="G127" s="0" t="b">
        <f aca="false">FALSE()</f>
        <v>0</v>
      </c>
      <c r="H127" s="0" t="n">
        <v>4</v>
      </c>
      <c r="I127" s="0" t="n">
        <v>1</v>
      </c>
      <c r="J127" s="0" t="n">
        <v>0.18</v>
      </c>
      <c r="K127" s="0" t="n">
        <v>0.1515</v>
      </c>
      <c r="L127" s="0" t="n">
        <v>0.43</v>
      </c>
      <c r="M127" s="0" t="n">
        <v>0.3284</v>
      </c>
      <c r="N127" s="0" t="n">
        <v>2</v>
      </c>
      <c r="O127" s="0" t="n">
        <v>50</v>
      </c>
      <c r="P127" s="0" t="n">
        <v>52</v>
      </c>
    </row>
    <row r="128" customFormat="false" ht="15" hidden="false" customHeight="false" outlineLevel="0" collapsed="false">
      <c r="A128" s="0" t="n">
        <v>746</v>
      </c>
      <c r="B128" s="0" t="s">
        <v>117</v>
      </c>
      <c r="C128" s="0" t="n">
        <v>1</v>
      </c>
      <c r="D128" s="0" t="n">
        <v>0</v>
      </c>
      <c r="E128" s="0" t="n">
        <v>2</v>
      </c>
      <c r="F128" s="0" t="n">
        <v>11</v>
      </c>
      <c r="G128" s="0" t="b">
        <f aca="false">FALSE()</f>
        <v>0</v>
      </c>
      <c r="H128" s="0" t="n">
        <v>4</v>
      </c>
      <c r="I128" s="0" t="n">
        <v>1</v>
      </c>
      <c r="J128" s="0" t="n">
        <v>0.18</v>
      </c>
      <c r="K128" s="0" t="n">
        <v>0.1364</v>
      </c>
      <c r="L128" s="0" t="n">
        <v>0.43</v>
      </c>
      <c r="M128" s="0" t="n">
        <v>0.4478</v>
      </c>
      <c r="N128" s="0" t="n">
        <v>9</v>
      </c>
      <c r="O128" s="0" t="n">
        <v>55</v>
      </c>
      <c r="P128" s="0" t="n">
        <v>64</v>
      </c>
    </row>
    <row r="129" customFormat="false" ht="15" hidden="false" customHeight="false" outlineLevel="0" collapsed="false">
      <c r="A129" s="0" t="n">
        <v>747</v>
      </c>
      <c r="B129" s="0" t="s">
        <v>117</v>
      </c>
      <c r="C129" s="0" t="n">
        <v>1</v>
      </c>
      <c r="D129" s="0" t="n">
        <v>0</v>
      </c>
      <c r="E129" s="0" t="n">
        <v>2</v>
      </c>
      <c r="F129" s="0" t="n">
        <v>12</v>
      </c>
      <c r="G129" s="0" t="b">
        <f aca="false">FALSE()</f>
        <v>0</v>
      </c>
      <c r="H129" s="0" t="n">
        <v>4</v>
      </c>
      <c r="I129" s="0" t="n">
        <v>1</v>
      </c>
      <c r="J129" s="0" t="n">
        <v>0.2</v>
      </c>
      <c r="K129" s="0" t="n">
        <v>0.1818</v>
      </c>
      <c r="L129" s="0" t="n">
        <v>0.4</v>
      </c>
      <c r="M129" s="0" t="n">
        <v>0.3582</v>
      </c>
      <c r="N129" s="0" t="n">
        <v>2</v>
      </c>
      <c r="O129" s="0" t="n">
        <v>67</v>
      </c>
      <c r="P129" s="0" t="n">
        <v>69</v>
      </c>
    </row>
    <row r="130" customFormat="false" ht="15" hidden="false" customHeight="false" outlineLevel="0" collapsed="false">
      <c r="A130" s="0" t="n">
        <v>748</v>
      </c>
      <c r="B130" s="0" t="s">
        <v>117</v>
      </c>
      <c r="C130" s="0" t="n">
        <v>1</v>
      </c>
      <c r="D130" s="0" t="n">
        <v>0</v>
      </c>
      <c r="E130" s="0" t="n">
        <v>2</v>
      </c>
      <c r="F130" s="0" t="n">
        <v>13</v>
      </c>
      <c r="G130" s="0" t="b">
        <f aca="false">FALSE()</f>
        <v>0</v>
      </c>
      <c r="H130" s="0" t="n">
        <v>4</v>
      </c>
      <c r="I130" s="0" t="n">
        <v>1</v>
      </c>
      <c r="J130" s="0" t="n">
        <v>0.2</v>
      </c>
      <c r="K130" s="0" t="n">
        <v>0.1667</v>
      </c>
      <c r="L130" s="0" t="n">
        <v>0.4</v>
      </c>
      <c r="M130" s="0" t="n">
        <v>0.4179</v>
      </c>
      <c r="N130" s="0" t="n">
        <v>4</v>
      </c>
      <c r="O130" s="0" t="n">
        <v>47</v>
      </c>
      <c r="P130" s="0" t="n">
        <v>51</v>
      </c>
    </row>
    <row r="131" customFormat="false" ht="15" hidden="false" customHeight="false" outlineLevel="0" collapsed="false">
      <c r="A131" s="0" t="n">
        <v>749</v>
      </c>
      <c r="B131" s="0" t="s">
        <v>117</v>
      </c>
      <c r="C131" s="0" t="n">
        <v>1</v>
      </c>
      <c r="D131" s="0" t="n">
        <v>0</v>
      </c>
      <c r="E131" s="0" t="n">
        <v>2</v>
      </c>
      <c r="F131" s="0" t="n">
        <v>14</v>
      </c>
      <c r="G131" s="0" t="b">
        <f aca="false">FALSE()</f>
        <v>0</v>
      </c>
      <c r="H131" s="0" t="n">
        <v>4</v>
      </c>
      <c r="I131" s="0" t="n">
        <v>1</v>
      </c>
      <c r="J131" s="0" t="n">
        <v>0.22</v>
      </c>
      <c r="K131" s="0" t="n">
        <v>0.197</v>
      </c>
      <c r="L131" s="0" t="n">
        <v>0.37</v>
      </c>
      <c r="M131" s="0" t="n">
        <v>0.3881</v>
      </c>
      <c r="N131" s="0" t="n">
        <v>4</v>
      </c>
      <c r="O131" s="0" t="n">
        <v>43</v>
      </c>
      <c r="P131" s="0" t="n">
        <v>47</v>
      </c>
    </row>
    <row r="132" customFormat="false" ht="15" hidden="false" customHeight="false" outlineLevel="0" collapsed="false">
      <c r="A132" s="0" t="n">
        <v>750</v>
      </c>
      <c r="B132" s="0" t="s">
        <v>117</v>
      </c>
      <c r="C132" s="0" t="n">
        <v>1</v>
      </c>
      <c r="D132" s="0" t="n">
        <v>0</v>
      </c>
      <c r="E132" s="0" t="n">
        <v>2</v>
      </c>
      <c r="F132" s="0" t="n">
        <v>15</v>
      </c>
      <c r="G132" s="0" t="b">
        <f aca="false">FALSE()</f>
        <v>0</v>
      </c>
      <c r="H132" s="0" t="n">
        <v>4</v>
      </c>
      <c r="I132" s="0" t="n">
        <v>1</v>
      </c>
      <c r="J132" s="0" t="n">
        <v>0.22</v>
      </c>
      <c r="K132" s="0" t="n">
        <v>0.197</v>
      </c>
      <c r="L132" s="0" t="n">
        <v>0.37</v>
      </c>
      <c r="M132" s="0" t="n">
        <v>0.3284</v>
      </c>
      <c r="N132" s="0" t="n">
        <v>4</v>
      </c>
      <c r="O132" s="0" t="n">
        <v>56</v>
      </c>
      <c r="P132" s="0" t="n">
        <v>60</v>
      </c>
    </row>
    <row r="133" customFormat="false" ht="15" hidden="false" customHeight="false" outlineLevel="0" collapsed="false">
      <c r="A133" s="0" t="n">
        <v>751</v>
      </c>
      <c r="B133" s="0" t="s">
        <v>117</v>
      </c>
      <c r="C133" s="0" t="n">
        <v>1</v>
      </c>
      <c r="D133" s="0" t="n">
        <v>0</v>
      </c>
      <c r="E133" s="0" t="n">
        <v>2</v>
      </c>
      <c r="F133" s="0" t="n">
        <v>16</v>
      </c>
      <c r="G133" s="0" t="b">
        <f aca="false">FALSE()</f>
        <v>0</v>
      </c>
      <c r="H133" s="0" t="n">
        <v>4</v>
      </c>
      <c r="I133" s="0" t="n">
        <v>1</v>
      </c>
      <c r="J133" s="0" t="n">
        <v>0.22</v>
      </c>
      <c r="K133" s="0" t="n">
        <v>0.2121</v>
      </c>
      <c r="L133" s="0" t="n">
        <v>0.37</v>
      </c>
      <c r="M133" s="0" t="n">
        <v>0.2537</v>
      </c>
      <c r="N133" s="0" t="n">
        <v>5</v>
      </c>
      <c r="O133" s="0" t="n">
        <v>73</v>
      </c>
      <c r="P133" s="0" t="n">
        <v>78</v>
      </c>
    </row>
    <row r="134" customFormat="false" ht="15" hidden="false" customHeight="false" outlineLevel="0" collapsed="false">
      <c r="A134" s="0" t="n">
        <v>752</v>
      </c>
      <c r="B134" s="0" t="s">
        <v>117</v>
      </c>
      <c r="C134" s="0" t="n">
        <v>1</v>
      </c>
      <c r="D134" s="0" t="n">
        <v>0</v>
      </c>
      <c r="E134" s="0" t="n">
        <v>2</v>
      </c>
      <c r="F134" s="0" t="n">
        <v>17</v>
      </c>
      <c r="G134" s="0" t="b">
        <f aca="false">FALSE()</f>
        <v>0</v>
      </c>
      <c r="H134" s="0" t="n">
        <v>4</v>
      </c>
      <c r="I134" s="0" t="n">
        <v>1</v>
      </c>
      <c r="J134" s="0" t="n">
        <v>0.2</v>
      </c>
      <c r="K134" s="0" t="n">
        <v>0.197</v>
      </c>
      <c r="L134" s="0" t="n">
        <v>0.4</v>
      </c>
      <c r="M134" s="0" t="n">
        <v>0.194</v>
      </c>
      <c r="N134" s="0" t="n">
        <v>5</v>
      </c>
      <c r="O134" s="0" t="n">
        <v>170</v>
      </c>
      <c r="P134" s="0" t="n">
        <v>175</v>
      </c>
    </row>
    <row r="135" customFormat="false" ht="15" hidden="false" customHeight="false" outlineLevel="0" collapsed="false">
      <c r="A135" s="0" t="n">
        <v>753</v>
      </c>
      <c r="B135" s="0" t="s">
        <v>117</v>
      </c>
      <c r="C135" s="0" t="n">
        <v>1</v>
      </c>
      <c r="D135" s="0" t="n">
        <v>0</v>
      </c>
      <c r="E135" s="0" t="n">
        <v>2</v>
      </c>
      <c r="F135" s="0" t="n">
        <v>18</v>
      </c>
      <c r="G135" s="0" t="b">
        <f aca="false">FALSE()</f>
        <v>0</v>
      </c>
      <c r="H135" s="0" t="n">
        <v>4</v>
      </c>
      <c r="I135" s="0" t="n">
        <v>1</v>
      </c>
      <c r="J135" s="0" t="n">
        <v>0.2</v>
      </c>
      <c r="K135" s="0" t="n">
        <v>0.2121</v>
      </c>
      <c r="L135" s="0" t="n">
        <v>0.4</v>
      </c>
      <c r="M135" s="0" t="n">
        <v>0.1642</v>
      </c>
      <c r="N135" s="0" t="n">
        <v>2</v>
      </c>
      <c r="O135" s="0" t="n">
        <v>145</v>
      </c>
      <c r="P135" s="0" t="n">
        <v>147</v>
      </c>
    </row>
    <row r="136" customFormat="false" ht="15" hidden="false" customHeight="false" outlineLevel="0" collapsed="false">
      <c r="A136" s="0" t="n">
        <v>754</v>
      </c>
      <c r="B136" s="0" t="s">
        <v>117</v>
      </c>
      <c r="C136" s="0" t="n">
        <v>1</v>
      </c>
      <c r="D136" s="0" t="n">
        <v>0</v>
      </c>
      <c r="E136" s="0" t="n">
        <v>2</v>
      </c>
      <c r="F136" s="0" t="n">
        <v>19</v>
      </c>
      <c r="G136" s="0" t="b">
        <f aca="false">FALSE()</f>
        <v>0</v>
      </c>
      <c r="H136" s="0" t="n">
        <v>4</v>
      </c>
      <c r="I136" s="0" t="n">
        <v>1</v>
      </c>
      <c r="J136" s="0" t="n">
        <v>0.2</v>
      </c>
      <c r="K136" s="0" t="n">
        <v>0.2576</v>
      </c>
      <c r="L136" s="0" t="n">
        <v>0.4</v>
      </c>
      <c r="M136" s="0" t="n">
        <v>0</v>
      </c>
      <c r="N136" s="0" t="n">
        <v>4</v>
      </c>
      <c r="O136" s="0" t="n">
        <v>92</v>
      </c>
      <c r="P136" s="0" t="n">
        <v>96</v>
      </c>
    </row>
    <row r="137" customFormat="false" ht="15" hidden="false" customHeight="false" outlineLevel="0" collapsed="false">
      <c r="A137" s="0" t="n">
        <v>755</v>
      </c>
      <c r="B137" s="0" t="s">
        <v>117</v>
      </c>
      <c r="C137" s="0" t="n">
        <v>1</v>
      </c>
      <c r="D137" s="0" t="n">
        <v>0</v>
      </c>
      <c r="E137" s="0" t="n">
        <v>2</v>
      </c>
      <c r="F137" s="0" t="n">
        <v>20</v>
      </c>
      <c r="G137" s="0" t="b">
        <f aca="false">FALSE()</f>
        <v>0</v>
      </c>
      <c r="H137" s="0" t="n">
        <v>4</v>
      </c>
      <c r="I137" s="0" t="n">
        <v>1</v>
      </c>
      <c r="J137" s="0" t="n">
        <v>0.2</v>
      </c>
      <c r="K137" s="0" t="n">
        <v>0.2273</v>
      </c>
      <c r="L137" s="0" t="n">
        <v>0.47</v>
      </c>
      <c r="M137" s="0" t="n">
        <v>0.0896</v>
      </c>
      <c r="N137" s="0" t="n">
        <v>1</v>
      </c>
      <c r="O137" s="0" t="n">
        <v>108</v>
      </c>
      <c r="P137" s="0" t="n">
        <v>109</v>
      </c>
    </row>
    <row r="138" customFormat="false" ht="15" hidden="false" customHeight="false" outlineLevel="0" collapsed="false">
      <c r="A138" s="0" t="n">
        <v>756</v>
      </c>
      <c r="B138" s="0" t="s">
        <v>117</v>
      </c>
      <c r="C138" s="0" t="n">
        <v>1</v>
      </c>
      <c r="D138" s="0" t="n">
        <v>0</v>
      </c>
      <c r="E138" s="0" t="n">
        <v>2</v>
      </c>
      <c r="F138" s="0" t="n">
        <v>21</v>
      </c>
      <c r="G138" s="0" t="b">
        <f aca="false">FALSE()</f>
        <v>0</v>
      </c>
      <c r="H138" s="0" t="n">
        <v>4</v>
      </c>
      <c r="I138" s="0" t="n">
        <v>1</v>
      </c>
      <c r="J138" s="0" t="n">
        <v>0.18</v>
      </c>
      <c r="K138" s="0" t="n">
        <v>0.2121</v>
      </c>
      <c r="L138" s="0" t="n">
        <v>0.55</v>
      </c>
      <c r="M138" s="0" t="n">
        <v>0.1045</v>
      </c>
      <c r="N138" s="0" t="n">
        <v>1</v>
      </c>
      <c r="O138" s="0" t="n">
        <v>53</v>
      </c>
      <c r="P138" s="0" t="n">
        <v>54</v>
      </c>
    </row>
    <row r="139" customFormat="false" ht="15" hidden="false" customHeight="false" outlineLevel="0" collapsed="false">
      <c r="A139" s="0" t="n">
        <v>757</v>
      </c>
      <c r="B139" s="0" t="s">
        <v>117</v>
      </c>
      <c r="C139" s="0" t="n">
        <v>1</v>
      </c>
      <c r="D139" s="0" t="n">
        <v>0</v>
      </c>
      <c r="E139" s="0" t="n">
        <v>2</v>
      </c>
      <c r="F139" s="0" t="n">
        <v>22</v>
      </c>
      <c r="G139" s="0" t="b">
        <f aca="false">FALSE()</f>
        <v>0</v>
      </c>
      <c r="H139" s="0" t="n">
        <v>4</v>
      </c>
      <c r="I139" s="0" t="n">
        <v>1</v>
      </c>
      <c r="J139" s="0" t="n">
        <v>0.18</v>
      </c>
      <c r="K139" s="0" t="n">
        <v>0.2121</v>
      </c>
      <c r="L139" s="0" t="n">
        <v>0.51</v>
      </c>
      <c r="M139" s="0" t="n">
        <v>0.0896</v>
      </c>
      <c r="N139" s="0" t="n">
        <v>2</v>
      </c>
      <c r="O139" s="0" t="n">
        <v>39</v>
      </c>
      <c r="P139" s="0" t="n">
        <v>41</v>
      </c>
    </row>
    <row r="140" customFormat="false" ht="15" hidden="false" customHeight="false" outlineLevel="0" collapsed="false">
      <c r="A140" s="0" t="n">
        <v>758</v>
      </c>
      <c r="B140" s="0" t="s">
        <v>117</v>
      </c>
      <c r="C140" s="0" t="n">
        <v>1</v>
      </c>
      <c r="D140" s="0" t="n">
        <v>0</v>
      </c>
      <c r="E140" s="0" t="n">
        <v>2</v>
      </c>
      <c r="F140" s="0" t="n">
        <v>23</v>
      </c>
      <c r="G140" s="0" t="b">
        <f aca="false">FALSE()</f>
        <v>0</v>
      </c>
      <c r="H140" s="0" t="n">
        <v>4</v>
      </c>
      <c r="I140" s="0" t="n">
        <v>1</v>
      </c>
      <c r="J140" s="0" t="n">
        <v>0.2</v>
      </c>
      <c r="K140" s="0" t="n">
        <v>0.2273</v>
      </c>
      <c r="L140" s="0" t="n">
        <v>0.47</v>
      </c>
      <c r="M140" s="0" t="n">
        <v>0.1045</v>
      </c>
      <c r="N140" s="0" t="n">
        <v>4</v>
      </c>
      <c r="O140" s="0" t="n">
        <v>34</v>
      </c>
      <c r="P140" s="0" t="n">
        <v>38</v>
      </c>
    </row>
    <row r="141" customFormat="false" ht="15" hidden="false" customHeight="false" outlineLevel="0" collapsed="false">
      <c r="A141" s="0" t="n">
        <v>759</v>
      </c>
      <c r="B141" s="0" t="s">
        <v>118</v>
      </c>
      <c r="C141" s="0" t="n">
        <v>1</v>
      </c>
      <c r="D141" s="0" t="n">
        <v>0</v>
      </c>
      <c r="E141" s="0" t="n">
        <v>2</v>
      </c>
      <c r="F141" s="0" t="n">
        <v>0</v>
      </c>
      <c r="G141" s="0" t="b">
        <f aca="false">FALSE()</f>
        <v>0</v>
      </c>
      <c r="H141" s="0" t="n">
        <v>5</v>
      </c>
      <c r="I141" s="0" t="n">
        <v>2</v>
      </c>
      <c r="J141" s="0" t="n">
        <v>0.2</v>
      </c>
      <c r="K141" s="0" t="n">
        <v>0.2576</v>
      </c>
      <c r="L141" s="0" t="n">
        <v>0.44</v>
      </c>
      <c r="M141" s="0" t="n">
        <v>0</v>
      </c>
      <c r="N141" s="0" t="n">
        <v>3</v>
      </c>
      <c r="O141" s="0" t="n">
        <v>10</v>
      </c>
      <c r="P141" s="0" t="n">
        <v>13</v>
      </c>
    </row>
    <row r="142" customFormat="false" ht="15" hidden="false" customHeight="false" outlineLevel="0" collapsed="false">
      <c r="A142" s="0" t="n">
        <v>760</v>
      </c>
      <c r="B142" s="0" t="s">
        <v>118</v>
      </c>
      <c r="C142" s="0" t="n">
        <v>1</v>
      </c>
      <c r="D142" s="0" t="n">
        <v>0</v>
      </c>
      <c r="E142" s="0" t="n">
        <v>2</v>
      </c>
      <c r="F142" s="0" t="n">
        <v>1</v>
      </c>
      <c r="G142" s="0" t="b">
        <f aca="false">FALSE()</f>
        <v>0</v>
      </c>
      <c r="H142" s="0" t="n">
        <v>5</v>
      </c>
      <c r="I142" s="0" t="n">
        <v>2</v>
      </c>
      <c r="J142" s="0" t="n">
        <v>0.16</v>
      </c>
      <c r="K142" s="0" t="n">
        <v>0.2273</v>
      </c>
      <c r="L142" s="0" t="n">
        <v>0.59</v>
      </c>
      <c r="M142" s="0" t="n">
        <v>0</v>
      </c>
      <c r="N142" s="0" t="n">
        <v>0</v>
      </c>
      <c r="O142" s="0" t="n">
        <v>7</v>
      </c>
      <c r="P142" s="0" t="n">
        <v>7</v>
      </c>
    </row>
    <row r="143" customFormat="false" ht="15" hidden="false" customHeight="false" outlineLevel="0" collapsed="false">
      <c r="A143" s="0" t="n">
        <v>761</v>
      </c>
      <c r="B143" s="0" t="s">
        <v>118</v>
      </c>
      <c r="C143" s="0" t="n">
        <v>1</v>
      </c>
      <c r="D143" s="0" t="n">
        <v>0</v>
      </c>
      <c r="E143" s="0" t="n">
        <v>2</v>
      </c>
      <c r="F143" s="0" t="n">
        <v>2</v>
      </c>
      <c r="G143" s="0" t="b">
        <f aca="false">FALSE()</f>
        <v>0</v>
      </c>
      <c r="H143" s="0" t="n">
        <v>5</v>
      </c>
      <c r="I143" s="0" t="n">
        <v>2</v>
      </c>
      <c r="J143" s="0" t="n">
        <v>0.14</v>
      </c>
      <c r="K143" s="0" t="n">
        <v>0.1667</v>
      </c>
      <c r="L143" s="0" t="n">
        <v>0.63</v>
      </c>
      <c r="M143" s="0" t="n">
        <v>0.1045</v>
      </c>
      <c r="N143" s="0" t="n">
        <v>0</v>
      </c>
      <c r="O143" s="0" t="n">
        <v>1</v>
      </c>
      <c r="P143" s="0" t="n">
        <v>1</v>
      </c>
    </row>
    <row r="144" customFormat="false" ht="15" hidden="false" customHeight="false" outlineLevel="0" collapsed="false">
      <c r="A144" s="0" t="n">
        <v>762</v>
      </c>
      <c r="B144" s="0" t="s">
        <v>118</v>
      </c>
      <c r="C144" s="0" t="n">
        <v>1</v>
      </c>
      <c r="D144" s="0" t="n">
        <v>0</v>
      </c>
      <c r="E144" s="0" t="n">
        <v>2</v>
      </c>
      <c r="F144" s="0" t="n">
        <v>3</v>
      </c>
      <c r="G144" s="0" t="b">
        <f aca="false">FALSE()</f>
        <v>0</v>
      </c>
      <c r="H144" s="0" t="n">
        <v>5</v>
      </c>
      <c r="I144" s="0" t="n">
        <v>2</v>
      </c>
      <c r="J144" s="0" t="n">
        <v>0.14</v>
      </c>
      <c r="K144" s="0" t="n">
        <v>0.1667</v>
      </c>
      <c r="L144" s="0" t="n">
        <v>0.63</v>
      </c>
      <c r="M144" s="0" t="n">
        <v>0.1045</v>
      </c>
      <c r="N144" s="0" t="n">
        <v>0</v>
      </c>
      <c r="O144" s="0" t="n">
        <v>1</v>
      </c>
      <c r="P144" s="0" t="n">
        <v>1</v>
      </c>
    </row>
    <row r="145" customFormat="false" ht="15" hidden="false" customHeight="false" outlineLevel="0" collapsed="false">
      <c r="A145" s="0" t="n">
        <v>763</v>
      </c>
      <c r="B145" s="0" t="s">
        <v>118</v>
      </c>
      <c r="C145" s="0" t="n">
        <v>1</v>
      </c>
      <c r="D145" s="0" t="n">
        <v>0</v>
      </c>
      <c r="E145" s="0" t="n">
        <v>2</v>
      </c>
      <c r="F145" s="0" t="n">
        <v>5</v>
      </c>
      <c r="G145" s="0" t="b">
        <f aca="false">FALSE()</f>
        <v>0</v>
      </c>
      <c r="H145" s="0" t="n">
        <v>5</v>
      </c>
      <c r="I145" s="0" t="n">
        <v>2</v>
      </c>
      <c r="J145" s="0" t="n">
        <v>0.14</v>
      </c>
      <c r="K145" s="0" t="n">
        <v>0.1515</v>
      </c>
      <c r="L145" s="0" t="n">
        <v>0.63</v>
      </c>
      <c r="M145" s="0" t="n">
        <v>0.1343</v>
      </c>
      <c r="N145" s="0" t="n">
        <v>0</v>
      </c>
      <c r="O145" s="0" t="n">
        <v>7</v>
      </c>
      <c r="P145" s="0" t="n">
        <v>7</v>
      </c>
    </row>
    <row r="146" customFormat="false" ht="15" hidden="false" customHeight="false" outlineLevel="0" collapsed="false">
      <c r="A146" s="0" t="n">
        <v>764</v>
      </c>
      <c r="B146" s="0" t="s">
        <v>118</v>
      </c>
      <c r="C146" s="0" t="n">
        <v>1</v>
      </c>
      <c r="D146" s="0" t="n">
        <v>0</v>
      </c>
      <c r="E146" s="0" t="n">
        <v>2</v>
      </c>
      <c r="F146" s="0" t="n">
        <v>6</v>
      </c>
      <c r="G146" s="0" t="b">
        <f aca="false">FALSE()</f>
        <v>0</v>
      </c>
      <c r="H146" s="0" t="n">
        <v>5</v>
      </c>
      <c r="I146" s="0" t="n">
        <v>2</v>
      </c>
      <c r="J146" s="0" t="n">
        <v>0.16</v>
      </c>
      <c r="K146" s="0" t="n">
        <v>0.2273</v>
      </c>
      <c r="L146" s="0" t="n">
        <v>0.55</v>
      </c>
      <c r="M146" s="0" t="n">
        <v>0</v>
      </c>
      <c r="N146" s="0" t="n">
        <v>2</v>
      </c>
      <c r="O146" s="0" t="n">
        <v>26</v>
      </c>
      <c r="P146" s="0" t="n">
        <v>28</v>
      </c>
    </row>
    <row r="147" customFormat="false" ht="15" hidden="false" customHeight="false" outlineLevel="0" collapsed="false">
      <c r="A147" s="0" t="n">
        <v>765</v>
      </c>
      <c r="B147" s="0" t="s">
        <v>118</v>
      </c>
      <c r="C147" s="0" t="n">
        <v>1</v>
      </c>
      <c r="D147" s="0" t="n">
        <v>0</v>
      </c>
      <c r="E147" s="0" t="n">
        <v>2</v>
      </c>
      <c r="F147" s="0" t="n">
        <v>7</v>
      </c>
      <c r="G147" s="0" t="b">
        <f aca="false">FALSE()</f>
        <v>0</v>
      </c>
      <c r="H147" s="0" t="n">
        <v>5</v>
      </c>
      <c r="I147" s="0" t="n">
        <v>1</v>
      </c>
      <c r="J147" s="0" t="n">
        <v>0.14</v>
      </c>
      <c r="K147" s="0" t="n">
        <v>0.2121</v>
      </c>
      <c r="L147" s="0" t="n">
        <v>0.59</v>
      </c>
      <c r="M147" s="0" t="n">
        <v>0</v>
      </c>
      <c r="N147" s="0" t="n">
        <v>0</v>
      </c>
      <c r="O147" s="0" t="n">
        <v>87</v>
      </c>
      <c r="P147" s="0" t="n">
        <v>87</v>
      </c>
    </row>
    <row r="148" customFormat="false" ht="15" hidden="false" customHeight="false" outlineLevel="0" collapsed="false">
      <c r="A148" s="0" t="n">
        <v>766</v>
      </c>
      <c r="B148" s="0" t="s">
        <v>118</v>
      </c>
      <c r="C148" s="0" t="n">
        <v>1</v>
      </c>
      <c r="D148" s="0" t="n">
        <v>0</v>
      </c>
      <c r="E148" s="0" t="n">
        <v>2</v>
      </c>
      <c r="F148" s="0" t="n">
        <v>8</v>
      </c>
      <c r="G148" s="0" t="b">
        <f aca="false">FALSE()</f>
        <v>0</v>
      </c>
      <c r="H148" s="0" t="n">
        <v>5</v>
      </c>
      <c r="I148" s="0" t="n">
        <v>1</v>
      </c>
      <c r="J148" s="0" t="n">
        <v>0.14</v>
      </c>
      <c r="K148" s="0" t="n">
        <v>0.1515</v>
      </c>
      <c r="L148" s="0" t="n">
        <v>0.74</v>
      </c>
      <c r="M148" s="0" t="n">
        <v>0.1343</v>
      </c>
      <c r="N148" s="0" t="n">
        <v>3</v>
      </c>
      <c r="O148" s="0" t="n">
        <v>217</v>
      </c>
      <c r="P148" s="0" t="n">
        <v>220</v>
      </c>
    </row>
    <row r="149" customFormat="false" ht="15" hidden="false" customHeight="false" outlineLevel="0" collapsed="false">
      <c r="A149" s="0" t="n">
        <v>767</v>
      </c>
      <c r="B149" s="0" t="s">
        <v>118</v>
      </c>
      <c r="C149" s="0" t="n">
        <v>1</v>
      </c>
      <c r="D149" s="0" t="n">
        <v>0</v>
      </c>
      <c r="E149" s="0" t="n">
        <v>2</v>
      </c>
      <c r="F149" s="0" t="n">
        <v>9</v>
      </c>
      <c r="G149" s="0" t="b">
        <f aca="false">FALSE()</f>
        <v>0</v>
      </c>
      <c r="H149" s="0" t="n">
        <v>5</v>
      </c>
      <c r="I149" s="0" t="n">
        <v>2</v>
      </c>
      <c r="J149" s="0" t="n">
        <v>0.16</v>
      </c>
      <c r="K149" s="0" t="n">
        <v>0.1818</v>
      </c>
      <c r="L149" s="0" t="n">
        <v>0.8</v>
      </c>
      <c r="M149" s="0" t="n">
        <v>0.1343</v>
      </c>
      <c r="N149" s="0" t="n">
        <v>3</v>
      </c>
      <c r="O149" s="0" t="n">
        <v>124</v>
      </c>
      <c r="P149" s="0" t="n">
        <v>127</v>
      </c>
    </row>
    <row r="150" customFormat="false" ht="15" hidden="false" customHeight="false" outlineLevel="0" collapsed="false">
      <c r="A150" s="0" t="n">
        <v>768</v>
      </c>
      <c r="B150" s="0" t="s">
        <v>118</v>
      </c>
      <c r="C150" s="0" t="n">
        <v>1</v>
      </c>
      <c r="D150" s="0" t="n">
        <v>0</v>
      </c>
      <c r="E150" s="0" t="n">
        <v>2</v>
      </c>
      <c r="F150" s="0" t="n">
        <v>10</v>
      </c>
      <c r="G150" s="0" t="b">
        <f aca="false">FALSE()</f>
        <v>0</v>
      </c>
      <c r="H150" s="0" t="n">
        <v>5</v>
      </c>
      <c r="I150" s="0" t="n">
        <v>2</v>
      </c>
      <c r="J150" s="0" t="n">
        <v>0.2</v>
      </c>
      <c r="K150" s="0" t="n">
        <v>0.2121</v>
      </c>
      <c r="L150" s="0" t="n">
        <v>0.51</v>
      </c>
      <c r="M150" s="0" t="n">
        <v>0.1343</v>
      </c>
      <c r="N150" s="0" t="n">
        <v>5</v>
      </c>
      <c r="O150" s="0" t="n">
        <v>46</v>
      </c>
      <c r="P150" s="0" t="n">
        <v>51</v>
      </c>
    </row>
    <row r="151" customFormat="false" ht="15" hidden="false" customHeight="false" outlineLevel="0" collapsed="false">
      <c r="A151" s="0" t="n">
        <v>769</v>
      </c>
      <c r="B151" s="0" t="s">
        <v>118</v>
      </c>
      <c r="C151" s="0" t="n">
        <v>1</v>
      </c>
      <c r="D151" s="0" t="n">
        <v>0</v>
      </c>
      <c r="E151" s="0" t="n">
        <v>2</v>
      </c>
      <c r="F151" s="0" t="n">
        <v>11</v>
      </c>
      <c r="G151" s="0" t="b">
        <f aca="false">FALSE()</f>
        <v>0</v>
      </c>
      <c r="H151" s="0" t="n">
        <v>5</v>
      </c>
      <c r="I151" s="0" t="n">
        <v>1</v>
      </c>
      <c r="J151" s="0" t="n">
        <v>0.22</v>
      </c>
      <c r="K151" s="0" t="n">
        <v>0.2273</v>
      </c>
      <c r="L151" s="0" t="n">
        <v>0.51</v>
      </c>
      <c r="M151" s="0" t="n">
        <v>0.1642</v>
      </c>
      <c r="N151" s="0" t="n">
        <v>3</v>
      </c>
      <c r="O151" s="0" t="n">
        <v>61</v>
      </c>
      <c r="P151" s="0" t="n">
        <v>64</v>
      </c>
    </row>
    <row r="152" customFormat="false" ht="15" hidden="false" customHeight="false" outlineLevel="0" collapsed="false">
      <c r="A152" s="0" t="n">
        <v>770</v>
      </c>
      <c r="B152" s="0" t="s">
        <v>118</v>
      </c>
      <c r="C152" s="0" t="n">
        <v>1</v>
      </c>
      <c r="D152" s="0" t="n">
        <v>0</v>
      </c>
      <c r="E152" s="0" t="n">
        <v>2</v>
      </c>
      <c r="F152" s="0" t="n">
        <v>12</v>
      </c>
      <c r="G152" s="0" t="b">
        <f aca="false">FALSE()</f>
        <v>0</v>
      </c>
      <c r="H152" s="0" t="n">
        <v>5</v>
      </c>
      <c r="I152" s="0" t="n">
        <v>2</v>
      </c>
      <c r="J152" s="0" t="n">
        <v>0.24</v>
      </c>
      <c r="K152" s="0" t="n">
        <v>0.2424</v>
      </c>
      <c r="L152" s="0" t="n">
        <v>0.48</v>
      </c>
      <c r="M152" s="0" t="n">
        <v>0.1642</v>
      </c>
      <c r="N152" s="0" t="n">
        <v>8</v>
      </c>
      <c r="O152" s="0" t="n">
        <v>78</v>
      </c>
      <c r="P152" s="0" t="n">
        <v>86</v>
      </c>
    </row>
    <row r="153" customFormat="false" ht="15" hidden="false" customHeight="false" outlineLevel="0" collapsed="false">
      <c r="A153" s="0" t="n">
        <v>771</v>
      </c>
      <c r="B153" s="0" t="s">
        <v>118</v>
      </c>
      <c r="C153" s="0" t="n">
        <v>1</v>
      </c>
      <c r="D153" s="0" t="n">
        <v>0</v>
      </c>
      <c r="E153" s="0" t="n">
        <v>2</v>
      </c>
      <c r="F153" s="0" t="n">
        <v>13</v>
      </c>
      <c r="G153" s="0" t="b">
        <f aca="false">FALSE()</f>
        <v>0</v>
      </c>
      <c r="H153" s="0" t="n">
        <v>5</v>
      </c>
      <c r="I153" s="0" t="n">
        <v>2</v>
      </c>
      <c r="J153" s="0" t="n">
        <v>0.26</v>
      </c>
      <c r="K153" s="0" t="n">
        <v>0.2576</v>
      </c>
      <c r="L153" s="0" t="n">
        <v>0.5</v>
      </c>
      <c r="M153" s="0" t="n">
        <v>0.2239</v>
      </c>
      <c r="N153" s="0" t="n">
        <v>9</v>
      </c>
      <c r="O153" s="0" t="n">
        <v>73</v>
      </c>
      <c r="P153" s="0" t="n">
        <v>82</v>
      </c>
    </row>
    <row r="154" customFormat="false" ht="15" hidden="false" customHeight="false" outlineLevel="0" collapsed="false">
      <c r="A154" s="0" t="n">
        <v>772</v>
      </c>
      <c r="B154" s="0" t="s">
        <v>118</v>
      </c>
      <c r="C154" s="0" t="n">
        <v>1</v>
      </c>
      <c r="D154" s="0" t="n">
        <v>0</v>
      </c>
      <c r="E154" s="0" t="n">
        <v>2</v>
      </c>
      <c r="F154" s="0" t="n">
        <v>14</v>
      </c>
      <c r="G154" s="0" t="b">
        <f aca="false">FALSE()</f>
        <v>0</v>
      </c>
      <c r="H154" s="0" t="n">
        <v>5</v>
      </c>
      <c r="I154" s="0" t="n">
        <v>2</v>
      </c>
      <c r="J154" s="0" t="n">
        <v>0.28</v>
      </c>
      <c r="K154" s="0" t="n">
        <v>0.2727</v>
      </c>
      <c r="L154" s="0" t="n">
        <v>0.45</v>
      </c>
      <c r="M154" s="0" t="n">
        <v>0.1642</v>
      </c>
      <c r="N154" s="0" t="n">
        <v>15</v>
      </c>
      <c r="O154" s="0" t="n">
        <v>76</v>
      </c>
      <c r="P154" s="0" t="n">
        <v>91</v>
      </c>
    </row>
    <row r="155" customFormat="false" ht="15" hidden="false" customHeight="false" outlineLevel="0" collapsed="false">
      <c r="A155" s="0" t="n">
        <v>773</v>
      </c>
      <c r="B155" s="0" t="s">
        <v>118</v>
      </c>
      <c r="C155" s="0" t="n">
        <v>1</v>
      </c>
      <c r="D155" s="0" t="n">
        <v>0</v>
      </c>
      <c r="E155" s="0" t="n">
        <v>2</v>
      </c>
      <c r="F155" s="0" t="n">
        <v>15</v>
      </c>
      <c r="G155" s="0" t="b">
        <f aca="false">FALSE()</f>
        <v>0</v>
      </c>
      <c r="H155" s="0" t="n">
        <v>5</v>
      </c>
      <c r="I155" s="0" t="n">
        <v>2</v>
      </c>
      <c r="J155" s="0" t="n">
        <v>0.28</v>
      </c>
      <c r="K155" s="0" t="n">
        <v>0.2727</v>
      </c>
      <c r="L155" s="0" t="n">
        <v>0.48</v>
      </c>
      <c r="M155" s="0" t="n">
        <v>0.2537</v>
      </c>
      <c r="N155" s="0" t="n">
        <v>9</v>
      </c>
      <c r="O155" s="0" t="n">
        <v>81</v>
      </c>
      <c r="P155" s="0" t="n">
        <v>90</v>
      </c>
    </row>
    <row r="156" customFormat="false" ht="15" hidden="false" customHeight="false" outlineLevel="0" collapsed="false">
      <c r="A156" s="0" t="n">
        <v>774</v>
      </c>
      <c r="B156" s="0" t="s">
        <v>118</v>
      </c>
      <c r="C156" s="0" t="n">
        <v>1</v>
      </c>
      <c r="D156" s="0" t="n">
        <v>0</v>
      </c>
      <c r="E156" s="0" t="n">
        <v>2</v>
      </c>
      <c r="F156" s="0" t="n">
        <v>16</v>
      </c>
      <c r="G156" s="0" t="b">
        <f aca="false">FALSE()</f>
        <v>0</v>
      </c>
      <c r="H156" s="0" t="n">
        <v>5</v>
      </c>
      <c r="I156" s="0" t="n">
        <v>2</v>
      </c>
      <c r="J156" s="0" t="n">
        <v>0.3</v>
      </c>
      <c r="K156" s="0" t="n">
        <v>0.2879</v>
      </c>
      <c r="L156" s="0" t="n">
        <v>0.42</v>
      </c>
      <c r="M156" s="0" t="n">
        <v>0.2239</v>
      </c>
      <c r="N156" s="0" t="n">
        <v>8</v>
      </c>
      <c r="O156" s="0" t="n">
        <v>91</v>
      </c>
      <c r="P156" s="0" t="n">
        <v>99</v>
      </c>
    </row>
    <row r="157" customFormat="false" ht="15" hidden="false" customHeight="false" outlineLevel="0" collapsed="false">
      <c r="A157" s="0" t="n">
        <v>775</v>
      </c>
      <c r="B157" s="0" t="s">
        <v>118</v>
      </c>
      <c r="C157" s="0" t="n">
        <v>1</v>
      </c>
      <c r="D157" s="0" t="n">
        <v>0</v>
      </c>
      <c r="E157" s="0" t="n">
        <v>2</v>
      </c>
      <c r="F157" s="0" t="n">
        <v>17</v>
      </c>
      <c r="G157" s="0" t="b">
        <f aca="false">FALSE()</f>
        <v>0</v>
      </c>
      <c r="H157" s="0" t="n">
        <v>5</v>
      </c>
      <c r="I157" s="0" t="n">
        <v>2</v>
      </c>
      <c r="J157" s="0" t="n">
        <v>0.26</v>
      </c>
      <c r="K157" s="0" t="n">
        <v>0.2727</v>
      </c>
      <c r="L157" s="0" t="n">
        <v>0.56</v>
      </c>
      <c r="M157" s="0" t="n">
        <v>0.1343</v>
      </c>
      <c r="N157" s="0" t="n">
        <v>10</v>
      </c>
      <c r="O157" s="0" t="n">
        <v>195</v>
      </c>
      <c r="P157" s="0" t="n">
        <v>205</v>
      </c>
    </row>
    <row r="158" customFormat="false" ht="15" hidden="false" customHeight="false" outlineLevel="0" collapsed="false">
      <c r="A158" s="0" t="n">
        <v>776</v>
      </c>
      <c r="B158" s="0" t="s">
        <v>118</v>
      </c>
      <c r="C158" s="0" t="n">
        <v>1</v>
      </c>
      <c r="D158" s="0" t="n">
        <v>0</v>
      </c>
      <c r="E158" s="0" t="n">
        <v>2</v>
      </c>
      <c r="F158" s="0" t="n">
        <v>18</v>
      </c>
      <c r="G158" s="0" t="b">
        <f aca="false">FALSE()</f>
        <v>0</v>
      </c>
      <c r="H158" s="0" t="n">
        <v>5</v>
      </c>
      <c r="I158" s="0" t="n">
        <v>2</v>
      </c>
      <c r="J158" s="0" t="n">
        <v>0.24</v>
      </c>
      <c r="K158" s="0" t="n">
        <v>0.2576</v>
      </c>
      <c r="L158" s="0" t="n">
        <v>0.6</v>
      </c>
      <c r="M158" s="0" t="n">
        <v>0.1045</v>
      </c>
      <c r="N158" s="0" t="n">
        <v>3</v>
      </c>
      <c r="O158" s="0" t="n">
        <v>152</v>
      </c>
      <c r="P158" s="0" t="n">
        <v>155</v>
      </c>
    </row>
    <row r="159" customFormat="false" ht="15" hidden="false" customHeight="false" outlineLevel="0" collapsed="false">
      <c r="A159" s="0" t="n">
        <v>777</v>
      </c>
      <c r="B159" s="0" t="s">
        <v>118</v>
      </c>
      <c r="C159" s="0" t="n">
        <v>1</v>
      </c>
      <c r="D159" s="0" t="n">
        <v>0</v>
      </c>
      <c r="E159" s="0" t="n">
        <v>2</v>
      </c>
      <c r="F159" s="0" t="n">
        <v>19</v>
      </c>
      <c r="G159" s="0" t="b">
        <f aca="false">FALSE()</f>
        <v>0</v>
      </c>
      <c r="H159" s="0" t="n">
        <v>5</v>
      </c>
      <c r="I159" s="0" t="n">
        <v>2</v>
      </c>
      <c r="J159" s="0" t="n">
        <v>0.24</v>
      </c>
      <c r="K159" s="0" t="n">
        <v>0.2424</v>
      </c>
      <c r="L159" s="0" t="n">
        <v>0.65</v>
      </c>
      <c r="M159" s="0" t="n">
        <v>0.1343</v>
      </c>
      <c r="N159" s="0" t="n">
        <v>1</v>
      </c>
      <c r="O159" s="0" t="n">
        <v>102</v>
      </c>
      <c r="P159" s="0" t="n">
        <v>103</v>
      </c>
    </row>
    <row r="160" customFormat="false" ht="15" hidden="false" customHeight="false" outlineLevel="0" collapsed="false">
      <c r="A160" s="0" t="n">
        <v>778</v>
      </c>
      <c r="B160" s="0" t="s">
        <v>118</v>
      </c>
      <c r="C160" s="0" t="n">
        <v>1</v>
      </c>
      <c r="D160" s="0" t="n">
        <v>0</v>
      </c>
      <c r="E160" s="0" t="n">
        <v>2</v>
      </c>
      <c r="F160" s="0" t="n">
        <v>20</v>
      </c>
      <c r="G160" s="0" t="b">
        <f aca="false">FALSE()</f>
        <v>0</v>
      </c>
      <c r="H160" s="0" t="n">
        <v>5</v>
      </c>
      <c r="I160" s="0" t="n">
        <v>2</v>
      </c>
      <c r="J160" s="0" t="n">
        <v>0.24</v>
      </c>
      <c r="K160" s="0" t="n">
        <v>0.2424</v>
      </c>
      <c r="L160" s="0" t="n">
        <v>0.65</v>
      </c>
      <c r="M160" s="0" t="n">
        <v>0.1642</v>
      </c>
      <c r="N160" s="0" t="n">
        <v>2</v>
      </c>
      <c r="O160" s="0" t="n">
        <v>69</v>
      </c>
      <c r="P160" s="0" t="n">
        <v>71</v>
      </c>
    </row>
    <row r="161" customFormat="false" ht="15" hidden="false" customHeight="false" outlineLevel="0" collapsed="false">
      <c r="A161" s="0" t="n">
        <v>779</v>
      </c>
      <c r="B161" s="0" t="s">
        <v>118</v>
      </c>
      <c r="C161" s="0" t="n">
        <v>1</v>
      </c>
      <c r="D161" s="0" t="n">
        <v>0</v>
      </c>
      <c r="E161" s="0" t="n">
        <v>2</v>
      </c>
      <c r="F161" s="0" t="n">
        <v>21</v>
      </c>
      <c r="G161" s="0" t="b">
        <f aca="false">FALSE()</f>
        <v>0</v>
      </c>
      <c r="H161" s="0" t="n">
        <v>5</v>
      </c>
      <c r="I161" s="0" t="n">
        <v>2</v>
      </c>
      <c r="J161" s="0" t="n">
        <v>0.24</v>
      </c>
      <c r="K161" s="0" t="n">
        <v>0.2424</v>
      </c>
      <c r="L161" s="0" t="n">
        <v>0.7</v>
      </c>
      <c r="M161" s="0" t="n">
        <v>0.1642</v>
      </c>
      <c r="N161" s="0" t="n">
        <v>2</v>
      </c>
      <c r="O161" s="0" t="n">
        <v>41</v>
      </c>
      <c r="P161" s="0" t="n">
        <v>43</v>
      </c>
    </row>
    <row r="162" customFormat="false" ht="15" hidden="false" customHeight="false" outlineLevel="0" collapsed="false">
      <c r="A162" s="0" t="n">
        <v>780</v>
      </c>
      <c r="B162" s="0" t="s">
        <v>118</v>
      </c>
      <c r="C162" s="0" t="n">
        <v>1</v>
      </c>
      <c r="D162" s="0" t="n">
        <v>0</v>
      </c>
      <c r="E162" s="0" t="n">
        <v>2</v>
      </c>
      <c r="F162" s="0" t="n">
        <v>22</v>
      </c>
      <c r="G162" s="0" t="b">
        <f aca="false">FALSE()</f>
        <v>0</v>
      </c>
      <c r="H162" s="0" t="n">
        <v>5</v>
      </c>
      <c r="I162" s="0" t="n">
        <v>2</v>
      </c>
      <c r="J162" s="0" t="n">
        <v>0.24</v>
      </c>
      <c r="K162" s="0" t="n">
        <v>0.2424</v>
      </c>
      <c r="L162" s="0" t="n">
        <v>0.65</v>
      </c>
      <c r="M162" s="0" t="n">
        <v>0.1642</v>
      </c>
      <c r="N162" s="0" t="n">
        <v>1</v>
      </c>
      <c r="O162" s="0" t="n">
        <v>45</v>
      </c>
      <c r="P162" s="0" t="n">
        <v>46</v>
      </c>
    </row>
    <row r="163" customFormat="false" ht="15" hidden="false" customHeight="false" outlineLevel="0" collapsed="false">
      <c r="A163" s="0" t="n">
        <v>781</v>
      </c>
      <c r="B163" s="0" t="s">
        <v>118</v>
      </c>
      <c r="C163" s="0" t="n">
        <v>1</v>
      </c>
      <c r="D163" s="0" t="n">
        <v>0</v>
      </c>
      <c r="E163" s="0" t="n">
        <v>2</v>
      </c>
      <c r="F163" s="0" t="n">
        <v>23</v>
      </c>
      <c r="G163" s="0" t="b">
        <f aca="false">FALSE()</f>
        <v>0</v>
      </c>
      <c r="H163" s="0" t="n">
        <v>5</v>
      </c>
      <c r="I163" s="0" t="n">
        <v>2</v>
      </c>
      <c r="J163" s="0" t="n">
        <v>0.24</v>
      </c>
      <c r="K163" s="0" t="n">
        <v>0.2424</v>
      </c>
      <c r="L163" s="0" t="n">
        <v>0.7</v>
      </c>
      <c r="M163" s="0" t="n">
        <v>0.1343</v>
      </c>
      <c r="N163" s="0" t="n">
        <v>1</v>
      </c>
      <c r="O163" s="0" t="n">
        <v>30</v>
      </c>
      <c r="P163" s="0" t="n">
        <v>31</v>
      </c>
    </row>
    <row r="164" customFormat="false" ht="15" hidden="false" customHeight="false" outlineLevel="0" collapsed="false">
      <c r="A164" s="0" t="n">
        <v>782</v>
      </c>
      <c r="B164" s="0" t="s">
        <v>119</v>
      </c>
      <c r="C164" s="0" t="n">
        <v>1</v>
      </c>
      <c r="D164" s="0" t="n">
        <v>0</v>
      </c>
      <c r="E164" s="0" t="n">
        <v>2</v>
      </c>
      <c r="F164" s="0" t="n">
        <v>0</v>
      </c>
      <c r="G164" s="0" t="b">
        <f aca="false">FALSE()</f>
        <v>0</v>
      </c>
      <c r="H164" s="0" t="n">
        <v>6</v>
      </c>
      <c r="I164" s="0" t="n">
        <v>2</v>
      </c>
      <c r="J164" s="0" t="n">
        <v>0.24</v>
      </c>
      <c r="K164" s="0" t="n">
        <v>0.2424</v>
      </c>
      <c r="L164" s="0" t="n">
        <v>0.7</v>
      </c>
      <c r="M164" s="0" t="n">
        <v>0.1642</v>
      </c>
      <c r="N164" s="0" t="n">
        <v>3</v>
      </c>
      <c r="O164" s="0" t="n">
        <v>36</v>
      </c>
      <c r="P164" s="0" t="n">
        <v>39</v>
      </c>
    </row>
    <row r="165" customFormat="false" ht="15" hidden="false" customHeight="false" outlineLevel="0" collapsed="false">
      <c r="A165" s="0" t="n">
        <v>783</v>
      </c>
      <c r="B165" s="0" t="s">
        <v>119</v>
      </c>
      <c r="C165" s="0" t="n">
        <v>1</v>
      </c>
      <c r="D165" s="0" t="n">
        <v>0</v>
      </c>
      <c r="E165" s="0" t="n">
        <v>2</v>
      </c>
      <c r="F165" s="0" t="n">
        <v>1</v>
      </c>
      <c r="G165" s="0" t="b">
        <f aca="false">FALSE()</f>
        <v>0</v>
      </c>
      <c r="H165" s="0" t="n">
        <v>6</v>
      </c>
      <c r="I165" s="0" t="n">
        <v>2</v>
      </c>
      <c r="J165" s="0" t="n">
        <v>0.24</v>
      </c>
      <c r="K165" s="0" t="n">
        <v>0.2424</v>
      </c>
      <c r="L165" s="0" t="n">
        <v>0.65</v>
      </c>
      <c r="M165" s="0" t="n">
        <v>0.1642</v>
      </c>
      <c r="N165" s="0" t="n">
        <v>1</v>
      </c>
      <c r="O165" s="0" t="n">
        <v>17</v>
      </c>
      <c r="P165" s="0" t="n">
        <v>18</v>
      </c>
    </row>
    <row r="166" customFormat="false" ht="15" hidden="false" customHeight="false" outlineLevel="0" collapsed="false">
      <c r="A166" s="0" t="n">
        <v>784</v>
      </c>
      <c r="B166" s="0" t="s">
        <v>119</v>
      </c>
      <c r="C166" s="0" t="n">
        <v>1</v>
      </c>
      <c r="D166" s="0" t="n">
        <v>0</v>
      </c>
      <c r="E166" s="0" t="n">
        <v>2</v>
      </c>
      <c r="F166" s="0" t="n">
        <v>2</v>
      </c>
      <c r="G166" s="0" t="b">
        <f aca="false">FALSE()</f>
        <v>0</v>
      </c>
      <c r="H166" s="0" t="n">
        <v>6</v>
      </c>
      <c r="I166" s="0" t="n">
        <v>2</v>
      </c>
      <c r="J166" s="0" t="n">
        <v>0.24</v>
      </c>
      <c r="K166" s="0" t="n">
        <v>0.2424</v>
      </c>
      <c r="L166" s="0" t="n">
        <v>0.75</v>
      </c>
      <c r="M166" s="0" t="n">
        <v>0.1642</v>
      </c>
      <c r="N166" s="0" t="n">
        <v>5</v>
      </c>
      <c r="O166" s="0" t="n">
        <v>12</v>
      </c>
      <c r="P166" s="0" t="n">
        <v>17</v>
      </c>
    </row>
    <row r="167" customFormat="false" ht="15" hidden="false" customHeight="false" outlineLevel="0" collapsed="false">
      <c r="A167" s="0" t="n">
        <v>785</v>
      </c>
      <c r="B167" s="0" t="s">
        <v>119</v>
      </c>
      <c r="C167" s="0" t="n">
        <v>1</v>
      </c>
      <c r="D167" s="0" t="n">
        <v>0</v>
      </c>
      <c r="E167" s="0" t="n">
        <v>2</v>
      </c>
      <c r="F167" s="0" t="n">
        <v>3</v>
      </c>
      <c r="G167" s="0" t="b">
        <f aca="false">FALSE()</f>
        <v>0</v>
      </c>
      <c r="H167" s="0" t="n">
        <v>6</v>
      </c>
      <c r="I167" s="0" t="n">
        <v>2</v>
      </c>
      <c r="J167" s="0" t="n">
        <v>0.24</v>
      </c>
      <c r="K167" s="0" t="n">
        <v>0.2424</v>
      </c>
      <c r="L167" s="0" t="n">
        <v>0.75</v>
      </c>
      <c r="M167" s="0" t="n">
        <v>0.1642</v>
      </c>
      <c r="N167" s="0" t="n">
        <v>1</v>
      </c>
      <c r="O167" s="0" t="n">
        <v>10</v>
      </c>
      <c r="P167" s="0" t="n">
        <v>11</v>
      </c>
    </row>
    <row r="168" customFormat="false" ht="15" hidden="false" customHeight="false" outlineLevel="0" collapsed="false">
      <c r="A168" s="0" t="n">
        <v>786</v>
      </c>
      <c r="B168" s="0" t="s">
        <v>119</v>
      </c>
      <c r="C168" s="0" t="n">
        <v>1</v>
      </c>
      <c r="D168" s="0" t="n">
        <v>0</v>
      </c>
      <c r="E168" s="0" t="n">
        <v>2</v>
      </c>
      <c r="F168" s="0" t="n">
        <v>4</v>
      </c>
      <c r="G168" s="0" t="b">
        <f aca="false">FALSE()</f>
        <v>0</v>
      </c>
      <c r="H168" s="0" t="n">
        <v>6</v>
      </c>
      <c r="I168" s="0" t="n">
        <v>3</v>
      </c>
      <c r="J168" s="0" t="n">
        <v>0.22</v>
      </c>
      <c r="K168" s="0" t="n">
        <v>0.2273</v>
      </c>
      <c r="L168" s="0" t="n">
        <v>0.93</v>
      </c>
      <c r="M168" s="0" t="n">
        <v>0.1343</v>
      </c>
      <c r="N168" s="0" t="n">
        <v>0</v>
      </c>
      <c r="O168" s="0" t="n">
        <v>8</v>
      </c>
      <c r="P168" s="0" t="n">
        <v>8</v>
      </c>
    </row>
    <row r="169" customFormat="false" ht="15" hidden="false" customHeight="false" outlineLevel="0" collapsed="false">
      <c r="A169" s="0" t="n">
        <v>787</v>
      </c>
      <c r="B169" s="0" t="s">
        <v>119</v>
      </c>
      <c r="C169" s="0" t="n">
        <v>1</v>
      </c>
      <c r="D169" s="0" t="n">
        <v>0</v>
      </c>
      <c r="E169" s="0" t="n">
        <v>2</v>
      </c>
      <c r="F169" s="0" t="n">
        <v>5</v>
      </c>
      <c r="G169" s="0" t="b">
        <f aca="false">FALSE()</f>
        <v>0</v>
      </c>
      <c r="H169" s="0" t="n">
        <v>6</v>
      </c>
      <c r="I169" s="0" t="n">
        <v>3</v>
      </c>
      <c r="J169" s="0" t="n">
        <v>0.2</v>
      </c>
      <c r="K169" s="0" t="n">
        <v>0.2273</v>
      </c>
      <c r="L169" s="0" t="n">
        <v>1</v>
      </c>
      <c r="M169" s="0" t="n">
        <v>0.0896</v>
      </c>
      <c r="N169" s="0" t="n">
        <v>0</v>
      </c>
      <c r="O169" s="0" t="n">
        <v>9</v>
      </c>
      <c r="P169" s="0" t="n">
        <v>9</v>
      </c>
    </row>
    <row r="170" customFormat="false" ht="15" hidden="false" customHeight="false" outlineLevel="0" collapsed="false">
      <c r="A170" s="0" t="n">
        <v>788</v>
      </c>
      <c r="B170" s="0" t="s">
        <v>119</v>
      </c>
      <c r="C170" s="0" t="n">
        <v>1</v>
      </c>
      <c r="D170" s="0" t="n">
        <v>0</v>
      </c>
      <c r="E170" s="0" t="n">
        <v>2</v>
      </c>
      <c r="F170" s="0" t="n">
        <v>6</v>
      </c>
      <c r="G170" s="0" t="b">
        <f aca="false">FALSE()</f>
        <v>0</v>
      </c>
      <c r="H170" s="0" t="n">
        <v>6</v>
      </c>
      <c r="I170" s="0" t="n">
        <v>3</v>
      </c>
      <c r="J170" s="0" t="n">
        <v>0.2</v>
      </c>
      <c r="K170" s="0" t="n">
        <v>0.2576</v>
      </c>
      <c r="L170" s="0" t="n">
        <v>1</v>
      </c>
      <c r="M170" s="0" t="n">
        <v>0</v>
      </c>
      <c r="N170" s="0" t="n">
        <v>0</v>
      </c>
      <c r="O170" s="0" t="n">
        <v>4</v>
      </c>
      <c r="P170" s="0" t="n">
        <v>4</v>
      </c>
    </row>
    <row r="171" customFormat="false" ht="15" hidden="false" customHeight="false" outlineLevel="0" collapsed="false">
      <c r="A171" s="0" t="n">
        <v>789</v>
      </c>
      <c r="B171" s="0" t="s">
        <v>119</v>
      </c>
      <c r="C171" s="0" t="n">
        <v>1</v>
      </c>
      <c r="D171" s="0" t="n">
        <v>0</v>
      </c>
      <c r="E171" s="0" t="n">
        <v>2</v>
      </c>
      <c r="F171" s="0" t="n">
        <v>7</v>
      </c>
      <c r="G171" s="0" t="b">
        <f aca="false">FALSE()</f>
        <v>0</v>
      </c>
      <c r="H171" s="0" t="n">
        <v>6</v>
      </c>
      <c r="I171" s="0" t="n">
        <v>3</v>
      </c>
      <c r="J171" s="0" t="n">
        <v>0.22</v>
      </c>
      <c r="K171" s="0" t="n">
        <v>0.2576</v>
      </c>
      <c r="L171" s="0" t="n">
        <v>0.93</v>
      </c>
      <c r="M171" s="0" t="n">
        <v>0.0896</v>
      </c>
      <c r="N171" s="0" t="n">
        <v>0</v>
      </c>
      <c r="O171" s="0" t="n">
        <v>4</v>
      </c>
      <c r="P171" s="0" t="n">
        <v>4</v>
      </c>
    </row>
    <row r="172" customFormat="false" ht="15" hidden="false" customHeight="false" outlineLevel="0" collapsed="false">
      <c r="A172" s="0" t="n">
        <v>790</v>
      </c>
      <c r="B172" s="0" t="s">
        <v>119</v>
      </c>
      <c r="C172" s="0" t="n">
        <v>1</v>
      </c>
      <c r="D172" s="0" t="n">
        <v>0</v>
      </c>
      <c r="E172" s="0" t="n">
        <v>2</v>
      </c>
      <c r="F172" s="0" t="n">
        <v>8</v>
      </c>
      <c r="G172" s="0" t="b">
        <f aca="false">FALSE()</f>
        <v>0</v>
      </c>
      <c r="H172" s="0" t="n">
        <v>6</v>
      </c>
      <c r="I172" s="0" t="n">
        <v>3</v>
      </c>
      <c r="J172" s="0" t="n">
        <v>0.2</v>
      </c>
      <c r="K172" s="0" t="n">
        <v>0.2273</v>
      </c>
      <c r="L172" s="0" t="n">
        <v>1</v>
      </c>
      <c r="M172" s="0" t="n">
        <v>0.0896</v>
      </c>
      <c r="N172" s="0" t="n">
        <v>0</v>
      </c>
      <c r="O172" s="0" t="n">
        <v>10</v>
      </c>
      <c r="P172" s="0" t="n">
        <v>10</v>
      </c>
    </row>
    <row r="173" customFormat="false" ht="15" hidden="false" customHeight="false" outlineLevel="0" collapsed="false">
      <c r="A173" s="0" t="n">
        <v>791</v>
      </c>
      <c r="B173" s="0" t="s">
        <v>119</v>
      </c>
      <c r="C173" s="0" t="n">
        <v>1</v>
      </c>
      <c r="D173" s="0" t="n">
        <v>0</v>
      </c>
      <c r="E173" s="0" t="n">
        <v>2</v>
      </c>
      <c r="F173" s="0" t="n">
        <v>9</v>
      </c>
      <c r="G173" s="0" t="b">
        <f aca="false">FALSE()</f>
        <v>0</v>
      </c>
      <c r="H173" s="0" t="n">
        <v>6</v>
      </c>
      <c r="I173" s="0" t="n">
        <v>3</v>
      </c>
      <c r="J173" s="0" t="n">
        <v>0.2</v>
      </c>
      <c r="K173" s="0" t="n">
        <v>0.2273</v>
      </c>
      <c r="L173" s="0" t="n">
        <v>1</v>
      </c>
      <c r="M173" s="0" t="n">
        <v>0.0896</v>
      </c>
      <c r="N173" s="0" t="n">
        <v>3</v>
      </c>
      <c r="O173" s="0" t="n">
        <v>17</v>
      </c>
      <c r="P173" s="0" t="n">
        <v>20</v>
      </c>
    </row>
    <row r="174" customFormat="false" ht="15" hidden="false" customHeight="false" outlineLevel="0" collapsed="false">
      <c r="A174" s="0" t="n">
        <v>792</v>
      </c>
      <c r="B174" s="0" t="s">
        <v>119</v>
      </c>
      <c r="C174" s="0" t="n">
        <v>1</v>
      </c>
      <c r="D174" s="0" t="n">
        <v>0</v>
      </c>
      <c r="E174" s="0" t="n">
        <v>2</v>
      </c>
      <c r="F174" s="0" t="n">
        <v>10</v>
      </c>
      <c r="G174" s="0" t="b">
        <f aca="false">FALSE()</f>
        <v>0</v>
      </c>
      <c r="H174" s="0" t="n">
        <v>6</v>
      </c>
      <c r="I174" s="0" t="n">
        <v>3</v>
      </c>
      <c r="J174" s="0" t="n">
        <v>0.2</v>
      </c>
      <c r="K174" s="0" t="n">
        <v>0.2121</v>
      </c>
      <c r="L174" s="0" t="n">
        <v>1</v>
      </c>
      <c r="M174" s="0" t="n">
        <v>0.1343</v>
      </c>
      <c r="N174" s="0" t="n">
        <v>3</v>
      </c>
      <c r="O174" s="0" t="n">
        <v>31</v>
      </c>
      <c r="P174" s="0" t="n">
        <v>34</v>
      </c>
    </row>
    <row r="175" customFormat="false" ht="15" hidden="false" customHeight="false" outlineLevel="0" collapsed="false">
      <c r="A175" s="0" t="n">
        <v>793</v>
      </c>
      <c r="B175" s="0" t="s">
        <v>119</v>
      </c>
      <c r="C175" s="0" t="n">
        <v>1</v>
      </c>
      <c r="D175" s="0" t="n">
        <v>0</v>
      </c>
      <c r="E175" s="0" t="n">
        <v>2</v>
      </c>
      <c r="F175" s="0" t="n">
        <v>11</v>
      </c>
      <c r="G175" s="0" t="b">
        <f aca="false">FALSE()</f>
        <v>0</v>
      </c>
      <c r="H175" s="0" t="n">
        <v>6</v>
      </c>
      <c r="I175" s="0" t="n">
        <v>3</v>
      </c>
      <c r="J175" s="0" t="n">
        <v>0.22</v>
      </c>
      <c r="K175" s="0" t="n">
        <v>0.2273</v>
      </c>
      <c r="L175" s="0" t="n">
        <v>1</v>
      </c>
      <c r="M175" s="0" t="n">
        <v>0.1343</v>
      </c>
      <c r="N175" s="0" t="n">
        <v>1</v>
      </c>
      <c r="O175" s="0" t="n">
        <v>46</v>
      </c>
      <c r="P175" s="0" t="n">
        <v>47</v>
      </c>
    </row>
    <row r="176" customFormat="false" ht="15" hidden="false" customHeight="false" outlineLevel="0" collapsed="false">
      <c r="A176" s="0" t="n">
        <v>794</v>
      </c>
      <c r="B176" s="0" t="s">
        <v>119</v>
      </c>
      <c r="C176" s="0" t="n">
        <v>1</v>
      </c>
      <c r="D176" s="0" t="n">
        <v>0</v>
      </c>
      <c r="E176" s="0" t="n">
        <v>2</v>
      </c>
      <c r="F176" s="0" t="n">
        <v>12</v>
      </c>
      <c r="G176" s="0" t="b">
        <f aca="false">FALSE()</f>
        <v>0</v>
      </c>
      <c r="H176" s="0" t="n">
        <v>6</v>
      </c>
      <c r="I176" s="0" t="n">
        <v>3</v>
      </c>
      <c r="J176" s="0" t="n">
        <v>0.22</v>
      </c>
      <c r="K176" s="0" t="n">
        <v>0.2273</v>
      </c>
      <c r="L176" s="0" t="n">
        <v>1</v>
      </c>
      <c r="M176" s="0" t="n">
        <v>0.1642</v>
      </c>
      <c r="N176" s="0" t="n">
        <v>10</v>
      </c>
      <c r="O176" s="0" t="n">
        <v>42</v>
      </c>
      <c r="P176" s="0" t="n">
        <v>52</v>
      </c>
    </row>
    <row r="177" customFormat="false" ht="15" hidden="false" customHeight="false" outlineLevel="0" collapsed="false">
      <c r="A177" s="0" t="n">
        <v>795</v>
      </c>
      <c r="B177" s="0" t="s">
        <v>119</v>
      </c>
      <c r="C177" s="0" t="n">
        <v>1</v>
      </c>
      <c r="D177" s="0" t="n">
        <v>0</v>
      </c>
      <c r="E177" s="0" t="n">
        <v>2</v>
      </c>
      <c r="F177" s="0" t="n">
        <v>13</v>
      </c>
      <c r="G177" s="0" t="b">
        <f aca="false">FALSE()</f>
        <v>0</v>
      </c>
      <c r="H177" s="0" t="n">
        <v>6</v>
      </c>
      <c r="I177" s="0" t="n">
        <v>3</v>
      </c>
      <c r="J177" s="0" t="n">
        <v>0.22</v>
      </c>
      <c r="K177" s="0" t="n">
        <v>0.2273</v>
      </c>
      <c r="L177" s="0" t="n">
        <v>1</v>
      </c>
      <c r="M177" s="0" t="n">
        <v>0.1642</v>
      </c>
      <c r="N177" s="0" t="n">
        <v>10</v>
      </c>
      <c r="O177" s="0" t="n">
        <v>62</v>
      </c>
      <c r="P177" s="0" t="n">
        <v>72</v>
      </c>
    </row>
    <row r="178" customFormat="false" ht="15" hidden="false" customHeight="false" outlineLevel="0" collapsed="false">
      <c r="A178" s="0" t="n">
        <v>796</v>
      </c>
      <c r="B178" s="0" t="s">
        <v>119</v>
      </c>
      <c r="C178" s="0" t="n">
        <v>1</v>
      </c>
      <c r="D178" s="0" t="n">
        <v>0</v>
      </c>
      <c r="E178" s="0" t="n">
        <v>2</v>
      </c>
      <c r="F178" s="0" t="n">
        <v>14</v>
      </c>
      <c r="G178" s="0" t="b">
        <f aca="false">FALSE()</f>
        <v>0</v>
      </c>
      <c r="H178" s="0" t="n">
        <v>6</v>
      </c>
      <c r="I178" s="0" t="n">
        <v>3</v>
      </c>
      <c r="J178" s="0" t="n">
        <v>0.22</v>
      </c>
      <c r="K178" s="0" t="n">
        <v>0.2727</v>
      </c>
      <c r="L178" s="0" t="n">
        <v>1</v>
      </c>
      <c r="M178" s="0" t="n">
        <v>0</v>
      </c>
      <c r="N178" s="0" t="n">
        <v>5</v>
      </c>
      <c r="O178" s="0" t="n">
        <v>50</v>
      </c>
      <c r="P178" s="0" t="n">
        <v>55</v>
      </c>
    </row>
    <row r="179" customFormat="false" ht="15" hidden="false" customHeight="false" outlineLevel="0" collapsed="false">
      <c r="A179" s="0" t="n">
        <v>797</v>
      </c>
      <c r="B179" s="0" t="s">
        <v>119</v>
      </c>
      <c r="C179" s="0" t="n">
        <v>1</v>
      </c>
      <c r="D179" s="0" t="n">
        <v>0</v>
      </c>
      <c r="E179" s="0" t="n">
        <v>2</v>
      </c>
      <c r="F179" s="0" t="n">
        <v>15</v>
      </c>
      <c r="G179" s="0" t="b">
        <f aca="false">FALSE()</f>
        <v>0</v>
      </c>
      <c r="H179" s="0" t="n">
        <v>6</v>
      </c>
      <c r="I179" s="0" t="n">
        <v>3</v>
      </c>
      <c r="J179" s="0" t="n">
        <v>0.22</v>
      </c>
      <c r="K179" s="0" t="n">
        <v>0.2727</v>
      </c>
      <c r="L179" s="0" t="n">
        <v>1</v>
      </c>
      <c r="M179" s="0" t="n">
        <v>0</v>
      </c>
      <c r="N179" s="0" t="n">
        <v>11</v>
      </c>
      <c r="O179" s="0" t="n">
        <v>49</v>
      </c>
      <c r="P179" s="0" t="n">
        <v>60</v>
      </c>
    </row>
    <row r="180" customFormat="false" ht="15" hidden="false" customHeight="false" outlineLevel="0" collapsed="false">
      <c r="A180" s="0" t="n">
        <v>798</v>
      </c>
      <c r="B180" s="0" t="s">
        <v>119</v>
      </c>
      <c r="C180" s="0" t="n">
        <v>1</v>
      </c>
      <c r="D180" s="0" t="n">
        <v>0</v>
      </c>
      <c r="E180" s="0" t="n">
        <v>2</v>
      </c>
      <c r="F180" s="0" t="n">
        <v>16</v>
      </c>
      <c r="G180" s="0" t="b">
        <f aca="false">FALSE()</f>
        <v>0</v>
      </c>
      <c r="H180" s="0" t="n">
        <v>6</v>
      </c>
      <c r="I180" s="0" t="n">
        <v>3</v>
      </c>
      <c r="J180" s="0" t="n">
        <v>0.22</v>
      </c>
      <c r="K180" s="0" t="n">
        <v>0.2273</v>
      </c>
      <c r="L180" s="0" t="n">
        <v>1</v>
      </c>
      <c r="M180" s="0" t="n">
        <v>0.1343</v>
      </c>
      <c r="N180" s="0" t="n">
        <v>8</v>
      </c>
      <c r="O180" s="0" t="n">
        <v>63</v>
      </c>
      <c r="P180" s="0" t="n">
        <v>71</v>
      </c>
    </row>
    <row r="181" customFormat="false" ht="15" hidden="false" customHeight="false" outlineLevel="0" collapsed="false">
      <c r="A181" s="0" t="n">
        <v>799</v>
      </c>
      <c r="B181" s="0" t="s">
        <v>119</v>
      </c>
      <c r="C181" s="0" t="n">
        <v>1</v>
      </c>
      <c r="D181" s="0" t="n">
        <v>0</v>
      </c>
      <c r="E181" s="0" t="n">
        <v>2</v>
      </c>
      <c r="F181" s="0" t="n">
        <v>17</v>
      </c>
      <c r="G181" s="0" t="b">
        <f aca="false">FALSE()</f>
        <v>0</v>
      </c>
      <c r="H181" s="0" t="n">
        <v>6</v>
      </c>
      <c r="I181" s="0" t="n">
        <v>2</v>
      </c>
      <c r="J181" s="0" t="n">
        <v>0.24</v>
      </c>
      <c r="K181" s="0" t="n">
        <v>0.2121</v>
      </c>
      <c r="L181" s="0" t="n">
        <v>1</v>
      </c>
      <c r="M181" s="0" t="n">
        <v>0.2836</v>
      </c>
      <c r="N181" s="0" t="n">
        <v>14</v>
      </c>
      <c r="O181" s="0" t="n">
        <v>64</v>
      </c>
      <c r="P181" s="0" t="n">
        <v>78</v>
      </c>
    </row>
    <row r="182" customFormat="false" ht="15" hidden="false" customHeight="false" outlineLevel="0" collapsed="false">
      <c r="A182" s="0" t="n">
        <v>800</v>
      </c>
      <c r="B182" s="0" t="s">
        <v>119</v>
      </c>
      <c r="C182" s="0" t="n">
        <v>1</v>
      </c>
      <c r="D182" s="0" t="n">
        <v>0</v>
      </c>
      <c r="E182" s="0" t="n">
        <v>2</v>
      </c>
      <c r="F182" s="0" t="n">
        <v>18</v>
      </c>
      <c r="G182" s="0" t="b">
        <f aca="false">FALSE()</f>
        <v>0</v>
      </c>
      <c r="H182" s="0" t="n">
        <v>6</v>
      </c>
      <c r="I182" s="0" t="n">
        <v>2</v>
      </c>
      <c r="J182" s="0" t="n">
        <v>0.28</v>
      </c>
      <c r="K182" s="0" t="n">
        <v>0.2424</v>
      </c>
      <c r="L182" s="0" t="n">
        <v>0.93</v>
      </c>
      <c r="M182" s="0" t="n">
        <v>0.4478</v>
      </c>
      <c r="N182" s="0" t="n">
        <v>2</v>
      </c>
      <c r="O182" s="0" t="n">
        <v>81</v>
      </c>
      <c r="P182" s="0" t="n">
        <v>83</v>
      </c>
    </row>
    <row r="183" customFormat="false" ht="15" hidden="false" customHeight="false" outlineLevel="0" collapsed="false">
      <c r="A183" s="0" t="n">
        <v>801</v>
      </c>
      <c r="B183" s="0" t="s">
        <v>119</v>
      </c>
      <c r="C183" s="0" t="n">
        <v>1</v>
      </c>
      <c r="D183" s="0" t="n">
        <v>0</v>
      </c>
      <c r="E183" s="0" t="n">
        <v>2</v>
      </c>
      <c r="F183" s="0" t="n">
        <v>19</v>
      </c>
      <c r="G183" s="0" t="b">
        <f aca="false">FALSE()</f>
        <v>0</v>
      </c>
      <c r="H183" s="0" t="n">
        <v>6</v>
      </c>
      <c r="I183" s="0" t="n">
        <v>2</v>
      </c>
      <c r="J183" s="0" t="n">
        <v>0.28</v>
      </c>
      <c r="K183" s="0" t="n">
        <v>0.2424</v>
      </c>
      <c r="L183" s="0" t="n">
        <v>0.93</v>
      </c>
      <c r="M183" s="0" t="n">
        <v>0.4478</v>
      </c>
      <c r="N183" s="0" t="n">
        <v>6</v>
      </c>
      <c r="O183" s="0" t="n">
        <v>78</v>
      </c>
      <c r="P183" s="0" t="n">
        <v>84</v>
      </c>
    </row>
    <row r="184" customFormat="false" ht="15" hidden="false" customHeight="false" outlineLevel="0" collapsed="false">
      <c r="A184" s="0" t="n">
        <v>802</v>
      </c>
      <c r="B184" s="0" t="s">
        <v>119</v>
      </c>
      <c r="C184" s="0" t="n">
        <v>1</v>
      </c>
      <c r="D184" s="0" t="n">
        <v>0</v>
      </c>
      <c r="E184" s="0" t="n">
        <v>2</v>
      </c>
      <c r="F184" s="0" t="n">
        <v>20</v>
      </c>
      <c r="G184" s="0" t="b">
        <f aca="false">FALSE()</f>
        <v>0</v>
      </c>
      <c r="H184" s="0" t="n">
        <v>6</v>
      </c>
      <c r="I184" s="0" t="n">
        <v>1</v>
      </c>
      <c r="J184" s="0" t="n">
        <v>0.3</v>
      </c>
      <c r="K184" s="0" t="n">
        <v>0.2879</v>
      </c>
      <c r="L184" s="0" t="n">
        <v>0.87</v>
      </c>
      <c r="M184" s="0" t="n">
        <v>0.2537</v>
      </c>
      <c r="N184" s="0" t="n">
        <v>5</v>
      </c>
      <c r="O184" s="0" t="n">
        <v>64</v>
      </c>
      <c r="P184" s="0" t="n">
        <v>69</v>
      </c>
    </row>
    <row r="185" customFormat="false" ht="15" hidden="false" customHeight="false" outlineLevel="0" collapsed="false">
      <c r="A185" s="0" t="n">
        <v>803</v>
      </c>
      <c r="B185" s="0" t="s">
        <v>119</v>
      </c>
      <c r="C185" s="0" t="n">
        <v>1</v>
      </c>
      <c r="D185" s="0" t="n">
        <v>0</v>
      </c>
      <c r="E185" s="0" t="n">
        <v>2</v>
      </c>
      <c r="F185" s="0" t="n">
        <v>21</v>
      </c>
      <c r="G185" s="0" t="b">
        <f aca="false">FALSE()</f>
        <v>0</v>
      </c>
      <c r="H185" s="0" t="n">
        <v>6</v>
      </c>
      <c r="I185" s="0" t="n">
        <v>1</v>
      </c>
      <c r="J185" s="0" t="n">
        <v>0.26</v>
      </c>
      <c r="K185" s="0" t="n">
        <v>0.2576</v>
      </c>
      <c r="L185" s="0" t="n">
        <v>1</v>
      </c>
      <c r="M185" s="0" t="n">
        <v>0.194</v>
      </c>
      <c r="N185" s="0" t="n">
        <v>3</v>
      </c>
      <c r="O185" s="0" t="n">
        <v>53</v>
      </c>
      <c r="P185" s="0" t="n">
        <v>56</v>
      </c>
    </row>
    <row r="186" customFormat="false" ht="15" hidden="false" customHeight="false" outlineLevel="0" collapsed="false">
      <c r="A186" s="0" t="n">
        <v>804</v>
      </c>
      <c r="B186" s="0" t="s">
        <v>119</v>
      </c>
      <c r="C186" s="0" t="n">
        <v>1</v>
      </c>
      <c r="D186" s="0" t="n">
        <v>0</v>
      </c>
      <c r="E186" s="0" t="n">
        <v>2</v>
      </c>
      <c r="F186" s="0" t="n">
        <v>22</v>
      </c>
      <c r="G186" s="0" t="b">
        <f aca="false">FALSE()</f>
        <v>0</v>
      </c>
      <c r="H186" s="0" t="n">
        <v>6</v>
      </c>
      <c r="I186" s="0" t="n">
        <v>1</v>
      </c>
      <c r="J186" s="0" t="n">
        <v>0.26</v>
      </c>
      <c r="K186" s="0" t="n">
        <v>0.2727</v>
      </c>
      <c r="L186" s="0" t="n">
        <v>0.93</v>
      </c>
      <c r="M186" s="0" t="n">
        <v>0.1343</v>
      </c>
      <c r="N186" s="0" t="n">
        <v>2</v>
      </c>
      <c r="O186" s="0" t="n">
        <v>43</v>
      </c>
      <c r="P186" s="0" t="n">
        <v>45</v>
      </c>
    </row>
    <row r="187" customFormat="false" ht="15" hidden="false" customHeight="false" outlineLevel="0" collapsed="false">
      <c r="A187" s="0" t="n">
        <v>805</v>
      </c>
      <c r="B187" s="0" t="s">
        <v>119</v>
      </c>
      <c r="C187" s="0" t="n">
        <v>1</v>
      </c>
      <c r="D187" s="0" t="n">
        <v>0</v>
      </c>
      <c r="E187" s="0" t="n">
        <v>2</v>
      </c>
      <c r="F187" s="0" t="n">
        <v>23</v>
      </c>
      <c r="G187" s="0" t="b">
        <f aca="false">FALSE()</f>
        <v>0</v>
      </c>
      <c r="H187" s="0" t="n">
        <v>6</v>
      </c>
      <c r="I187" s="0" t="n">
        <v>1</v>
      </c>
      <c r="J187" s="0" t="n">
        <v>0.26</v>
      </c>
      <c r="K187" s="0" t="n">
        <v>0.2576</v>
      </c>
      <c r="L187" s="0" t="n">
        <v>0.93</v>
      </c>
      <c r="M187" s="0" t="n">
        <v>0.2239</v>
      </c>
      <c r="N187" s="0" t="n">
        <v>7</v>
      </c>
      <c r="O187" s="0" t="n">
        <v>52</v>
      </c>
      <c r="P187" s="0" t="n">
        <v>59</v>
      </c>
    </row>
    <row r="188" customFormat="false" ht="15" hidden="false" customHeight="false" outlineLevel="0" collapsed="false">
      <c r="A188" s="0" t="n">
        <v>806</v>
      </c>
      <c r="B188" s="0" t="s">
        <v>120</v>
      </c>
      <c r="C188" s="0" t="n">
        <v>1</v>
      </c>
      <c r="D188" s="0" t="n">
        <v>0</v>
      </c>
      <c r="E188" s="0" t="n">
        <v>2</v>
      </c>
      <c r="F188" s="0" t="n">
        <v>0</v>
      </c>
      <c r="G188" s="0" t="b">
        <f aca="false">FALSE()</f>
        <v>0</v>
      </c>
      <c r="H188" s="0" t="n">
        <v>0</v>
      </c>
      <c r="I188" s="0" t="n">
        <v>1</v>
      </c>
      <c r="J188" s="0" t="n">
        <v>0.26</v>
      </c>
      <c r="K188" s="0" t="n">
        <v>0.2576</v>
      </c>
      <c r="L188" s="0" t="n">
        <v>0.7</v>
      </c>
      <c r="M188" s="0" t="n">
        <v>0.194</v>
      </c>
      <c r="N188" s="0" t="n">
        <v>2</v>
      </c>
      <c r="O188" s="0" t="n">
        <v>37</v>
      </c>
      <c r="P188" s="0" t="n">
        <v>39</v>
      </c>
    </row>
    <row r="189" customFormat="false" ht="15" hidden="false" customHeight="false" outlineLevel="0" collapsed="false">
      <c r="A189" s="0" t="n">
        <v>807</v>
      </c>
      <c r="B189" s="0" t="s">
        <v>120</v>
      </c>
      <c r="C189" s="0" t="n">
        <v>1</v>
      </c>
      <c r="D189" s="0" t="n">
        <v>0</v>
      </c>
      <c r="E189" s="0" t="n">
        <v>2</v>
      </c>
      <c r="F189" s="0" t="n">
        <v>1</v>
      </c>
      <c r="G189" s="0" t="b">
        <f aca="false">FALSE()</f>
        <v>0</v>
      </c>
      <c r="H189" s="0" t="n">
        <v>0</v>
      </c>
      <c r="I189" s="0" t="n">
        <v>1</v>
      </c>
      <c r="J189" s="0" t="n">
        <v>0.26</v>
      </c>
      <c r="K189" s="0" t="n">
        <v>0.2273</v>
      </c>
      <c r="L189" s="0" t="n">
        <v>0.65</v>
      </c>
      <c r="M189" s="0" t="n">
        <v>0.4179</v>
      </c>
      <c r="N189" s="0" t="n">
        <v>4</v>
      </c>
      <c r="O189" s="0" t="n">
        <v>40</v>
      </c>
      <c r="P189" s="0" t="n">
        <v>44</v>
      </c>
    </row>
    <row r="190" customFormat="false" ht="15" hidden="false" customHeight="false" outlineLevel="0" collapsed="false">
      <c r="A190" s="0" t="n">
        <v>808</v>
      </c>
      <c r="B190" s="0" t="s">
        <v>120</v>
      </c>
      <c r="C190" s="0" t="n">
        <v>1</v>
      </c>
      <c r="D190" s="0" t="n">
        <v>0</v>
      </c>
      <c r="E190" s="0" t="n">
        <v>2</v>
      </c>
      <c r="F190" s="0" t="n">
        <v>2</v>
      </c>
      <c r="G190" s="0" t="b">
        <f aca="false">FALSE()</f>
        <v>0</v>
      </c>
      <c r="H190" s="0" t="n">
        <v>0</v>
      </c>
      <c r="I190" s="0" t="n">
        <v>1</v>
      </c>
      <c r="J190" s="0" t="n">
        <v>0.26</v>
      </c>
      <c r="K190" s="0" t="n">
        <v>0.2273</v>
      </c>
      <c r="L190" s="0" t="n">
        <v>0.6</v>
      </c>
      <c r="M190" s="0" t="n">
        <v>0.3284</v>
      </c>
      <c r="N190" s="0" t="n">
        <v>0</v>
      </c>
      <c r="O190" s="0" t="n">
        <v>20</v>
      </c>
      <c r="P190" s="0" t="n">
        <v>20</v>
      </c>
    </row>
    <row r="191" customFormat="false" ht="15" hidden="false" customHeight="false" outlineLevel="0" collapsed="false">
      <c r="A191" s="0" t="n">
        <v>809</v>
      </c>
      <c r="B191" s="0" t="s">
        <v>120</v>
      </c>
      <c r="C191" s="0" t="n">
        <v>1</v>
      </c>
      <c r="D191" s="0" t="n">
        <v>0</v>
      </c>
      <c r="E191" s="0" t="n">
        <v>2</v>
      </c>
      <c r="F191" s="0" t="n">
        <v>3</v>
      </c>
      <c r="G191" s="0" t="b">
        <f aca="false">FALSE()</f>
        <v>0</v>
      </c>
      <c r="H191" s="0" t="n">
        <v>0</v>
      </c>
      <c r="I191" s="0" t="n">
        <v>1</v>
      </c>
      <c r="J191" s="0" t="n">
        <v>0.26</v>
      </c>
      <c r="K191" s="0" t="n">
        <v>0.2879</v>
      </c>
      <c r="L191" s="0" t="n">
        <v>0.6</v>
      </c>
      <c r="M191" s="0" t="n">
        <v>0.0896</v>
      </c>
      <c r="N191" s="0" t="n">
        <v>3</v>
      </c>
      <c r="O191" s="0" t="n">
        <v>10</v>
      </c>
      <c r="P191" s="0" t="n">
        <v>13</v>
      </c>
    </row>
    <row r="192" customFormat="false" ht="15" hidden="false" customHeight="false" outlineLevel="0" collapsed="false">
      <c r="A192" s="0" t="n">
        <v>810</v>
      </c>
      <c r="B192" s="0" t="s">
        <v>120</v>
      </c>
      <c r="C192" s="0" t="n">
        <v>1</v>
      </c>
      <c r="D192" s="0" t="n">
        <v>0</v>
      </c>
      <c r="E192" s="0" t="n">
        <v>2</v>
      </c>
      <c r="F192" s="0" t="n">
        <v>4</v>
      </c>
      <c r="G192" s="0" t="b">
        <f aca="false">FALSE()</f>
        <v>0</v>
      </c>
      <c r="H192" s="0" t="n">
        <v>0</v>
      </c>
      <c r="I192" s="0" t="n">
        <v>1</v>
      </c>
      <c r="J192" s="0" t="n">
        <v>0.26</v>
      </c>
      <c r="K192" s="0" t="n">
        <v>0.2273</v>
      </c>
      <c r="L192" s="0" t="n">
        <v>0.6</v>
      </c>
      <c r="M192" s="0" t="n">
        <v>0.3582</v>
      </c>
      <c r="N192" s="0" t="n">
        <v>0</v>
      </c>
      <c r="O192" s="0" t="n">
        <v>2</v>
      </c>
      <c r="P192" s="0" t="n">
        <v>2</v>
      </c>
    </row>
    <row r="193" customFormat="false" ht="15" hidden="false" customHeight="false" outlineLevel="0" collapsed="false">
      <c r="A193" s="0" t="n">
        <v>811</v>
      </c>
      <c r="B193" s="0" t="s">
        <v>120</v>
      </c>
      <c r="C193" s="0" t="n">
        <v>1</v>
      </c>
      <c r="D193" s="0" t="n">
        <v>0</v>
      </c>
      <c r="E193" s="0" t="n">
        <v>2</v>
      </c>
      <c r="F193" s="0" t="n">
        <v>5</v>
      </c>
      <c r="G193" s="0" t="b">
        <f aca="false">FALSE()</f>
        <v>0</v>
      </c>
      <c r="H193" s="0" t="n">
        <v>0</v>
      </c>
      <c r="I193" s="0" t="n">
        <v>1</v>
      </c>
      <c r="J193" s="0" t="n">
        <v>0.26</v>
      </c>
      <c r="K193" s="0" t="n">
        <v>0.2576</v>
      </c>
      <c r="L193" s="0" t="n">
        <v>0.6</v>
      </c>
      <c r="M193" s="0" t="n">
        <v>0.2239</v>
      </c>
      <c r="N193" s="0" t="n">
        <v>0</v>
      </c>
      <c r="O193" s="0" t="n">
        <v>1</v>
      </c>
      <c r="P193" s="0" t="n">
        <v>1</v>
      </c>
    </row>
    <row r="194" customFormat="false" ht="15" hidden="false" customHeight="false" outlineLevel="0" collapsed="false">
      <c r="A194" s="0" t="n">
        <v>812</v>
      </c>
      <c r="B194" s="0" t="s">
        <v>120</v>
      </c>
      <c r="C194" s="0" t="n">
        <v>1</v>
      </c>
      <c r="D194" s="0" t="n">
        <v>0</v>
      </c>
      <c r="E194" s="0" t="n">
        <v>2</v>
      </c>
      <c r="F194" s="0" t="n">
        <v>6</v>
      </c>
      <c r="G194" s="0" t="b">
        <f aca="false">FALSE()</f>
        <v>0</v>
      </c>
      <c r="H194" s="0" t="n">
        <v>0</v>
      </c>
      <c r="I194" s="0" t="n">
        <v>1</v>
      </c>
      <c r="J194" s="0" t="n">
        <v>0.26</v>
      </c>
      <c r="K194" s="0" t="n">
        <v>0.2576</v>
      </c>
      <c r="L194" s="0" t="n">
        <v>0.6</v>
      </c>
      <c r="M194" s="0" t="n">
        <v>0.2239</v>
      </c>
      <c r="N194" s="0" t="n">
        <v>0</v>
      </c>
      <c r="O194" s="0" t="n">
        <v>1</v>
      </c>
      <c r="P194" s="0" t="n">
        <v>1</v>
      </c>
    </row>
    <row r="195" customFormat="false" ht="15" hidden="false" customHeight="false" outlineLevel="0" collapsed="false">
      <c r="A195" s="0" t="n">
        <v>813</v>
      </c>
      <c r="B195" s="0" t="s">
        <v>120</v>
      </c>
      <c r="C195" s="0" t="n">
        <v>1</v>
      </c>
      <c r="D195" s="0" t="n">
        <v>0</v>
      </c>
      <c r="E195" s="0" t="n">
        <v>2</v>
      </c>
      <c r="F195" s="0" t="n">
        <v>7</v>
      </c>
      <c r="G195" s="0" t="b">
        <f aca="false">FALSE()</f>
        <v>0</v>
      </c>
      <c r="H195" s="0" t="n">
        <v>0</v>
      </c>
      <c r="I195" s="0" t="n">
        <v>1</v>
      </c>
      <c r="J195" s="0" t="n">
        <v>0.24</v>
      </c>
      <c r="K195" s="0" t="n">
        <v>0.2424</v>
      </c>
      <c r="L195" s="0" t="n">
        <v>0.65</v>
      </c>
      <c r="M195" s="0" t="n">
        <v>0.1642</v>
      </c>
      <c r="N195" s="0" t="n">
        <v>0</v>
      </c>
      <c r="O195" s="0" t="n">
        <v>8</v>
      </c>
      <c r="P195" s="0" t="n">
        <v>8</v>
      </c>
    </row>
    <row r="196" customFormat="false" ht="15" hidden="false" customHeight="false" outlineLevel="0" collapsed="false">
      <c r="A196" s="0" t="n">
        <v>814</v>
      </c>
      <c r="B196" s="0" t="s">
        <v>120</v>
      </c>
      <c r="C196" s="0" t="n">
        <v>1</v>
      </c>
      <c r="D196" s="0" t="n">
        <v>0</v>
      </c>
      <c r="E196" s="0" t="n">
        <v>2</v>
      </c>
      <c r="F196" s="0" t="n">
        <v>8</v>
      </c>
      <c r="G196" s="0" t="b">
        <f aca="false">FALSE()</f>
        <v>0</v>
      </c>
      <c r="H196" s="0" t="n">
        <v>0</v>
      </c>
      <c r="I196" s="0" t="n">
        <v>1</v>
      </c>
      <c r="J196" s="0" t="n">
        <v>0.24</v>
      </c>
      <c r="K196" s="0" t="n">
        <v>0.2576</v>
      </c>
      <c r="L196" s="0" t="n">
        <v>0.65</v>
      </c>
      <c r="M196" s="0" t="n">
        <v>0.1045</v>
      </c>
      <c r="N196" s="0" t="n">
        <v>2</v>
      </c>
      <c r="O196" s="0" t="n">
        <v>21</v>
      </c>
      <c r="P196" s="0" t="n">
        <v>23</v>
      </c>
    </row>
    <row r="197" customFormat="false" ht="15" hidden="false" customHeight="false" outlineLevel="0" collapsed="false">
      <c r="A197" s="0" t="n">
        <v>815</v>
      </c>
      <c r="B197" s="0" t="s">
        <v>120</v>
      </c>
      <c r="C197" s="0" t="n">
        <v>1</v>
      </c>
      <c r="D197" s="0" t="n">
        <v>0</v>
      </c>
      <c r="E197" s="0" t="n">
        <v>2</v>
      </c>
      <c r="F197" s="0" t="n">
        <v>9</v>
      </c>
      <c r="G197" s="0" t="b">
        <f aca="false">FALSE()</f>
        <v>0</v>
      </c>
      <c r="H197" s="0" t="n">
        <v>0</v>
      </c>
      <c r="I197" s="0" t="n">
        <v>1</v>
      </c>
      <c r="J197" s="0" t="n">
        <v>0.28</v>
      </c>
      <c r="K197" s="0" t="n">
        <v>0.2879</v>
      </c>
      <c r="L197" s="0" t="n">
        <v>0.56</v>
      </c>
      <c r="M197" s="0" t="n">
        <v>0.1045</v>
      </c>
      <c r="N197" s="0" t="n">
        <v>7</v>
      </c>
      <c r="O197" s="0" t="n">
        <v>38</v>
      </c>
      <c r="P197" s="0" t="n">
        <v>45</v>
      </c>
    </row>
    <row r="198" customFormat="false" ht="15" hidden="false" customHeight="false" outlineLevel="0" collapsed="false">
      <c r="A198" s="0" t="n">
        <v>816</v>
      </c>
      <c r="B198" s="0" t="s">
        <v>120</v>
      </c>
      <c r="C198" s="0" t="n">
        <v>1</v>
      </c>
      <c r="D198" s="0" t="n">
        <v>0</v>
      </c>
      <c r="E198" s="0" t="n">
        <v>2</v>
      </c>
      <c r="F198" s="0" t="n">
        <v>10</v>
      </c>
      <c r="G198" s="0" t="b">
        <f aca="false">FALSE()</f>
        <v>0</v>
      </c>
      <c r="H198" s="0" t="n">
        <v>0</v>
      </c>
      <c r="I198" s="0" t="n">
        <v>1</v>
      </c>
      <c r="J198" s="0" t="n">
        <v>0.3</v>
      </c>
      <c r="K198" s="0" t="n">
        <v>0.2879</v>
      </c>
      <c r="L198" s="0" t="n">
        <v>0.52</v>
      </c>
      <c r="M198" s="0" t="n">
        <v>0.2537</v>
      </c>
      <c r="N198" s="0" t="n">
        <v>15</v>
      </c>
      <c r="O198" s="0" t="n">
        <v>74</v>
      </c>
      <c r="P198" s="0" t="n">
        <v>89</v>
      </c>
    </row>
    <row r="199" customFormat="false" ht="15" hidden="false" customHeight="false" outlineLevel="0" collapsed="false">
      <c r="A199" s="0" t="n">
        <v>817</v>
      </c>
      <c r="B199" s="0" t="s">
        <v>120</v>
      </c>
      <c r="C199" s="0" t="n">
        <v>1</v>
      </c>
      <c r="D199" s="0" t="n">
        <v>0</v>
      </c>
      <c r="E199" s="0" t="n">
        <v>2</v>
      </c>
      <c r="F199" s="0" t="n">
        <v>11</v>
      </c>
      <c r="G199" s="0" t="b">
        <f aca="false">FALSE()</f>
        <v>0</v>
      </c>
      <c r="H199" s="0" t="n">
        <v>0</v>
      </c>
      <c r="I199" s="0" t="n">
        <v>1</v>
      </c>
      <c r="J199" s="0" t="n">
        <v>0.32</v>
      </c>
      <c r="K199" s="0" t="n">
        <v>0.303</v>
      </c>
      <c r="L199" s="0" t="n">
        <v>0.49</v>
      </c>
      <c r="M199" s="0" t="n">
        <v>0.2537</v>
      </c>
      <c r="N199" s="0" t="n">
        <v>28</v>
      </c>
      <c r="O199" s="0" t="n">
        <v>89</v>
      </c>
      <c r="P199" s="0" t="n">
        <v>117</v>
      </c>
    </row>
    <row r="200" customFormat="false" ht="15" hidden="false" customHeight="false" outlineLevel="0" collapsed="false">
      <c r="A200" s="0" t="n">
        <v>818</v>
      </c>
      <c r="B200" s="0" t="s">
        <v>120</v>
      </c>
      <c r="C200" s="0" t="n">
        <v>1</v>
      </c>
      <c r="D200" s="0" t="n">
        <v>0</v>
      </c>
      <c r="E200" s="0" t="n">
        <v>2</v>
      </c>
      <c r="F200" s="0" t="n">
        <v>12</v>
      </c>
      <c r="G200" s="0" t="b">
        <f aca="false">FALSE()</f>
        <v>0</v>
      </c>
      <c r="H200" s="0" t="n">
        <v>0</v>
      </c>
      <c r="I200" s="0" t="n">
        <v>1</v>
      </c>
      <c r="J200" s="0" t="n">
        <v>0.34</v>
      </c>
      <c r="K200" s="0" t="n">
        <v>0.3333</v>
      </c>
      <c r="L200" s="0" t="n">
        <v>0.46</v>
      </c>
      <c r="M200" s="0" t="n">
        <v>0</v>
      </c>
      <c r="N200" s="0" t="n">
        <v>48</v>
      </c>
      <c r="O200" s="0" t="n">
        <v>126</v>
      </c>
      <c r="P200" s="0" t="n">
        <v>174</v>
      </c>
    </row>
    <row r="201" customFormat="false" ht="15" hidden="false" customHeight="false" outlineLevel="0" collapsed="false">
      <c r="A201" s="0" t="n">
        <v>819</v>
      </c>
      <c r="B201" s="0" t="s">
        <v>120</v>
      </c>
      <c r="C201" s="0" t="n">
        <v>1</v>
      </c>
      <c r="D201" s="0" t="n">
        <v>0</v>
      </c>
      <c r="E201" s="0" t="n">
        <v>2</v>
      </c>
      <c r="F201" s="0" t="n">
        <v>13</v>
      </c>
      <c r="G201" s="0" t="b">
        <f aca="false">FALSE()</f>
        <v>0</v>
      </c>
      <c r="H201" s="0" t="n">
        <v>0</v>
      </c>
      <c r="I201" s="0" t="n">
        <v>1</v>
      </c>
      <c r="J201" s="0" t="n">
        <v>0.34</v>
      </c>
      <c r="K201" s="0" t="n">
        <v>0.3636</v>
      </c>
      <c r="L201" s="0" t="n">
        <v>0.46</v>
      </c>
      <c r="M201" s="0" t="n">
        <v>0</v>
      </c>
      <c r="N201" s="0" t="n">
        <v>47</v>
      </c>
      <c r="O201" s="0" t="n">
        <v>135</v>
      </c>
      <c r="P201" s="0" t="n">
        <v>182</v>
      </c>
    </row>
    <row r="202" customFormat="false" ht="15" hidden="false" customHeight="false" outlineLevel="0" collapsed="false">
      <c r="A202" s="0" t="n">
        <v>820</v>
      </c>
      <c r="B202" s="0" t="s">
        <v>120</v>
      </c>
      <c r="C202" s="0" t="n">
        <v>1</v>
      </c>
      <c r="D202" s="0" t="n">
        <v>0</v>
      </c>
      <c r="E202" s="0" t="n">
        <v>2</v>
      </c>
      <c r="F202" s="0" t="n">
        <v>14</v>
      </c>
      <c r="G202" s="0" t="b">
        <f aca="false">FALSE()</f>
        <v>0</v>
      </c>
      <c r="H202" s="0" t="n">
        <v>0</v>
      </c>
      <c r="I202" s="0" t="n">
        <v>1</v>
      </c>
      <c r="J202" s="0" t="n">
        <v>0.34</v>
      </c>
      <c r="K202" s="0" t="n">
        <v>0.3485</v>
      </c>
      <c r="L202" s="0" t="n">
        <v>0.46</v>
      </c>
      <c r="M202" s="0" t="n">
        <v>0.0896</v>
      </c>
      <c r="N202" s="0" t="n">
        <v>47</v>
      </c>
      <c r="O202" s="0" t="n">
        <v>114</v>
      </c>
      <c r="P202" s="0" t="n">
        <v>161</v>
      </c>
    </row>
    <row r="203" customFormat="false" ht="15" hidden="false" customHeight="false" outlineLevel="0" collapsed="false">
      <c r="A203" s="0" t="n">
        <v>821</v>
      </c>
      <c r="B203" s="0" t="s">
        <v>120</v>
      </c>
      <c r="C203" s="0" t="n">
        <v>1</v>
      </c>
      <c r="D203" s="0" t="n">
        <v>0</v>
      </c>
      <c r="E203" s="0" t="n">
        <v>2</v>
      </c>
      <c r="F203" s="0" t="n">
        <v>15</v>
      </c>
      <c r="G203" s="0" t="b">
        <f aca="false">FALSE()</f>
        <v>0</v>
      </c>
      <c r="H203" s="0" t="n">
        <v>0</v>
      </c>
      <c r="I203" s="0" t="n">
        <v>1</v>
      </c>
      <c r="J203" s="0" t="n">
        <v>0.34</v>
      </c>
      <c r="K203" s="0" t="n">
        <v>0.3485</v>
      </c>
      <c r="L203" s="0" t="n">
        <v>0.46</v>
      </c>
      <c r="M203" s="0" t="n">
        <v>0.0896</v>
      </c>
      <c r="N203" s="0" t="n">
        <v>52</v>
      </c>
      <c r="O203" s="0" t="n">
        <v>130</v>
      </c>
      <c r="P203" s="0" t="n">
        <v>182</v>
      </c>
    </row>
    <row r="204" customFormat="false" ht="15" hidden="false" customHeight="false" outlineLevel="0" collapsed="false">
      <c r="A204" s="0" t="n">
        <v>822</v>
      </c>
      <c r="B204" s="0" t="s">
        <v>120</v>
      </c>
      <c r="C204" s="0" t="n">
        <v>1</v>
      </c>
      <c r="D204" s="0" t="n">
        <v>0</v>
      </c>
      <c r="E204" s="0" t="n">
        <v>2</v>
      </c>
      <c r="F204" s="0" t="n">
        <v>16</v>
      </c>
      <c r="G204" s="0" t="b">
        <f aca="false">FALSE()</f>
        <v>0</v>
      </c>
      <c r="H204" s="0" t="n">
        <v>0</v>
      </c>
      <c r="I204" s="0" t="n">
        <v>1</v>
      </c>
      <c r="J204" s="0" t="n">
        <v>0.34</v>
      </c>
      <c r="K204" s="0" t="n">
        <v>0.3485</v>
      </c>
      <c r="L204" s="0" t="n">
        <v>0.49</v>
      </c>
      <c r="M204" s="0" t="n">
        <v>0.1045</v>
      </c>
      <c r="N204" s="0" t="n">
        <v>42</v>
      </c>
      <c r="O204" s="0" t="n">
        <v>115</v>
      </c>
      <c r="P204" s="0" t="n">
        <v>157</v>
      </c>
    </row>
    <row r="205" customFormat="false" ht="15" hidden="false" customHeight="false" outlineLevel="0" collapsed="false">
      <c r="A205" s="0" t="n">
        <v>823</v>
      </c>
      <c r="B205" s="0" t="s">
        <v>120</v>
      </c>
      <c r="C205" s="0" t="n">
        <v>1</v>
      </c>
      <c r="D205" s="0" t="n">
        <v>0</v>
      </c>
      <c r="E205" s="0" t="n">
        <v>2</v>
      </c>
      <c r="F205" s="0" t="n">
        <v>17</v>
      </c>
      <c r="G205" s="0" t="b">
        <f aca="false">FALSE()</f>
        <v>0</v>
      </c>
      <c r="H205" s="0" t="n">
        <v>0</v>
      </c>
      <c r="I205" s="0" t="n">
        <v>1</v>
      </c>
      <c r="J205" s="0" t="n">
        <v>0.34</v>
      </c>
      <c r="K205" s="0" t="n">
        <v>0.3636</v>
      </c>
      <c r="L205" s="0" t="n">
        <v>0.46</v>
      </c>
      <c r="M205" s="0" t="n">
        <v>0</v>
      </c>
      <c r="N205" s="0" t="n">
        <v>24</v>
      </c>
      <c r="O205" s="0" t="n">
        <v>97</v>
      </c>
      <c r="P205" s="0" t="n">
        <v>121</v>
      </c>
    </row>
    <row r="206" customFormat="false" ht="15" hidden="false" customHeight="false" outlineLevel="0" collapsed="false">
      <c r="A206" s="0" t="n">
        <v>824</v>
      </c>
      <c r="B206" s="0" t="s">
        <v>120</v>
      </c>
      <c r="C206" s="0" t="n">
        <v>1</v>
      </c>
      <c r="D206" s="0" t="n">
        <v>0</v>
      </c>
      <c r="E206" s="0" t="n">
        <v>2</v>
      </c>
      <c r="F206" s="0" t="n">
        <v>18</v>
      </c>
      <c r="G206" s="0" t="b">
        <f aca="false">FALSE()</f>
        <v>0</v>
      </c>
      <c r="H206" s="0" t="n">
        <v>0</v>
      </c>
      <c r="I206" s="0" t="n">
        <v>1</v>
      </c>
      <c r="J206" s="0" t="n">
        <v>0.3</v>
      </c>
      <c r="K206" s="0" t="n">
        <v>0.303</v>
      </c>
      <c r="L206" s="0" t="n">
        <v>0.56</v>
      </c>
      <c r="M206" s="0" t="n">
        <v>0.1642</v>
      </c>
      <c r="N206" s="0" t="n">
        <v>13</v>
      </c>
      <c r="O206" s="0" t="n">
        <v>65</v>
      </c>
      <c r="P206" s="0" t="n">
        <v>78</v>
      </c>
    </row>
    <row r="207" customFormat="false" ht="15" hidden="false" customHeight="false" outlineLevel="0" collapsed="false">
      <c r="A207" s="0" t="n">
        <v>825</v>
      </c>
      <c r="B207" s="0" t="s">
        <v>120</v>
      </c>
      <c r="C207" s="0" t="n">
        <v>1</v>
      </c>
      <c r="D207" s="0" t="n">
        <v>0</v>
      </c>
      <c r="E207" s="0" t="n">
        <v>2</v>
      </c>
      <c r="F207" s="0" t="n">
        <v>19</v>
      </c>
      <c r="G207" s="0" t="b">
        <f aca="false">FALSE()</f>
        <v>0</v>
      </c>
      <c r="H207" s="0" t="n">
        <v>0</v>
      </c>
      <c r="I207" s="0" t="n">
        <v>1</v>
      </c>
      <c r="J207" s="0" t="n">
        <v>0.28</v>
      </c>
      <c r="K207" s="0" t="n">
        <v>0.2879</v>
      </c>
      <c r="L207" s="0" t="n">
        <v>0.61</v>
      </c>
      <c r="M207" s="0" t="n">
        <v>0.1343</v>
      </c>
      <c r="N207" s="0" t="n">
        <v>1</v>
      </c>
      <c r="O207" s="0" t="n">
        <v>20</v>
      </c>
      <c r="P207" s="0" t="n">
        <v>21</v>
      </c>
    </row>
    <row r="208" customFormat="false" ht="15" hidden="false" customHeight="false" outlineLevel="0" collapsed="false">
      <c r="A208" s="0" t="n">
        <v>826</v>
      </c>
      <c r="B208" s="0" t="s">
        <v>120</v>
      </c>
      <c r="C208" s="0" t="n">
        <v>1</v>
      </c>
      <c r="D208" s="0" t="n">
        <v>0</v>
      </c>
      <c r="E208" s="0" t="n">
        <v>2</v>
      </c>
      <c r="F208" s="0" t="n">
        <v>20</v>
      </c>
      <c r="G208" s="0" t="b">
        <f aca="false">FALSE()</f>
        <v>0</v>
      </c>
      <c r="H208" s="0" t="n">
        <v>0</v>
      </c>
      <c r="I208" s="0" t="n">
        <v>1</v>
      </c>
      <c r="J208" s="0" t="n">
        <v>0.28</v>
      </c>
      <c r="K208" s="0" t="n">
        <v>0.2879</v>
      </c>
      <c r="L208" s="0" t="n">
        <v>0.61</v>
      </c>
      <c r="M208" s="0" t="n">
        <v>0.1045</v>
      </c>
      <c r="N208" s="0" t="n">
        <v>5</v>
      </c>
      <c r="O208" s="0" t="n">
        <v>21</v>
      </c>
      <c r="P208" s="0" t="n">
        <v>26</v>
      </c>
    </row>
    <row r="209" customFormat="false" ht="15" hidden="false" customHeight="false" outlineLevel="0" collapsed="false">
      <c r="A209" s="0" t="n">
        <v>827</v>
      </c>
      <c r="B209" s="0" t="s">
        <v>120</v>
      </c>
      <c r="C209" s="0" t="n">
        <v>1</v>
      </c>
      <c r="D209" s="0" t="n">
        <v>0</v>
      </c>
      <c r="E209" s="0" t="n">
        <v>2</v>
      </c>
      <c r="F209" s="0" t="n">
        <v>21</v>
      </c>
      <c r="G209" s="0" t="b">
        <f aca="false">FALSE()</f>
        <v>0</v>
      </c>
      <c r="H209" s="0" t="n">
        <v>0</v>
      </c>
      <c r="I209" s="0" t="n">
        <v>1</v>
      </c>
      <c r="J209" s="0" t="n">
        <v>0.26</v>
      </c>
      <c r="K209" s="0" t="n">
        <v>0.303</v>
      </c>
      <c r="L209" s="0" t="n">
        <v>0.6</v>
      </c>
      <c r="M209" s="0" t="n">
        <v>0</v>
      </c>
      <c r="N209" s="0" t="n">
        <v>5</v>
      </c>
      <c r="O209" s="0" t="n">
        <v>22</v>
      </c>
      <c r="P209" s="0" t="n">
        <v>27</v>
      </c>
    </row>
    <row r="210" customFormat="false" ht="15" hidden="false" customHeight="false" outlineLevel="0" collapsed="false">
      <c r="A210" s="0" t="n">
        <v>828</v>
      </c>
      <c r="B210" s="0" t="s">
        <v>120</v>
      </c>
      <c r="C210" s="0" t="n">
        <v>1</v>
      </c>
      <c r="D210" s="0" t="n">
        <v>0</v>
      </c>
      <c r="E210" s="0" t="n">
        <v>2</v>
      </c>
      <c r="F210" s="0" t="n">
        <v>22</v>
      </c>
      <c r="G210" s="0" t="b">
        <f aca="false">FALSE()</f>
        <v>0</v>
      </c>
      <c r="H210" s="0" t="n">
        <v>0</v>
      </c>
      <c r="I210" s="0" t="n">
        <v>1</v>
      </c>
      <c r="J210" s="0" t="n">
        <v>0.26</v>
      </c>
      <c r="K210" s="0" t="n">
        <v>0.303</v>
      </c>
      <c r="L210" s="0" t="n">
        <v>0.6</v>
      </c>
      <c r="M210" s="0" t="n">
        <v>0</v>
      </c>
      <c r="N210" s="0" t="n">
        <v>5</v>
      </c>
      <c r="O210" s="0" t="n">
        <v>57</v>
      </c>
      <c r="P210" s="0" t="n">
        <v>62</v>
      </c>
    </row>
    <row r="211" customFormat="false" ht="15" hidden="false" customHeight="false" outlineLevel="0" collapsed="false">
      <c r="A211" s="0" t="n">
        <v>829</v>
      </c>
      <c r="B211" s="0" t="s">
        <v>120</v>
      </c>
      <c r="C211" s="0" t="n">
        <v>1</v>
      </c>
      <c r="D211" s="0" t="n">
        <v>0</v>
      </c>
      <c r="E211" s="0" t="n">
        <v>2</v>
      </c>
      <c r="F211" s="0" t="n">
        <v>23</v>
      </c>
      <c r="G211" s="0" t="b">
        <f aca="false">FALSE()</f>
        <v>0</v>
      </c>
      <c r="H211" s="0" t="n">
        <v>0</v>
      </c>
      <c r="I211" s="0" t="n">
        <v>1</v>
      </c>
      <c r="J211" s="0" t="n">
        <v>0.24</v>
      </c>
      <c r="K211" s="0" t="n">
        <v>0.2879</v>
      </c>
      <c r="L211" s="0" t="n">
        <v>0.65</v>
      </c>
      <c r="M211" s="0" t="n">
        <v>0</v>
      </c>
      <c r="N211" s="0" t="n">
        <v>4</v>
      </c>
      <c r="O211" s="0" t="n">
        <v>26</v>
      </c>
      <c r="P211" s="0" t="n">
        <v>30</v>
      </c>
    </row>
    <row r="212" customFormat="false" ht="15" hidden="false" customHeight="false" outlineLevel="0" collapsed="false">
      <c r="A212" s="0" t="n">
        <v>830</v>
      </c>
      <c r="B212" s="0" t="s">
        <v>121</v>
      </c>
      <c r="C212" s="0" t="n">
        <v>1</v>
      </c>
      <c r="D212" s="0" t="n">
        <v>0</v>
      </c>
      <c r="E212" s="0" t="n">
        <v>2</v>
      </c>
      <c r="F212" s="0" t="n">
        <v>0</v>
      </c>
      <c r="G212" s="0" t="b">
        <f aca="false">FALSE()</f>
        <v>0</v>
      </c>
      <c r="H212" s="0" t="n">
        <v>1</v>
      </c>
      <c r="I212" s="0" t="n">
        <v>1</v>
      </c>
      <c r="J212" s="0" t="n">
        <v>0.24</v>
      </c>
      <c r="K212" s="0" t="n">
        <v>0.2879</v>
      </c>
      <c r="L212" s="0" t="n">
        <v>0.65</v>
      </c>
      <c r="M212" s="0" t="n">
        <v>0</v>
      </c>
      <c r="N212" s="0" t="n">
        <v>1</v>
      </c>
      <c r="O212" s="0" t="n">
        <v>14</v>
      </c>
      <c r="P212" s="0" t="n">
        <v>15</v>
      </c>
    </row>
    <row r="213" customFormat="false" ht="15" hidden="false" customHeight="false" outlineLevel="0" collapsed="false">
      <c r="A213" s="0" t="n">
        <v>831</v>
      </c>
      <c r="B213" s="0" t="s">
        <v>121</v>
      </c>
      <c r="C213" s="0" t="n">
        <v>1</v>
      </c>
      <c r="D213" s="0" t="n">
        <v>0</v>
      </c>
      <c r="E213" s="0" t="n">
        <v>2</v>
      </c>
      <c r="F213" s="0" t="n">
        <v>1</v>
      </c>
      <c r="G213" s="0" t="b">
        <f aca="false">FALSE()</f>
        <v>0</v>
      </c>
      <c r="H213" s="0" t="n">
        <v>1</v>
      </c>
      <c r="I213" s="0" t="n">
        <v>1</v>
      </c>
      <c r="J213" s="0" t="n">
        <v>0.22</v>
      </c>
      <c r="K213" s="0" t="n">
        <v>0.2727</v>
      </c>
      <c r="L213" s="0" t="n">
        <v>0.75</v>
      </c>
      <c r="M213" s="0" t="n">
        <v>0</v>
      </c>
      <c r="N213" s="0" t="n">
        <v>1</v>
      </c>
      <c r="O213" s="0" t="n">
        <v>4</v>
      </c>
      <c r="P213" s="0" t="n">
        <v>5</v>
      </c>
    </row>
    <row r="214" customFormat="false" ht="15" hidden="false" customHeight="false" outlineLevel="0" collapsed="false">
      <c r="A214" s="0" t="n">
        <v>832</v>
      </c>
      <c r="B214" s="0" t="s">
        <v>121</v>
      </c>
      <c r="C214" s="0" t="n">
        <v>1</v>
      </c>
      <c r="D214" s="0" t="n">
        <v>0</v>
      </c>
      <c r="E214" s="0" t="n">
        <v>2</v>
      </c>
      <c r="F214" s="0" t="n">
        <v>2</v>
      </c>
      <c r="G214" s="0" t="b">
        <f aca="false">FALSE()</f>
        <v>0</v>
      </c>
      <c r="H214" s="0" t="n">
        <v>1</v>
      </c>
      <c r="I214" s="0" t="n">
        <v>1</v>
      </c>
      <c r="J214" s="0" t="n">
        <v>0.2</v>
      </c>
      <c r="K214" s="0" t="n">
        <v>0.2576</v>
      </c>
      <c r="L214" s="0" t="n">
        <v>0.8</v>
      </c>
      <c r="M214" s="0" t="n">
        <v>0</v>
      </c>
      <c r="N214" s="0" t="n">
        <v>0</v>
      </c>
      <c r="O214" s="0" t="n">
        <v>3</v>
      </c>
      <c r="P214" s="0" t="n">
        <v>3</v>
      </c>
    </row>
    <row r="215" customFormat="false" ht="15" hidden="false" customHeight="false" outlineLevel="0" collapsed="false">
      <c r="A215" s="0" t="n">
        <v>833</v>
      </c>
      <c r="B215" s="0" t="s">
        <v>121</v>
      </c>
      <c r="C215" s="0" t="n">
        <v>1</v>
      </c>
      <c r="D215" s="0" t="n">
        <v>0</v>
      </c>
      <c r="E215" s="0" t="n">
        <v>2</v>
      </c>
      <c r="F215" s="0" t="n">
        <v>3</v>
      </c>
      <c r="G215" s="0" t="b">
        <f aca="false">FALSE()</f>
        <v>0</v>
      </c>
      <c r="H215" s="0" t="n">
        <v>1</v>
      </c>
      <c r="I215" s="0" t="n">
        <v>1</v>
      </c>
      <c r="J215" s="0" t="n">
        <v>0.2</v>
      </c>
      <c r="K215" s="0" t="n">
        <v>0.2576</v>
      </c>
      <c r="L215" s="0" t="n">
        <v>0.86</v>
      </c>
      <c r="M215" s="0" t="n">
        <v>0</v>
      </c>
      <c r="N215" s="0" t="n">
        <v>0</v>
      </c>
      <c r="O215" s="0" t="n">
        <v>1</v>
      </c>
      <c r="P215" s="0" t="n">
        <v>1</v>
      </c>
    </row>
    <row r="216" customFormat="false" ht="15" hidden="false" customHeight="false" outlineLevel="0" collapsed="false">
      <c r="A216" s="0" t="n">
        <v>834</v>
      </c>
      <c r="B216" s="0" t="s">
        <v>121</v>
      </c>
      <c r="C216" s="0" t="n">
        <v>1</v>
      </c>
      <c r="D216" s="0" t="n">
        <v>0</v>
      </c>
      <c r="E216" s="0" t="n">
        <v>2</v>
      </c>
      <c r="F216" s="0" t="n">
        <v>4</v>
      </c>
      <c r="G216" s="0" t="b">
        <f aca="false">FALSE()</f>
        <v>0</v>
      </c>
      <c r="H216" s="0" t="n">
        <v>1</v>
      </c>
      <c r="I216" s="0" t="n">
        <v>1</v>
      </c>
      <c r="J216" s="0" t="n">
        <v>0.2</v>
      </c>
      <c r="K216" s="0" t="n">
        <v>0.2576</v>
      </c>
      <c r="L216" s="0" t="n">
        <v>0.86</v>
      </c>
      <c r="M216" s="0" t="n">
        <v>0</v>
      </c>
      <c r="N216" s="0" t="n">
        <v>1</v>
      </c>
      <c r="O216" s="0" t="n">
        <v>1</v>
      </c>
      <c r="P216" s="0" t="n">
        <v>2</v>
      </c>
    </row>
    <row r="217" customFormat="false" ht="15" hidden="false" customHeight="false" outlineLevel="0" collapsed="false">
      <c r="A217" s="0" t="n">
        <v>835</v>
      </c>
      <c r="B217" s="0" t="s">
        <v>121</v>
      </c>
      <c r="C217" s="0" t="n">
        <v>1</v>
      </c>
      <c r="D217" s="0" t="n">
        <v>0</v>
      </c>
      <c r="E217" s="0" t="n">
        <v>2</v>
      </c>
      <c r="F217" s="0" t="n">
        <v>5</v>
      </c>
      <c r="G217" s="0" t="b">
        <f aca="false">FALSE()</f>
        <v>0</v>
      </c>
      <c r="H217" s="0" t="n">
        <v>1</v>
      </c>
      <c r="I217" s="0" t="n">
        <v>1</v>
      </c>
      <c r="J217" s="0" t="n">
        <v>0.2</v>
      </c>
      <c r="K217" s="0" t="n">
        <v>0.2576</v>
      </c>
      <c r="L217" s="0" t="n">
        <v>0.86</v>
      </c>
      <c r="M217" s="0" t="n">
        <v>0</v>
      </c>
      <c r="N217" s="0" t="n">
        <v>1</v>
      </c>
      <c r="O217" s="0" t="n">
        <v>9</v>
      </c>
      <c r="P217" s="0" t="n">
        <v>10</v>
      </c>
    </row>
    <row r="218" customFormat="false" ht="15" hidden="false" customHeight="false" outlineLevel="0" collapsed="false">
      <c r="A218" s="0" t="n">
        <v>836</v>
      </c>
      <c r="B218" s="0" t="s">
        <v>121</v>
      </c>
      <c r="C218" s="0" t="n">
        <v>1</v>
      </c>
      <c r="D218" s="0" t="n">
        <v>0</v>
      </c>
      <c r="E218" s="0" t="n">
        <v>2</v>
      </c>
      <c r="F218" s="0" t="n">
        <v>6</v>
      </c>
      <c r="G218" s="0" t="b">
        <f aca="false">FALSE()</f>
        <v>0</v>
      </c>
      <c r="H218" s="0" t="n">
        <v>1</v>
      </c>
      <c r="I218" s="0" t="n">
        <v>1</v>
      </c>
      <c r="J218" s="0" t="n">
        <v>0.18</v>
      </c>
      <c r="K218" s="0" t="n">
        <v>0.2424</v>
      </c>
      <c r="L218" s="0" t="n">
        <v>0.93</v>
      </c>
      <c r="M218" s="0" t="n">
        <v>0</v>
      </c>
      <c r="N218" s="0" t="n">
        <v>1</v>
      </c>
      <c r="O218" s="0" t="n">
        <v>29</v>
      </c>
      <c r="P218" s="0" t="n">
        <v>30</v>
      </c>
    </row>
    <row r="219" customFormat="false" ht="15" hidden="false" customHeight="false" outlineLevel="0" collapsed="false">
      <c r="A219" s="0" t="n">
        <v>837</v>
      </c>
      <c r="B219" s="0" t="s">
        <v>121</v>
      </c>
      <c r="C219" s="0" t="n">
        <v>1</v>
      </c>
      <c r="D219" s="0" t="n">
        <v>0</v>
      </c>
      <c r="E219" s="0" t="n">
        <v>2</v>
      </c>
      <c r="F219" s="0" t="n">
        <v>7</v>
      </c>
      <c r="G219" s="0" t="b">
        <f aca="false">FALSE()</f>
        <v>0</v>
      </c>
      <c r="H219" s="0" t="n">
        <v>1</v>
      </c>
      <c r="I219" s="0" t="n">
        <v>1</v>
      </c>
      <c r="J219" s="0" t="n">
        <v>0.18</v>
      </c>
      <c r="K219" s="0" t="n">
        <v>0.2424</v>
      </c>
      <c r="L219" s="0" t="n">
        <v>0.86</v>
      </c>
      <c r="M219" s="0" t="n">
        <v>0</v>
      </c>
      <c r="N219" s="0" t="n">
        <v>6</v>
      </c>
      <c r="O219" s="0" t="n">
        <v>89</v>
      </c>
      <c r="P219" s="0" t="n">
        <v>95</v>
      </c>
    </row>
    <row r="220" customFormat="false" ht="15" hidden="false" customHeight="false" outlineLevel="0" collapsed="false">
      <c r="A220" s="0" t="n">
        <v>838</v>
      </c>
      <c r="B220" s="0" t="s">
        <v>121</v>
      </c>
      <c r="C220" s="0" t="n">
        <v>1</v>
      </c>
      <c r="D220" s="0" t="n">
        <v>0</v>
      </c>
      <c r="E220" s="0" t="n">
        <v>2</v>
      </c>
      <c r="F220" s="0" t="n">
        <v>8</v>
      </c>
      <c r="G220" s="0" t="b">
        <f aca="false">FALSE()</f>
        <v>0</v>
      </c>
      <c r="H220" s="0" t="n">
        <v>1</v>
      </c>
      <c r="I220" s="0" t="n">
        <v>2</v>
      </c>
      <c r="J220" s="0" t="n">
        <v>0.16</v>
      </c>
      <c r="K220" s="0" t="n">
        <v>0.2273</v>
      </c>
      <c r="L220" s="0" t="n">
        <v>1</v>
      </c>
      <c r="M220" s="0" t="n">
        <v>0</v>
      </c>
      <c r="N220" s="0" t="n">
        <v>7</v>
      </c>
      <c r="O220" s="0" t="n">
        <v>223</v>
      </c>
      <c r="P220" s="0" t="n">
        <v>230</v>
      </c>
    </row>
    <row r="221" customFormat="false" ht="15" hidden="false" customHeight="false" outlineLevel="0" collapsed="false">
      <c r="A221" s="0" t="n">
        <v>839</v>
      </c>
      <c r="B221" s="0" t="s">
        <v>121</v>
      </c>
      <c r="C221" s="0" t="n">
        <v>1</v>
      </c>
      <c r="D221" s="0" t="n">
        <v>0</v>
      </c>
      <c r="E221" s="0" t="n">
        <v>2</v>
      </c>
      <c r="F221" s="0" t="n">
        <v>9</v>
      </c>
      <c r="G221" s="0" t="b">
        <f aca="false">FALSE()</f>
        <v>0</v>
      </c>
      <c r="H221" s="0" t="n">
        <v>1</v>
      </c>
      <c r="I221" s="0" t="n">
        <v>1</v>
      </c>
      <c r="J221" s="0" t="n">
        <v>0.22</v>
      </c>
      <c r="K221" s="0" t="n">
        <v>0.2727</v>
      </c>
      <c r="L221" s="0" t="n">
        <v>0.8</v>
      </c>
      <c r="M221" s="0" t="n">
        <v>0</v>
      </c>
      <c r="N221" s="0" t="n">
        <v>3</v>
      </c>
      <c r="O221" s="0" t="n">
        <v>115</v>
      </c>
      <c r="P221" s="0" t="n">
        <v>118</v>
      </c>
    </row>
    <row r="222" customFormat="false" ht="15" hidden="false" customHeight="false" outlineLevel="0" collapsed="false">
      <c r="A222" s="0" t="n">
        <v>840</v>
      </c>
      <c r="B222" s="0" t="s">
        <v>121</v>
      </c>
      <c r="C222" s="0" t="n">
        <v>1</v>
      </c>
      <c r="D222" s="0" t="n">
        <v>0</v>
      </c>
      <c r="E222" s="0" t="n">
        <v>2</v>
      </c>
      <c r="F222" s="0" t="n">
        <v>10</v>
      </c>
      <c r="G222" s="0" t="b">
        <f aca="false">FALSE()</f>
        <v>0</v>
      </c>
      <c r="H222" s="0" t="n">
        <v>1</v>
      </c>
      <c r="I222" s="0" t="n">
        <v>1</v>
      </c>
      <c r="J222" s="0" t="n">
        <v>0.24</v>
      </c>
      <c r="K222" s="0" t="n">
        <v>0.2576</v>
      </c>
      <c r="L222" s="0" t="n">
        <v>0.75</v>
      </c>
      <c r="M222" s="0" t="n">
        <v>0.1045</v>
      </c>
      <c r="N222" s="0" t="n">
        <v>6</v>
      </c>
      <c r="O222" s="0" t="n">
        <v>49</v>
      </c>
      <c r="P222" s="0" t="n">
        <v>55</v>
      </c>
    </row>
    <row r="223" customFormat="false" ht="15" hidden="false" customHeight="false" outlineLevel="0" collapsed="false">
      <c r="A223" s="0" t="n">
        <v>841</v>
      </c>
      <c r="B223" s="0" t="s">
        <v>121</v>
      </c>
      <c r="C223" s="0" t="n">
        <v>1</v>
      </c>
      <c r="D223" s="0" t="n">
        <v>0</v>
      </c>
      <c r="E223" s="0" t="n">
        <v>2</v>
      </c>
      <c r="F223" s="0" t="n">
        <v>11</v>
      </c>
      <c r="G223" s="0" t="b">
        <f aca="false">FALSE()</f>
        <v>0</v>
      </c>
      <c r="H223" s="0" t="n">
        <v>1</v>
      </c>
      <c r="I223" s="0" t="n">
        <v>1</v>
      </c>
      <c r="J223" s="0" t="n">
        <v>0.3</v>
      </c>
      <c r="K223" s="0" t="n">
        <v>0.3182</v>
      </c>
      <c r="L223" s="0" t="n">
        <v>0.65</v>
      </c>
      <c r="M223" s="0" t="n">
        <v>0.0896</v>
      </c>
      <c r="N223" s="0" t="n">
        <v>11</v>
      </c>
      <c r="O223" s="0" t="n">
        <v>36</v>
      </c>
      <c r="P223" s="0" t="n">
        <v>47</v>
      </c>
    </row>
    <row r="224" customFormat="false" ht="15" hidden="false" customHeight="false" outlineLevel="0" collapsed="false">
      <c r="A224" s="0" t="n">
        <v>842</v>
      </c>
      <c r="B224" s="0" t="s">
        <v>121</v>
      </c>
      <c r="C224" s="0" t="n">
        <v>1</v>
      </c>
      <c r="D224" s="0" t="n">
        <v>0</v>
      </c>
      <c r="E224" s="0" t="n">
        <v>2</v>
      </c>
      <c r="F224" s="0" t="n">
        <v>12</v>
      </c>
      <c r="G224" s="0" t="b">
        <f aca="false">FALSE()</f>
        <v>0</v>
      </c>
      <c r="H224" s="0" t="n">
        <v>1</v>
      </c>
      <c r="I224" s="0" t="n">
        <v>2</v>
      </c>
      <c r="J224" s="0" t="n">
        <v>0.32</v>
      </c>
      <c r="K224" s="0" t="n">
        <v>0.3485</v>
      </c>
      <c r="L224" s="0" t="n">
        <v>0.62</v>
      </c>
      <c r="M224" s="0" t="n">
        <v>0</v>
      </c>
      <c r="N224" s="0" t="n">
        <v>7</v>
      </c>
      <c r="O224" s="0" t="n">
        <v>59</v>
      </c>
      <c r="P224" s="0" t="n">
        <v>66</v>
      </c>
    </row>
    <row r="225" customFormat="false" ht="15" hidden="false" customHeight="false" outlineLevel="0" collapsed="false">
      <c r="A225" s="0" t="n">
        <v>843</v>
      </c>
      <c r="B225" s="0" t="s">
        <v>121</v>
      </c>
      <c r="C225" s="0" t="n">
        <v>1</v>
      </c>
      <c r="D225" s="0" t="n">
        <v>0</v>
      </c>
      <c r="E225" s="0" t="n">
        <v>2</v>
      </c>
      <c r="F225" s="0" t="n">
        <v>13</v>
      </c>
      <c r="G225" s="0" t="b">
        <f aca="false">FALSE()</f>
        <v>0</v>
      </c>
      <c r="H225" s="0" t="n">
        <v>1</v>
      </c>
      <c r="I225" s="0" t="n">
        <v>2</v>
      </c>
      <c r="J225" s="0" t="n">
        <v>0.36</v>
      </c>
      <c r="K225" s="0" t="n">
        <v>0.3636</v>
      </c>
      <c r="L225" s="0" t="n">
        <v>0.57</v>
      </c>
      <c r="M225" s="0" t="n">
        <v>0.0896</v>
      </c>
      <c r="N225" s="0" t="n">
        <v>10</v>
      </c>
      <c r="O225" s="0" t="n">
        <v>54</v>
      </c>
      <c r="P225" s="0" t="n">
        <v>64</v>
      </c>
    </row>
    <row r="226" customFormat="false" ht="15" hidden="false" customHeight="false" outlineLevel="0" collapsed="false">
      <c r="A226" s="0" t="n">
        <v>844</v>
      </c>
      <c r="B226" s="0" t="s">
        <v>121</v>
      </c>
      <c r="C226" s="0" t="n">
        <v>1</v>
      </c>
      <c r="D226" s="0" t="n">
        <v>0</v>
      </c>
      <c r="E226" s="0" t="n">
        <v>2</v>
      </c>
      <c r="F226" s="0" t="n">
        <v>14</v>
      </c>
      <c r="G226" s="0" t="b">
        <f aca="false">FALSE()</f>
        <v>0</v>
      </c>
      <c r="H226" s="0" t="n">
        <v>1</v>
      </c>
      <c r="I226" s="0" t="n">
        <v>2</v>
      </c>
      <c r="J226" s="0" t="n">
        <v>0.36</v>
      </c>
      <c r="K226" s="0" t="n">
        <v>0.3636</v>
      </c>
      <c r="L226" s="0" t="n">
        <v>0.57</v>
      </c>
      <c r="M226" s="0" t="n">
        <v>0.0896</v>
      </c>
      <c r="N226" s="0" t="n">
        <v>8</v>
      </c>
      <c r="O226" s="0" t="n">
        <v>52</v>
      </c>
      <c r="P226" s="0" t="n">
        <v>60</v>
      </c>
    </row>
    <row r="227" customFormat="false" ht="15" hidden="false" customHeight="false" outlineLevel="0" collapsed="false">
      <c r="A227" s="0" t="n">
        <v>845</v>
      </c>
      <c r="B227" s="0" t="s">
        <v>121</v>
      </c>
      <c r="C227" s="0" t="n">
        <v>1</v>
      </c>
      <c r="D227" s="0" t="n">
        <v>0</v>
      </c>
      <c r="E227" s="0" t="n">
        <v>2</v>
      </c>
      <c r="F227" s="0" t="n">
        <v>15</v>
      </c>
      <c r="G227" s="0" t="b">
        <f aca="false">FALSE()</f>
        <v>0</v>
      </c>
      <c r="H227" s="0" t="n">
        <v>1</v>
      </c>
      <c r="I227" s="0" t="n">
        <v>2</v>
      </c>
      <c r="J227" s="0" t="n">
        <v>0.38</v>
      </c>
      <c r="K227" s="0" t="n">
        <v>0.3939</v>
      </c>
      <c r="L227" s="0" t="n">
        <v>0.54</v>
      </c>
      <c r="M227" s="0" t="n">
        <v>0.0896</v>
      </c>
      <c r="N227" s="0" t="n">
        <v>4</v>
      </c>
      <c r="O227" s="0" t="n">
        <v>46</v>
      </c>
      <c r="P227" s="0" t="n">
        <v>50</v>
      </c>
    </row>
    <row r="228" customFormat="false" ht="15" hidden="false" customHeight="false" outlineLevel="0" collapsed="false">
      <c r="A228" s="0" t="n">
        <v>846</v>
      </c>
      <c r="B228" s="0" t="s">
        <v>121</v>
      </c>
      <c r="C228" s="0" t="n">
        <v>1</v>
      </c>
      <c r="D228" s="0" t="n">
        <v>0</v>
      </c>
      <c r="E228" s="0" t="n">
        <v>2</v>
      </c>
      <c r="F228" s="0" t="n">
        <v>16</v>
      </c>
      <c r="G228" s="0" t="b">
        <f aca="false">FALSE()</f>
        <v>0</v>
      </c>
      <c r="H228" s="0" t="n">
        <v>1</v>
      </c>
      <c r="I228" s="0" t="n">
        <v>2</v>
      </c>
      <c r="J228" s="0" t="n">
        <v>0.36</v>
      </c>
      <c r="K228" s="0" t="n">
        <v>0.3485</v>
      </c>
      <c r="L228" s="0" t="n">
        <v>0.57</v>
      </c>
      <c r="M228" s="0" t="n">
        <v>0.1343</v>
      </c>
      <c r="N228" s="0" t="n">
        <v>16</v>
      </c>
      <c r="O228" s="0" t="n">
        <v>98</v>
      </c>
      <c r="P228" s="0" t="n">
        <v>114</v>
      </c>
    </row>
    <row r="229" customFormat="false" ht="15" hidden="false" customHeight="false" outlineLevel="0" collapsed="false">
      <c r="A229" s="0" t="n">
        <v>847</v>
      </c>
      <c r="B229" s="0" t="s">
        <v>121</v>
      </c>
      <c r="C229" s="0" t="n">
        <v>1</v>
      </c>
      <c r="D229" s="0" t="n">
        <v>0</v>
      </c>
      <c r="E229" s="0" t="n">
        <v>2</v>
      </c>
      <c r="F229" s="0" t="n">
        <v>17</v>
      </c>
      <c r="G229" s="0" t="b">
        <f aca="false">FALSE()</f>
        <v>0</v>
      </c>
      <c r="H229" s="0" t="n">
        <v>1</v>
      </c>
      <c r="I229" s="0" t="n">
        <v>2</v>
      </c>
      <c r="J229" s="0" t="n">
        <v>0.32</v>
      </c>
      <c r="K229" s="0" t="n">
        <v>0.3182</v>
      </c>
      <c r="L229" s="0" t="n">
        <v>0.7</v>
      </c>
      <c r="M229" s="0" t="n">
        <v>0.1642</v>
      </c>
      <c r="N229" s="0" t="n">
        <v>9</v>
      </c>
      <c r="O229" s="0" t="n">
        <v>207</v>
      </c>
      <c r="P229" s="0" t="n">
        <v>216</v>
      </c>
    </row>
    <row r="230" customFormat="false" ht="15" hidden="false" customHeight="false" outlineLevel="0" collapsed="false">
      <c r="A230" s="0" t="n">
        <v>848</v>
      </c>
      <c r="B230" s="0" t="s">
        <v>121</v>
      </c>
      <c r="C230" s="0" t="n">
        <v>1</v>
      </c>
      <c r="D230" s="0" t="n">
        <v>0</v>
      </c>
      <c r="E230" s="0" t="n">
        <v>2</v>
      </c>
      <c r="F230" s="0" t="n">
        <v>18</v>
      </c>
      <c r="G230" s="0" t="b">
        <f aca="false">FALSE()</f>
        <v>0</v>
      </c>
      <c r="H230" s="0" t="n">
        <v>1</v>
      </c>
      <c r="I230" s="0" t="n">
        <v>2</v>
      </c>
      <c r="J230" s="0" t="n">
        <v>0.34</v>
      </c>
      <c r="K230" s="0" t="n">
        <v>0.3333</v>
      </c>
      <c r="L230" s="0" t="n">
        <v>0.66</v>
      </c>
      <c r="M230" s="0" t="n">
        <v>0.1343</v>
      </c>
      <c r="N230" s="0" t="n">
        <v>5</v>
      </c>
      <c r="O230" s="0" t="n">
        <v>170</v>
      </c>
      <c r="P230" s="0" t="n">
        <v>175</v>
      </c>
    </row>
    <row r="231" customFormat="false" ht="15" hidden="false" customHeight="false" outlineLevel="0" collapsed="false">
      <c r="A231" s="0" t="n">
        <v>849</v>
      </c>
      <c r="B231" s="0" t="s">
        <v>121</v>
      </c>
      <c r="C231" s="0" t="n">
        <v>1</v>
      </c>
      <c r="D231" s="0" t="n">
        <v>0</v>
      </c>
      <c r="E231" s="0" t="n">
        <v>2</v>
      </c>
      <c r="F231" s="0" t="n">
        <v>19</v>
      </c>
      <c r="G231" s="0" t="b">
        <f aca="false">FALSE()</f>
        <v>0</v>
      </c>
      <c r="H231" s="0" t="n">
        <v>1</v>
      </c>
      <c r="I231" s="0" t="n">
        <v>2</v>
      </c>
      <c r="J231" s="0" t="n">
        <v>0.32</v>
      </c>
      <c r="K231" s="0" t="n">
        <v>0.3485</v>
      </c>
      <c r="L231" s="0" t="n">
        <v>0.7</v>
      </c>
      <c r="M231" s="0" t="n">
        <v>0</v>
      </c>
      <c r="N231" s="0" t="n">
        <v>5</v>
      </c>
      <c r="O231" s="0" t="n">
        <v>123</v>
      </c>
      <c r="P231" s="0" t="n">
        <v>128</v>
      </c>
    </row>
    <row r="232" customFormat="false" ht="15" hidden="false" customHeight="false" outlineLevel="0" collapsed="false">
      <c r="A232" s="0" t="n">
        <v>850</v>
      </c>
      <c r="B232" s="0" t="s">
        <v>121</v>
      </c>
      <c r="C232" s="0" t="n">
        <v>1</v>
      </c>
      <c r="D232" s="0" t="n">
        <v>0</v>
      </c>
      <c r="E232" s="0" t="n">
        <v>2</v>
      </c>
      <c r="F232" s="0" t="n">
        <v>20</v>
      </c>
      <c r="G232" s="0" t="b">
        <f aca="false">FALSE()</f>
        <v>0</v>
      </c>
      <c r="H232" s="0" t="n">
        <v>1</v>
      </c>
      <c r="I232" s="0" t="n">
        <v>2</v>
      </c>
      <c r="J232" s="0" t="n">
        <v>0.32</v>
      </c>
      <c r="K232" s="0" t="n">
        <v>0.3333</v>
      </c>
      <c r="L232" s="0" t="n">
        <v>0.7</v>
      </c>
      <c r="M232" s="0" t="n">
        <v>0.1045</v>
      </c>
      <c r="N232" s="0" t="n">
        <v>6</v>
      </c>
      <c r="O232" s="0" t="n">
        <v>82</v>
      </c>
      <c r="P232" s="0" t="n">
        <v>88</v>
      </c>
    </row>
    <row r="233" customFormat="false" ht="15" hidden="false" customHeight="false" outlineLevel="0" collapsed="false">
      <c r="A233" s="0" t="n">
        <v>851</v>
      </c>
      <c r="B233" s="0" t="s">
        <v>121</v>
      </c>
      <c r="C233" s="0" t="n">
        <v>1</v>
      </c>
      <c r="D233" s="0" t="n">
        <v>0</v>
      </c>
      <c r="E233" s="0" t="n">
        <v>2</v>
      </c>
      <c r="F233" s="0" t="n">
        <v>21</v>
      </c>
      <c r="G233" s="0" t="b">
        <f aca="false">FALSE()</f>
        <v>0</v>
      </c>
      <c r="H233" s="0" t="n">
        <v>1</v>
      </c>
      <c r="I233" s="0" t="n">
        <v>1</v>
      </c>
      <c r="J233" s="0" t="n">
        <v>0.32</v>
      </c>
      <c r="K233" s="0" t="n">
        <v>0.3485</v>
      </c>
      <c r="L233" s="0" t="n">
        <v>0.7</v>
      </c>
      <c r="M233" s="0" t="n">
        <v>0</v>
      </c>
      <c r="N233" s="0" t="n">
        <v>3</v>
      </c>
      <c r="O233" s="0" t="n">
        <v>75</v>
      </c>
      <c r="P233" s="0" t="n">
        <v>78</v>
      </c>
    </row>
    <row r="234" customFormat="false" ht="15" hidden="false" customHeight="false" outlineLevel="0" collapsed="false">
      <c r="A234" s="0" t="n">
        <v>852</v>
      </c>
      <c r="B234" s="0" t="s">
        <v>121</v>
      </c>
      <c r="C234" s="0" t="n">
        <v>1</v>
      </c>
      <c r="D234" s="0" t="n">
        <v>0</v>
      </c>
      <c r="E234" s="0" t="n">
        <v>2</v>
      </c>
      <c r="F234" s="0" t="n">
        <v>22</v>
      </c>
      <c r="G234" s="0" t="b">
        <f aca="false">FALSE()</f>
        <v>0</v>
      </c>
      <c r="H234" s="0" t="n">
        <v>1</v>
      </c>
      <c r="I234" s="0" t="n">
        <v>1</v>
      </c>
      <c r="J234" s="0" t="n">
        <v>0.28</v>
      </c>
      <c r="K234" s="0" t="n">
        <v>0.303</v>
      </c>
      <c r="L234" s="0" t="n">
        <v>0.81</v>
      </c>
      <c r="M234" s="0" t="n">
        <v>0.0896</v>
      </c>
      <c r="N234" s="0" t="n">
        <v>3</v>
      </c>
      <c r="O234" s="0" t="n">
        <v>34</v>
      </c>
      <c r="P234" s="0" t="n">
        <v>37</v>
      </c>
    </row>
    <row r="235" customFormat="false" ht="15" hidden="false" customHeight="false" outlineLevel="0" collapsed="false">
      <c r="A235" s="0" t="n">
        <v>853</v>
      </c>
      <c r="B235" s="0" t="s">
        <v>121</v>
      </c>
      <c r="C235" s="0" t="n">
        <v>1</v>
      </c>
      <c r="D235" s="0" t="n">
        <v>0</v>
      </c>
      <c r="E235" s="0" t="n">
        <v>2</v>
      </c>
      <c r="F235" s="0" t="n">
        <v>23</v>
      </c>
      <c r="G235" s="0" t="b">
        <f aca="false">FALSE()</f>
        <v>0</v>
      </c>
      <c r="H235" s="0" t="n">
        <v>1</v>
      </c>
      <c r="I235" s="0" t="n">
        <v>2</v>
      </c>
      <c r="J235" s="0" t="n">
        <v>0.3</v>
      </c>
      <c r="K235" s="0" t="n">
        <v>0.3333</v>
      </c>
      <c r="L235" s="0" t="n">
        <v>0.81</v>
      </c>
      <c r="M235" s="0" t="n">
        <v>0</v>
      </c>
      <c r="N235" s="0" t="n">
        <v>6</v>
      </c>
      <c r="O235" s="0" t="n">
        <v>19</v>
      </c>
      <c r="P235" s="0" t="n">
        <v>25</v>
      </c>
    </row>
    <row r="236" customFormat="false" ht="15" hidden="false" customHeight="false" outlineLevel="0" collapsed="false">
      <c r="A236" s="0" t="n">
        <v>854</v>
      </c>
      <c r="B236" s="0" t="s">
        <v>122</v>
      </c>
      <c r="C236" s="0" t="n">
        <v>1</v>
      </c>
      <c r="D236" s="0" t="n">
        <v>0</v>
      </c>
      <c r="E236" s="0" t="n">
        <v>2</v>
      </c>
      <c r="F236" s="0" t="n">
        <v>0</v>
      </c>
      <c r="G236" s="0" t="b">
        <f aca="false">FALSE()</f>
        <v>0</v>
      </c>
      <c r="H236" s="0" t="n">
        <v>2</v>
      </c>
      <c r="I236" s="0" t="n">
        <v>2</v>
      </c>
      <c r="J236" s="0" t="n">
        <v>0.28</v>
      </c>
      <c r="K236" s="0" t="n">
        <v>0.3182</v>
      </c>
      <c r="L236" s="0" t="n">
        <v>0.87</v>
      </c>
      <c r="M236" s="0" t="n">
        <v>0</v>
      </c>
      <c r="N236" s="0" t="n">
        <v>4</v>
      </c>
      <c r="O236" s="0" t="n">
        <v>6</v>
      </c>
      <c r="P236" s="0" t="n">
        <v>10</v>
      </c>
    </row>
    <row r="237" customFormat="false" ht="15" hidden="false" customHeight="false" outlineLevel="0" collapsed="false">
      <c r="A237" s="0" t="n">
        <v>855</v>
      </c>
      <c r="B237" s="0" t="s">
        <v>122</v>
      </c>
      <c r="C237" s="0" t="n">
        <v>1</v>
      </c>
      <c r="D237" s="0" t="n">
        <v>0</v>
      </c>
      <c r="E237" s="0" t="n">
        <v>2</v>
      </c>
      <c r="F237" s="0" t="n">
        <v>1</v>
      </c>
      <c r="G237" s="0" t="b">
        <f aca="false">FALSE()</f>
        <v>0</v>
      </c>
      <c r="H237" s="0" t="n">
        <v>2</v>
      </c>
      <c r="I237" s="0" t="n">
        <v>2</v>
      </c>
      <c r="J237" s="0" t="n">
        <v>0.28</v>
      </c>
      <c r="K237" s="0" t="n">
        <v>0.3182</v>
      </c>
      <c r="L237" s="0" t="n">
        <v>0.87</v>
      </c>
      <c r="M237" s="0" t="n">
        <v>0</v>
      </c>
      <c r="N237" s="0" t="n">
        <v>0</v>
      </c>
      <c r="O237" s="0" t="n">
        <v>4</v>
      </c>
      <c r="P237" s="0" t="n">
        <v>4</v>
      </c>
    </row>
    <row r="238" customFormat="false" ht="15" hidden="false" customHeight="false" outlineLevel="0" collapsed="false">
      <c r="A238" s="0" t="n">
        <v>856</v>
      </c>
      <c r="B238" s="0" t="s">
        <v>122</v>
      </c>
      <c r="C238" s="0" t="n">
        <v>1</v>
      </c>
      <c r="D238" s="0" t="n">
        <v>0</v>
      </c>
      <c r="E238" s="0" t="n">
        <v>2</v>
      </c>
      <c r="F238" s="0" t="n">
        <v>2</v>
      </c>
      <c r="G238" s="0" t="b">
        <f aca="false">FALSE()</f>
        <v>0</v>
      </c>
      <c r="H238" s="0" t="n">
        <v>2</v>
      </c>
      <c r="I238" s="0" t="n">
        <v>2</v>
      </c>
      <c r="J238" s="0" t="n">
        <v>0.26</v>
      </c>
      <c r="K238" s="0" t="n">
        <v>0.2727</v>
      </c>
      <c r="L238" s="0" t="n">
        <v>0.93</v>
      </c>
      <c r="M238" s="0" t="n">
        <v>0.1045</v>
      </c>
      <c r="N238" s="0" t="n">
        <v>1</v>
      </c>
      <c r="O238" s="0" t="n">
        <v>1</v>
      </c>
      <c r="P238" s="0" t="n">
        <v>2</v>
      </c>
    </row>
    <row r="239" customFormat="false" ht="15" hidden="false" customHeight="false" outlineLevel="0" collapsed="false">
      <c r="A239" s="0" t="n">
        <v>857</v>
      </c>
      <c r="B239" s="0" t="s">
        <v>122</v>
      </c>
      <c r="C239" s="0" t="n">
        <v>1</v>
      </c>
      <c r="D239" s="0" t="n">
        <v>0</v>
      </c>
      <c r="E239" s="0" t="n">
        <v>2</v>
      </c>
      <c r="F239" s="0" t="n">
        <v>3</v>
      </c>
      <c r="G239" s="0" t="b">
        <f aca="false">FALSE()</f>
        <v>0</v>
      </c>
      <c r="H239" s="0" t="n">
        <v>2</v>
      </c>
      <c r="I239" s="0" t="n">
        <v>3</v>
      </c>
      <c r="J239" s="0" t="n">
        <v>0.28</v>
      </c>
      <c r="K239" s="0" t="n">
        <v>0.2727</v>
      </c>
      <c r="L239" s="0" t="n">
        <v>0.93</v>
      </c>
      <c r="M239" s="0" t="n">
        <v>0.1642</v>
      </c>
      <c r="N239" s="0" t="n">
        <v>0</v>
      </c>
      <c r="O239" s="0" t="n">
        <v>1</v>
      </c>
      <c r="P239" s="0" t="n">
        <v>1</v>
      </c>
    </row>
    <row r="240" customFormat="false" ht="15" hidden="false" customHeight="false" outlineLevel="0" collapsed="false">
      <c r="A240" s="0" t="n">
        <v>858</v>
      </c>
      <c r="B240" s="0" t="s">
        <v>122</v>
      </c>
      <c r="C240" s="0" t="n">
        <v>1</v>
      </c>
      <c r="D240" s="0" t="n">
        <v>0</v>
      </c>
      <c r="E240" s="0" t="n">
        <v>2</v>
      </c>
      <c r="F240" s="0" t="n">
        <v>4</v>
      </c>
      <c r="G240" s="0" t="b">
        <f aca="false">FALSE()</f>
        <v>0</v>
      </c>
      <c r="H240" s="0" t="n">
        <v>2</v>
      </c>
      <c r="I240" s="0" t="n">
        <v>1</v>
      </c>
      <c r="J240" s="0" t="n">
        <v>0.26</v>
      </c>
      <c r="K240" s="0" t="n">
        <v>0.2576</v>
      </c>
      <c r="L240" s="0" t="n">
        <v>0.93</v>
      </c>
      <c r="M240" s="0" t="n">
        <v>0.1642</v>
      </c>
      <c r="N240" s="0" t="n">
        <v>0</v>
      </c>
      <c r="O240" s="0" t="n">
        <v>3</v>
      </c>
      <c r="P240" s="0" t="n">
        <v>3</v>
      </c>
    </row>
    <row r="241" customFormat="false" ht="15" hidden="false" customHeight="false" outlineLevel="0" collapsed="false">
      <c r="A241" s="0" t="n">
        <v>859</v>
      </c>
      <c r="B241" s="0" t="s">
        <v>122</v>
      </c>
      <c r="C241" s="0" t="n">
        <v>1</v>
      </c>
      <c r="D241" s="0" t="n">
        <v>0</v>
      </c>
      <c r="E241" s="0" t="n">
        <v>2</v>
      </c>
      <c r="F241" s="0" t="n">
        <v>5</v>
      </c>
      <c r="G241" s="0" t="b">
        <f aca="false">FALSE()</f>
        <v>0</v>
      </c>
      <c r="H241" s="0" t="n">
        <v>2</v>
      </c>
      <c r="I241" s="0" t="n">
        <v>1</v>
      </c>
      <c r="J241" s="0" t="n">
        <v>0.26</v>
      </c>
      <c r="K241" s="0" t="n">
        <v>0.2273</v>
      </c>
      <c r="L241" s="0" t="n">
        <v>0.81</v>
      </c>
      <c r="M241" s="0" t="n">
        <v>0.3284</v>
      </c>
      <c r="N241" s="0" t="n">
        <v>0</v>
      </c>
      <c r="O241" s="0" t="n">
        <v>2</v>
      </c>
      <c r="P241" s="0" t="n">
        <v>2</v>
      </c>
    </row>
    <row r="242" customFormat="false" ht="15" hidden="false" customHeight="false" outlineLevel="0" collapsed="false">
      <c r="A242" s="0" t="n">
        <v>860</v>
      </c>
      <c r="B242" s="0" t="s">
        <v>122</v>
      </c>
      <c r="C242" s="0" t="n">
        <v>1</v>
      </c>
      <c r="D242" s="0" t="n">
        <v>0</v>
      </c>
      <c r="E242" s="0" t="n">
        <v>2</v>
      </c>
      <c r="F242" s="0" t="n">
        <v>6</v>
      </c>
      <c r="G242" s="0" t="b">
        <f aca="false">FALSE()</f>
        <v>0</v>
      </c>
      <c r="H242" s="0" t="n">
        <v>2</v>
      </c>
      <c r="I242" s="0" t="n">
        <v>1</v>
      </c>
      <c r="J242" s="0" t="n">
        <v>0.26</v>
      </c>
      <c r="K242" s="0" t="n">
        <v>0.2273</v>
      </c>
      <c r="L242" s="0" t="n">
        <v>0.7</v>
      </c>
      <c r="M242" s="0" t="n">
        <v>0.3284</v>
      </c>
      <c r="N242" s="0" t="n">
        <v>0</v>
      </c>
      <c r="O242" s="0" t="n">
        <v>39</v>
      </c>
      <c r="P242" s="0" t="n">
        <v>39</v>
      </c>
    </row>
    <row r="243" customFormat="false" ht="15" hidden="false" customHeight="false" outlineLevel="0" collapsed="false">
      <c r="A243" s="0" t="n">
        <v>861</v>
      </c>
      <c r="B243" s="0" t="s">
        <v>122</v>
      </c>
      <c r="C243" s="0" t="n">
        <v>1</v>
      </c>
      <c r="D243" s="0" t="n">
        <v>0</v>
      </c>
      <c r="E243" s="0" t="n">
        <v>2</v>
      </c>
      <c r="F243" s="0" t="n">
        <v>7</v>
      </c>
      <c r="G243" s="0" t="b">
        <f aca="false">FALSE()</f>
        <v>0</v>
      </c>
      <c r="H243" s="0" t="n">
        <v>2</v>
      </c>
      <c r="I243" s="0" t="n">
        <v>1</v>
      </c>
      <c r="J243" s="0" t="n">
        <v>0.24</v>
      </c>
      <c r="K243" s="0" t="n">
        <v>0.197</v>
      </c>
      <c r="L243" s="0" t="n">
        <v>0.65</v>
      </c>
      <c r="M243" s="0" t="n">
        <v>0.4179</v>
      </c>
      <c r="N243" s="0" t="n">
        <v>3</v>
      </c>
      <c r="O243" s="0" t="n">
        <v>97</v>
      </c>
      <c r="P243" s="0" t="n">
        <v>100</v>
      </c>
    </row>
    <row r="244" customFormat="false" ht="15" hidden="false" customHeight="false" outlineLevel="0" collapsed="false">
      <c r="A244" s="0" t="n">
        <v>862</v>
      </c>
      <c r="B244" s="0" t="s">
        <v>122</v>
      </c>
      <c r="C244" s="0" t="n">
        <v>1</v>
      </c>
      <c r="D244" s="0" t="n">
        <v>0</v>
      </c>
      <c r="E244" s="0" t="n">
        <v>2</v>
      </c>
      <c r="F244" s="0" t="n">
        <v>8</v>
      </c>
      <c r="G244" s="0" t="b">
        <f aca="false">FALSE()</f>
        <v>0</v>
      </c>
      <c r="H244" s="0" t="n">
        <v>2</v>
      </c>
      <c r="I244" s="0" t="n">
        <v>1</v>
      </c>
      <c r="J244" s="0" t="n">
        <v>0.24</v>
      </c>
      <c r="K244" s="0" t="n">
        <v>0.197</v>
      </c>
      <c r="L244" s="0" t="n">
        <v>0.56</v>
      </c>
      <c r="M244" s="0" t="n">
        <v>0.4925</v>
      </c>
      <c r="N244" s="0" t="n">
        <v>7</v>
      </c>
      <c r="O244" s="0" t="n">
        <v>236</v>
      </c>
      <c r="P244" s="0" t="n">
        <v>243</v>
      </c>
    </row>
    <row r="245" customFormat="false" ht="15" hidden="false" customHeight="false" outlineLevel="0" collapsed="false">
      <c r="A245" s="0" t="n">
        <v>863</v>
      </c>
      <c r="B245" s="0" t="s">
        <v>122</v>
      </c>
      <c r="C245" s="0" t="n">
        <v>1</v>
      </c>
      <c r="D245" s="0" t="n">
        <v>0</v>
      </c>
      <c r="E245" s="0" t="n">
        <v>2</v>
      </c>
      <c r="F245" s="0" t="n">
        <v>9</v>
      </c>
      <c r="G245" s="0" t="b">
        <f aca="false">FALSE()</f>
        <v>0</v>
      </c>
      <c r="H245" s="0" t="n">
        <v>2</v>
      </c>
      <c r="I245" s="0" t="n">
        <v>1</v>
      </c>
      <c r="J245" s="0" t="n">
        <v>0.24</v>
      </c>
      <c r="K245" s="0" t="n">
        <v>0.197</v>
      </c>
      <c r="L245" s="0" t="n">
        <v>0.52</v>
      </c>
      <c r="M245" s="0" t="n">
        <v>0.4925</v>
      </c>
      <c r="N245" s="0" t="n">
        <v>7</v>
      </c>
      <c r="O245" s="0" t="n">
        <v>128</v>
      </c>
      <c r="P245" s="0" t="n">
        <v>135</v>
      </c>
    </row>
    <row r="246" customFormat="false" ht="15" hidden="false" customHeight="false" outlineLevel="0" collapsed="false">
      <c r="A246" s="0" t="n">
        <v>864</v>
      </c>
      <c r="B246" s="0" t="s">
        <v>122</v>
      </c>
      <c r="C246" s="0" t="n">
        <v>1</v>
      </c>
      <c r="D246" s="0" t="n">
        <v>0</v>
      </c>
      <c r="E246" s="0" t="n">
        <v>2</v>
      </c>
      <c r="F246" s="0" t="n">
        <v>10</v>
      </c>
      <c r="G246" s="0" t="b">
        <f aca="false">FALSE()</f>
        <v>0</v>
      </c>
      <c r="H246" s="0" t="n">
        <v>2</v>
      </c>
      <c r="I246" s="0" t="n">
        <v>1</v>
      </c>
      <c r="J246" s="0" t="n">
        <v>0.22</v>
      </c>
      <c r="K246" s="0" t="n">
        <v>0.1818</v>
      </c>
      <c r="L246" s="0" t="n">
        <v>0.47</v>
      </c>
      <c r="M246" s="0" t="n">
        <v>0.5522</v>
      </c>
      <c r="N246" s="0" t="n">
        <v>4</v>
      </c>
      <c r="O246" s="0" t="n">
        <v>44</v>
      </c>
      <c r="P246" s="0" t="n">
        <v>48</v>
      </c>
    </row>
    <row r="247" customFormat="false" ht="15" hidden="false" customHeight="false" outlineLevel="0" collapsed="false">
      <c r="A247" s="0" t="n">
        <v>865</v>
      </c>
      <c r="B247" s="0" t="s">
        <v>122</v>
      </c>
      <c r="C247" s="0" t="n">
        <v>1</v>
      </c>
      <c r="D247" s="0" t="n">
        <v>0</v>
      </c>
      <c r="E247" s="0" t="n">
        <v>2</v>
      </c>
      <c r="F247" s="0" t="n">
        <v>11</v>
      </c>
      <c r="G247" s="0" t="b">
        <f aca="false">FALSE()</f>
        <v>0</v>
      </c>
      <c r="H247" s="0" t="n">
        <v>2</v>
      </c>
      <c r="I247" s="0" t="n">
        <v>1</v>
      </c>
      <c r="J247" s="0" t="n">
        <v>0.22</v>
      </c>
      <c r="K247" s="0" t="n">
        <v>0.1818</v>
      </c>
      <c r="L247" s="0" t="n">
        <v>0.47</v>
      </c>
      <c r="M247" s="0" t="n">
        <v>0.4627</v>
      </c>
      <c r="N247" s="0" t="n">
        <v>1</v>
      </c>
      <c r="O247" s="0" t="n">
        <v>49</v>
      </c>
      <c r="P247" s="0" t="n">
        <v>50</v>
      </c>
    </row>
    <row r="248" customFormat="false" ht="15" hidden="false" customHeight="false" outlineLevel="0" collapsed="false">
      <c r="A248" s="0" t="n">
        <v>866</v>
      </c>
      <c r="B248" s="0" t="s">
        <v>122</v>
      </c>
      <c r="C248" s="0" t="n">
        <v>1</v>
      </c>
      <c r="D248" s="0" t="n">
        <v>0</v>
      </c>
      <c r="E248" s="0" t="n">
        <v>2</v>
      </c>
      <c r="F248" s="0" t="n">
        <v>12</v>
      </c>
      <c r="G248" s="0" t="b">
        <f aca="false">FALSE()</f>
        <v>0</v>
      </c>
      <c r="H248" s="0" t="n">
        <v>2</v>
      </c>
      <c r="I248" s="0" t="n">
        <v>1</v>
      </c>
      <c r="J248" s="0" t="n">
        <v>0.24</v>
      </c>
      <c r="K248" s="0" t="n">
        <v>0.197</v>
      </c>
      <c r="L248" s="0" t="n">
        <v>0.38</v>
      </c>
      <c r="M248" s="0" t="n">
        <v>0.4925</v>
      </c>
      <c r="N248" s="0" t="n">
        <v>2</v>
      </c>
      <c r="O248" s="0" t="n">
        <v>63</v>
      </c>
      <c r="P248" s="0" t="n">
        <v>65</v>
      </c>
    </row>
    <row r="249" customFormat="false" ht="15" hidden="false" customHeight="false" outlineLevel="0" collapsed="false">
      <c r="A249" s="0" t="n">
        <v>867</v>
      </c>
      <c r="B249" s="0" t="s">
        <v>122</v>
      </c>
      <c r="C249" s="0" t="n">
        <v>1</v>
      </c>
      <c r="D249" s="0" t="n">
        <v>0</v>
      </c>
      <c r="E249" s="0" t="n">
        <v>2</v>
      </c>
      <c r="F249" s="0" t="n">
        <v>13</v>
      </c>
      <c r="G249" s="0" t="b">
        <f aca="false">FALSE()</f>
        <v>0</v>
      </c>
      <c r="H249" s="0" t="n">
        <v>2</v>
      </c>
      <c r="I249" s="0" t="n">
        <v>2</v>
      </c>
      <c r="J249" s="0" t="n">
        <v>0.24</v>
      </c>
      <c r="K249" s="0" t="n">
        <v>0.197</v>
      </c>
      <c r="L249" s="0" t="n">
        <v>0.32</v>
      </c>
      <c r="M249" s="0" t="n">
        <v>0.4478</v>
      </c>
      <c r="N249" s="0" t="n">
        <v>2</v>
      </c>
      <c r="O249" s="0" t="n">
        <v>48</v>
      </c>
      <c r="P249" s="0" t="n">
        <v>50</v>
      </c>
    </row>
    <row r="250" customFormat="false" ht="15" hidden="false" customHeight="false" outlineLevel="0" collapsed="false">
      <c r="A250" s="0" t="n">
        <v>868</v>
      </c>
      <c r="B250" s="0" t="s">
        <v>122</v>
      </c>
      <c r="C250" s="0" t="n">
        <v>1</v>
      </c>
      <c r="D250" s="0" t="n">
        <v>0</v>
      </c>
      <c r="E250" s="0" t="n">
        <v>2</v>
      </c>
      <c r="F250" s="0" t="n">
        <v>14</v>
      </c>
      <c r="G250" s="0" t="b">
        <f aca="false">FALSE()</f>
        <v>0</v>
      </c>
      <c r="H250" s="0" t="n">
        <v>2</v>
      </c>
      <c r="I250" s="0" t="n">
        <v>1</v>
      </c>
      <c r="J250" s="0" t="n">
        <v>0.22</v>
      </c>
      <c r="K250" s="0" t="n">
        <v>0.197</v>
      </c>
      <c r="L250" s="0" t="n">
        <v>0.37</v>
      </c>
      <c r="M250" s="0" t="n">
        <v>0.4179</v>
      </c>
      <c r="N250" s="0" t="n">
        <v>3</v>
      </c>
      <c r="O250" s="0" t="n">
        <v>61</v>
      </c>
      <c r="P250" s="0" t="n">
        <v>64</v>
      </c>
    </row>
    <row r="251" customFormat="false" ht="15" hidden="false" customHeight="false" outlineLevel="0" collapsed="false">
      <c r="A251" s="0" t="n">
        <v>869</v>
      </c>
      <c r="B251" s="0" t="s">
        <v>122</v>
      </c>
      <c r="C251" s="0" t="n">
        <v>1</v>
      </c>
      <c r="D251" s="0" t="n">
        <v>0</v>
      </c>
      <c r="E251" s="0" t="n">
        <v>2</v>
      </c>
      <c r="F251" s="0" t="n">
        <v>15</v>
      </c>
      <c r="G251" s="0" t="b">
        <f aca="false">FALSE()</f>
        <v>0</v>
      </c>
      <c r="H251" s="0" t="n">
        <v>2</v>
      </c>
      <c r="I251" s="0" t="n">
        <v>1</v>
      </c>
      <c r="J251" s="0" t="n">
        <v>0.22</v>
      </c>
      <c r="K251" s="0" t="n">
        <v>0.197</v>
      </c>
      <c r="L251" s="0" t="n">
        <v>0.35</v>
      </c>
      <c r="M251" s="0" t="n">
        <v>0.3881</v>
      </c>
      <c r="N251" s="0" t="n">
        <v>6</v>
      </c>
      <c r="O251" s="0" t="n">
        <v>45</v>
      </c>
      <c r="P251" s="0" t="n">
        <v>51</v>
      </c>
    </row>
    <row r="252" customFormat="false" ht="15" hidden="false" customHeight="false" outlineLevel="0" collapsed="false">
      <c r="A252" s="0" t="n">
        <v>870</v>
      </c>
      <c r="B252" s="0" t="s">
        <v>122</v>
      </c>
      <c r="C252" s="0" t="n">
        <v>1</v>
      </c>
      <c r="D252" s="0" t="n">
        <v>0</v>
      </c>
      <c r="E252" s="0" t="n">
        <v>2</v>
      </c>
      <c r="F252" s="0" t="n">
        <v>16</v>
      </c>
      <c r="G252" s="0" t="b">
        <f aca="false">FALSE()</f>
        <v>0</v>
      </c>
      <c r="H252" s="0" t="n">
        <v>2</v>
      </c>
      <c r="I252" s="0" t="n">
        <v>1</v>
      </c>
      <c r="J252" s="0" t="n">
        <v>0.22</v>
      </c>
      <c r="K252" s="0" t="n">
        <v>0.1818</v>
      </c>
      <c r="L252" s="0" t="n">
        <v>0.35</v>
      </c>
      <c r="M252" s="0" t="n">
        <v>0.5224</v>
      </c>
      <c r="N252" s="0" t="n">
        <v>4</v>
      </c>
      <c r="O252" s="0" t="n">
        <v>79</v>
      </c>
      <c r="P252" s="0" t="n">
        <v>83</v>
      </c>
    </row>
    <row r="253" customFormat="false" ht="15" hidden="false" customHeight="false" outlineLevel="0" collapsed="false">
      <c r="A253" s="0" t="n">
        <v>871</v>
      </c>
      <c r="B253" s="0" t="s">
        <v>122</v>
      </c>
      <c r="C253" s="0" t="n">
        <v>1</v>
      </c>
      <c r="D253" s="0" t="n">
        <v>0</v>
      </c>
      <c r="E253" s="0" t="n">
        <v>2</v>
      </c>
      <c r="F253" s="0" t="n">
        <v>17</v>
      </c>
      <c r="G253" s="0" t="b">
        <f aca="false">FALSE()</f>
        <v>0</v>
      </c>
      <c r="H253" s="0" t="n">
        <v>2</v>
      </c>
      <c r="I253" s="0" t="n">
        <v>1</v>
      </c>
      <c r="J253" s="0" t="n">
        <v>0.22</v>
      </c>
      <c r="K253" s="0" t="n">
        <v>0.1818</v>
      </c>
      <c r="L253" s="0" t="n">
        <v>0.32</v>
      </c>
      <c r="M253" s="0" t="n">
        <v>0.5821</v>
      </c>
      <c r="N253" s="0" t="n">
        <v>4</v>
      </c>
      <c r="O253" s="0" t="n">
        <v>172</v>
      </c>
      <c r="P253" s="0" t="n">
        <v>176</v>
      </c>
    </row>
    <row r="254" customFormat="false" ht="15" hidden="false" customHeight="false" outlineLevel="0" collapsed="false">
      <c r="A254" s="0" t="n">
        <v>872</v>
      </c>
      <c r="B254" s="0" t="s">
        <v>122</v>
      </c>
      <c r="C254" s="0" t="n">
        <v>1</v>
      </c>
      <c r="D254" s="0" t="n">
        <v>0</v>
      </c>
      <c r="E254" s="0" t="n">
        <v>2</v>
      </c>
      <c r="F254" s="0" t="n">
        <v>18</v>
      </c>
      <c r="G254" s="0" t="b">
        <f aca="false">FALSE()</f>
        <v>0</v>
      </c>
      <c r="H254" s="0" t="n">
        <v>2</v>
      </c>
      <c r="I254" s="0" t="n">
        <v>1</v>
      </c>
      <c r="J254" s="0" t="n">
        <v>0.2</v>
      </c>
      <c r="K254" s="0" t="n">
        <v>0.1818</v>
      </c>
      <c r="L254" s="0" t="n">
        <v>0.32</v>
      </c>
      <c r="M254" s="0" t="n">
        <v>0.3881</v>
      </c>
      <c r="N254" s="0" t="n">
        <v>1</v>
      </c>
      <c r="O254" s="0" t="n">
        <v>151</v>
      </c>
      <c r="P254" s="0" t="n">
        <v>152</v>
      </c>
    </row>
    <row r="255" customFormat="false" ht="15" hidden="false" customHeight="false" outlineLevel="0" collapsed="false">
      <c r="A255" s="0" t="n">
        <v>873</v>
      </c>
      <c r="B255" s="0" t="s">
        <v>122</v>
      </c>
      <c r="C255" s="0" t="n">
        <v>1</v>
      </c>
      <c r="D255" s="0" t="n">
        <v>0</v>
      </c>
      <c r="E255" s="0" t="n">
        <v>2</v>
      </c>
      <c r="F255" s="0" t="n">
        <v>19</v>
      </c>
      <c r="G255" s="0" t="b">
        <f aca="false">FALSE()</f>
        <v>0</v>
      </c>
      <c r="H255" s="0" t="n">
        <v>2</v>
      </c>
      <c r="I255" s="0" t="n">
        <v>1</v>
      </c>
      <c r="J255" s="0" t="n">
        <v>0.16</v>
      </c>
      <c r="K255" s="0" t="n">
        <v>0.1212</v>
      </c>
      <c r="L255" s="0" t="n">
        <v>0.4</v>
      </c>
      <c r="M255" s="0" t="n">
        <v>0.4627</v>
      </c>
      <c r="N255" s="0" t="n">
        <v>1</v>
      </c>
      <c r="O255" s="0" t="n">
        <v>100</v>
      </c>
      <c r="P255" s="0" t="n">
        <v>101</v>
      </c>
    </row>
    <row r="256" customFormat="false" ht="15" hidden="false" customHeight="false" outlineLevel="0" collapsed="false">
      <c r="A256" s="0" t="n">
        <v>874</v>
      </c>
      <c r="B256" s="0" t="s">
        <v>122</v>
      </c>
      <c r="C256" s="0" t="n">
        <v>1</v>
      </c>
      <c r="D256" s="0" t="n">
        <v>0</v>
      </c>
      <c r="E256" s="0" t="n">
        <v>2</v>
      </c>
      <c r="F256" s="0" t="n">
        <v>20</v>
      </c>
      <c r="G256" s="0" t="b">
        <f aca="false">FALSE()</f>
        <v>0</v>
      </c>
      <c r="H256" s="0" t="n">
        <v>2</v>
      </c>
      <c r="I256" s="0" t="n">
        <v>1</v>
      </c>
      <c r="J256" s="0" t="n">
        <v>0.16</v>
      </c>
      <c r="K256" s="0" t="n">
        <v>0.1364</v>
      </c>
      <c r="L256" s="0" t="n">
        <v>0.4</v>
      </c>
      <c r="M256" s="0" t="n">
        <v>0.3284</v>
      </c>
      <c r="N256" s="0" t="n">
        <v>3</v>
      </c>
      <c r="O256" s="0" t="n">
        <v>53</v>
      </c>
      <c r="P256" s="0" t="n">
        <v>56</v>
      </c>
    </row>
    <row r="257" customFormat="false" ht="15" hidden="false" customHeight="false" outlineLevel="0" collapsed="false">
      <c r="A257" s="0" t="n">
        <v>875</v>
      </c>
      <c r="B257" s="0" t="s">
        <v>122</v>
      </c>
      <c r="C257" s="0" t="n">
        <v>1</v>
      </c>
      <c r="D257" s="0" t="n">
        <v>0</v>
      </c>
      <c r="E257" s="0" t="n">
        <v>2</v>
      </c>
      <c r="F257" s="0" t="n">
        <v>21</v>
      </c>
      <c r="G257" s="0" t="b">
        <f aca="false">FALSE()</f>
        <v>0</v>
      </c>
      <c r="H257" s="0" t="n">
        <v>2</v>
      </c>
      <c r="I257" s="0" t="n">
        <v>1</v>
      </c>
      <c r="J257" s="0" t="n">
        <v>0.14</v>
      </c>
      <c r="K257" s="0" t="n">
        <v>0.1061</v>
      </c>
      <c r="L257" s="0" t="n">
        <v>0.33</v>
      </c>
      <c r="M257" s="0" t="n">
        <v>0.4627</v>
      </c>
      <c r="N257" s="0" t="n">
        <v>8</v>
      </c>
      <c r="O257" s="0" t="n">
        <v>46</v>
      </c>
      <c r="P257" s="0" t="n">
        <v>54</v>
      </c>
    </row>
    <row r="258" customFormat="false" ht="15" hidden="false" customHeight="false" outlineLevel="0" collapsed="false">
      <c r="A258" s="0" t="n">
        <v>876</v>
      </c>
      <c r="B258" s="0" t="s">
        <v>122</v>
      </c>
      <c r="C258" s="0" t="n">
        <v>1</v>
      </c>
      <c r="D258" s="0" t="n">
        <v>0</v>
      </c>
      <c r="E258" s="0" t="n">
        <v>2</v>
      </c>
      <c r="F258" s="0" t="n">
        <v>22</v>
      </c>
      <c r="G258" s="0" t="b">
        <f aca="false">FALSE()</f>
        <v>0</v>
      </c>
      <c r="H258" s="0" t="n">
        <v>2</v>
      </c>
      <c r="I258" s="0" t="n">
        <v>1</v>
      </c>
      <c r="J258" s="0" t="n">
        <v>0.12</v>
      </c>
      <c r="K258" s="0" t="n">
        <v>0.1061</v>
      </c>
      <c r="L258" s="0" t="n">
        <v>0.33</v>
      </c>
      <c r="M258" s="0" t="n">
        <v>0.3582</v>
      </c>
      <c r="N258" s="0" t="n">
        <v>0</v>
      </c>
      <c r="O258" s="0" t="n">
        <v>29</v>
      </c>
      <c r="P258" s="0" t="n">
        <v>29</v>
      </c>
    </row>
    <row r="259" customFormat="false" ht="15" hidden="false" customHeight="false" outlineLevel="0" collapsed="false">
      <c r="A259" s="0" t="n">
        <v>877</v>
      </c>
      <c r="B259" s="0" t="s">
        <v>122</v>
      </c>
      <c r="C259" s="0" t="n">
        <v>1</v>
      </c>
      <c r="D259" s="0" t="n">
        <v>0</v>
      </c>
      <c r="E259" s="0" t="n">
        <v>2</v>
      </c>
      <c r="F259" s="0" t="n">
        <v>23</v>
      </c>
      <c r="G259" s="0" t="b">
        <f aca="false">FALSE()</f>
        <v>0</v>
      </c>
      <c r="H259" s="0" t="n">
        <v>2</v>
      </c>
      <c r="I259" s="0" t="n">
        <v>1</v>
      </c>
      <c r="J259" s="0" t="n">
        <v>0.12</v>
      </c>
      <c r="K259" s="0" t="n">
        <v>0.1061</v>
      </c>
      <c r="L259" s="0" t="n">
        <v>0.33</v>
      </c>
      <c r="M259" s="0" t="n">
        <v>0.3284</v>
      </c>
      <c r="N259" s="0" t="n">
        <v>3</v>
      </c>
      <c r="O259" s="0" t="n">
        <v>9</v>
      </c>
      <c r="P259" s="0" t="n">
        <v>12</v>
      </c>
    </row>
    <row r="260" customFormat="false" ht="15" hidden="false" customHeight="false" outlineLevel="0" collapsed="false">
      <c r="A260" s="0" t="n">
        <v>878</v>
      </c>
      <c r="B260" s="0" t="s">
        <v>123</v>
      </c>
      <c r="C260" s="0" t="n">
        <v>1</v>
      </c>
      <c r="D260" s="0" t="n">
        <v>0</v>
      </c>
      <c r="E260" s="0" t="n">
        <v>2</v>
      </c>
      <c r="F260" s="0" t="n">
        <v>0</v>
      </c>
      <c r="G260" s="0" t="b">
        <f aca="false">FALSE()</f>
        <v>0</v>
      </c>
      <c r="H260" s="0" t="n">
        <v>3</v>
      </c>
      <c r="I260" s="0" t="n">
        <v>1</v>
      </c>
      <c r="J260" s="0" t="n">
        <v>0.1</v>
      </c>
      <c r="K260" s="0" t="n">
        <v>0.0758</v>
      </c>
      <c r="L260" s="0" t="n">
        <v>0.36</v>
      </c>
      <c r="M260" s="0" t="n">
        <v>0.3582</v>
      </c>
      <c r="N260" s="0" t="n">
        <v>0</v>
      </c>
      <c r="O260" s="0" t="n">
        <v>17</v>
      </c>
      <c r="P260" s="0" t="n">
        <v>17</v>
      </c>
    </row>
    <row r="261" customFormat="false" ht="15" hidden="false" customHeight="false" outlineLevel="0" collapsed="false">
      <c r="A261" s="0" t="n">
        <v>879</v>
      </c>
      <c r="B261" s="0" t="s">
        <v>123</v>
      </c>
      <c r="C261" s="0" t="n">
        <v>1</v>
      </c>
      <c r="D261" s="0" t="n">
        <v>0</v>
      </c>
      <c r="E261" s="0" t="n">
        <v>2</v>
      </c>
      <c r="F261" s="0" t="n">
        <v>1</v>
      </c>
      <c r="G261" s="0" t="b">
        <f aca="false">FALSE()</f>
        <v>0</v>
      </c>
      <c r="H261" s="0" t="n">
        <v>3</v>
      </c>
      <c r="I261" s="0" t="n">
        <v>1</v>
      </c>
      <c r="J261" s="0" t="n">
        <v>0.1</v>
      </c>
      <c r="K261" s="0" t="n">
        <v>0.1061</v>
      </c>
      <c r="L261" s="0" t="n">
        <v>0.36</v>
      </c>
      <c r="M261" s="0" t="n">
        <v>0.2239</v>
      </c>
      <c r="N261" s="0" t="n">
        <v>0</v>
      </c>
      <c r="O261" s="0" t="n">
        <v>7</v>
      </c>
      <c r="P261" s="0" t="n">
        <v>7</v>
      </c>
    </row>
    <row r="262" customFormat="false" ht="15" hidden="false" customHeight="false" outlineLevel="0" collapsed="false">
      <c r="A262" s="0" t="n">
        <v>880</v>
      </c>
      <c r="B262" s="0" t="s">
        <v>123</v>
      </c>
      <c r="C262" s="0" t="n">
        <v>1</v>
      </c>
      <c r="D262" s="0" t="n">
        <v>0</v>
      </c>
      <c r="E262" s="0" t="n">
        <v>2</v>
      </c>
      <c r="F262" s="0" t="n">
        <v>2</v>
      </c>
      <c r="G262" s="0" t="b">
        <f aca="false">FALSE()</f>
        <v>0</v>
      </c>
      <c r="H262" s="0" t="n">
        <v>3</v>
      </c>
      <c r="I262" s="0" t="n">
        <v>1</v>
      </c>
      <c r="J262" s="0" t="n">
        <v>0.08</v>
      </c>
      <c r="K262" s="0" t="n">
        <v>0.0758</v>
      </c>
      <c r="L262" s="0" t="n">
        <v>0.38</v>
      </c>
      <c r="M262" s="0" t="n">
        <v>0.2836</v>
      </c>
      <c r="N262" s="0" t="n">
        <v>1</v>
      </c>
      <c r="O262" s="0" t="n">
        <v>2</v>
      </c>
      <c r="P262" s="0" t="n">
        <v>3</v>
      </c>
    </row>
    <row r="263" customFormat="false" ht="15" hidden="false" customHeight="false" outlineLevel="0" collapsed="false">
      <c r="A263" s="0" t="n">
        <v>881</v>
      </c>
      <c r="B263" s="0" t="s">
        <v>123</v>
      </c>
      <c r="C263" s="0" t="n">
        <v>1</v>
      </c>
      <c r="D263" s="0" t="n">
        <v>0</v>
      </c>
      <c r="E263" s="0" t="n">
        <v>2</v>
      </c>
      <c r="F263" s="0" t="n">
        <v>3</v>
      </c>
      <c r="G263" s="0" t="b">
        <f aca="false">FALSE()</f>
        <v>0</v>
      </c>
      <c r="H263" s="0" t="n">
        <v>3</v>
      </c>
      <c r="I263" s="0" t="n">
        <v>1</v>
      </c>
      <c r="J263" s="0" t="n">
        <v>0.06</v>
      </c>
      <c r="K263" s="0" t="n">
        <v>0.0758</v>
      </c>
      <c r="L263" s="0" t="n">
        <v>0.45</v>
      </c>
      <c r="M263" s="0" t="n">
        <v>0.1343</v>
      </c>
      <c r="N263" s="0" t="n">
        <v>0</v>
      </c>
      <c r="O263" s="0" t="n">
        <v>2</v>
      </c>
      <c r="P263" s="0" t="n">
        <v>2</v>
      </c>
    </row>
    <row r="264" customFormat="false" ht="15" hidden="false" customHeight="false" outlineLevel="0" collapsed="false">
      <c r="A264" s="0" t="n">
        <v>882</v>
      </c>
      <c r="B264" s="0" t="s">
        <v>123</v>
      </c>
      <c r="C264" s="0" t="n">
        <v>1</v>
      </c>
      <c r="D264" s="0" t="n">
        <v>0</v>
      </c>
      <c r="E264" s="0" t="n">
        <v>2</v>
      </c>
      <c r="F264" s="0" t="n">
        <v>5</v>
      </c>
      <c r="G264" s="0" t="b">
        <f aca="false">FALSE()</f>
        <v>0</v>
      </c>
      <c r="H264" s="0" t="n">
        <v>3</v>
      </c>
      <c r="I264" s="0" t="n">
        <v>1</v>
      </c>
      <c r="J264" s="0" t="n">
        <v>0.06</v>
      </c>
      <c r="K264" s="0" t="n">
        <v>0.1061</v>
      </c>
      <c r="L264" s="0" t="n">
        <v>0.45</v>
      </c>
      <c r="M264" s="0" t="n">
        <v>0.1045</v>
      </c>
      <c r="N264" s="0" t="n">
        <v>0</v>
      </c>
      <c r="O264" s="0" t="n">
        <v>7</v>
      </c>
      <c r="P264" s="0" t="n">
        <v>7</v>
      </c>
    </row>
    <row r="265" customFormat="false" ht="15" hidden="false" customHeight="false" outlineLevel="0" collapsed="false">
      <c r="A265" s="0" t="n">
        <v>883</v>
      </c>
      <c r="B265" s="0" t="s">
        <v>123</v>
      </c>
      <c r="C265" s="0" t="n">
        <v>1</v>
      </c>
      <c r="D265" s="0" t="n">
        <v>0</v>
      </c>
      <c r="E265" s="0" t="n">
        <v>2</v>
      </c>
      <c r="F265" s="0" t="n">
        <v>6</v>
      </c>
      <c r="G265" s="0" t="b">
        <f aca="false">FALSE()</f>
        <v>0</v>
      </c>
      <c r="H265" s="0" t="n">
        <v>3</v>
      </c>
      <c r="I265" s="0" t="n">
        <v>1</v>
      </c>
      <c r="J265" s="0" t="n">
        <v>0.06</v>
      </c>
      <c r="K265" s="0" t="n">
        <v>0.1515</v>
      </c>
      <c r="L265" s="0" t="n">
        <v>0.45</v>
      </c>
      <c r="M265" s="0" t="n">
        <v>0</v>
      </c>
      <c r="N265" s="0" t="n">
        <v>0</v>
      </c>
      <c r="O265" s="0" t="n">
        <v>43</v>
      </c>
      <c r="P265" s="0" t="n">
        <v>43</v>
      </c>
    </row>
    <row r="266" customFormat="false" ht="15" hidden="false" customHeight="false" outlineLevel="0" collapsed="false">
      <c r="A266" s="0" t="n">
        <v>884</v>
      </c>
      <c r="B266" s="0" t="s">
        <v>123</v>
      </c>
      <c r="C266" s="0" t="n">
        <v>1</v>
      </c>
      <c r="D266" s="0" t="n">
        <v>0</v>
      </c>
      <c r="E266" s="0" t="n">
        <v>2</v>
      </c>
      <c r="F266" s="0" t="n">
        <v>7</v>
      </c>
      <c r="G266" s="0" t="b">
        <f aca="false">FALSE()</f>
        <v>0</v>
      </c>
      <c r="H266" s="0" t="n">
        <v>3</v>
      </c>
      <c r="I266" s="0" t="n">
        <v>1</v>
      </c>
      <c r="J266" s="0" t="n">
        <v>0.06</v>
      </c>
      <c r="K266" s="0" t="n">
        <v>0.1061</v>
      </c>
      <c r="L266" s="0" t="n">
        <v>0.49</v>
      </c>
      <c r="M266" s="0" t="n">
        <v>0.1045</v>
      </c>
      <c r="N266" s="0" t="n">
        <v>4</v>
      </c>
      <c r="O266" s="0" t="n">
        <v>95</v>
      </c>
      <c r="P266" s="0" t="n">
        <v>99</v>
      </c>
    </row>
    <row r="267" customFormat="false" ht="15" hidden="false" customHeight="false" outlineLevel="0" collapsed="false">
      <c r="A267" s="0" t="n">
        <v>885</v>
      </c>
      <c r="B267" s="0" t="s">
        <v>123</v>
      </c>
      <c r="C267" s="0" t="n">
        <v>1</v>
      </c>
      <c r="D267" s="0" t="n">
        <v>0</v>
      </c>
      <c r="E267" s="0" t="n">
        <v>2</v>
      </c>
      <c r="F267" s="0" t="n">
        <v>8</v>
      </c>
      <c r="G267" s="0" t="b">
        <f aca="false">FALSE()</f>
        <v>0</v>
      </c>
      <c r="H267" s="0" t="n">
        <v>3</v>
      </c>
      <c r="I267" s="0" t="n">
        <v>1</v>
      </c>
      <c r="J267" s="0" t="n">
        <v>0.1</v>
      </c>
      <c r="K267" s="0" t="n">
        <v>0.1364</v>
      </c>
      <c r="L267" s="0" t="n">
        <v>0.42</v>
      </c>
      <c r="M267" s="0" t="n">
        <v>0</v>
      </c>
      <c r="N267" s="0" t="n">
        <v>1</v>
      </c>
      <c r="O267" s="0" t="n">
        <v>198</v>
      </c>
      <c r="P267" s="0" t="n">
        <v>199</v>
      </c>
    </row>
    <row r="268" customFormat="false" ht="15" hidden="false" customHeight="false" outlineLevel="0" collapsed="false">
      <c r="A268" s="0" t="n">
        <v>886</v>
      </c>
      <c r="B268" s="0" t="s">
        <v>123</v>
      </c>
      <c r="C268" s="0" t="n">
        <v>1</v>
      </c>
      <c r="D268" s="0" t="n">
        <v>0</v>
      </c>
      <c r="E268" s="0" t="n">
        <v>2</v>
      </c>
      <c r="F268" s="0" t="n">
        <v>9</v>
      </c>
      <c r="G268" s="0" t="b">
        <f aca="false">FALSE()</f>
        <v>0</v>
      </c>
      <c r="H268" s="0" t="n">
        <v>3</v>
      </c>
      <c r="I268" s="0" t="n">
        <v>1</v>
      </c>
      <c r="J268" s="0" t="n">
        <v>0.12</v>
      </c>
      <c r="K268" s="0" t="n">
        <v>0.1364</v>
      </c>
      <c r="L268" s="0" t="n">
        <v>0.39</v>
      </c>
      <c r="M268" s="0" t="n">
        <v>0.1642</v>
      </c>
      <c r="N268" s="0" t="n">
        <v>4</v>
      </c>
      <c r="O268" s="0" t="n">
        <v>119</v>
      </c>
      <c r="P268" s="0" t="n">
        <v>123</v>
      </c>
    </row>
    <row r="269" customFormat="false" ht="15" hidden="false" customHeight="false" outlineLevel="0" collapsed="false">
      <c r="A269" s="0" t="n">
        <v>887</v>
      </c>
      <c r="B269" s="0" t="s">
        <v>123</v>
      </c>
      <c r="C269" s="0" t="n">
        <v>1</v>
      </c>
      <c r="D269" s="0" t="n">
        <v>0</v>
      </c>
      <c r="E269" s="0" t="n">
        <v>2</v>
      </c>
      <c r="F269" s="0" t="n">
        <v>10</v>
      </c>
      <c r="G269" s="0" t="b">
        <f aca="false">FALSE()</f>
        <v>0</v>
      </c>
      <c r="H269" s="0" t="n">
        <v>3</v>
      </c>
      <c r="I269" s="0" t="n">
        <v>1</v>
      </c>
      <c r="J269" s="0" t="n">
        <v>0.14</v>
      </c>
      <c r="K269" s="0" t="n">
        <v>0.1818</v>
      </c>
      <c r="L269" s="0" t="n">
        <v>0.36</v>
      </c>
      <c r="M269" s="0" t="n">
        <v>0</v>
      </c>
      <c r="N269" s="0" t="n">
        <v>8</v>
      </c>
      <c r="O269" s="0" t="n">
        <v>51</v>
      </c>
      <c r="P269" s="0" t="n">
        <v>59</v>
      </c>
    </row>
    <row r="270" customFormat="false" ht="15" hidden="false" customHeight="false" outlineLevel="0" collapsed="false">
      <c r="A270" s="0" t="n">
        <v>888</v>
      </c>
      <c r="B270" s="0" t="s">
        <v>123</v>
      </c>
      <c r="C270" s="0" t="n">
        <v>1</v>
      </c>
      <c r="D270" s="0" t="n">
        <v>0</v>
      </c>
      <c r="E270" s="0" t="n">
        <v>2</v>
      </c>
      <c r="F270" s="0" t="n">
        <v>11</v>
      </c>
      <c r="G270" s="0" t="b">
        <f aca="false">FALSE()</f>
        <v>0</v>
      </c>
      <c r="H270" s="0" t="n">
        <v>3</v>
      </c>
      <c r="I270" s="0" t="n">
        <v>2</v>
      </c>
      <c r="J270" s="0" t="n">
        <v>0.14</v>
      </c>
      <c r="K270" s="0" t="n">
        <v>0.1515</v>
      </c>
      <c r="L270" s="0" t="n">
        <v>0.43</v>
      </c>
      <c r="M270" s="0" t="n">
        <v>0.1642</v>
      </c>
      <c r="N270" s="0" t="n">
        <v>1</v>
      </c>
      <c r="O270" s="0" t="n">
        <v>40</v>
      </c>
      <c r="P270" s="0" t="n">
        <v>41</v>
      </c>
    </row>
    <row r="271" customFormat="false" ht="15" hidden="false" customHeight="false" outlineLevel="0" collapsed="false">
      <c r="A271" s="0" t="n">
        <v>889</v>
      </c>
      <c r="B271" s="0" t="s">
        <v>123</v>
      </c>
      <c r="C271" s="0" t="n">
        <v>1</v>
      </c>
      <c r="D271" s="0" t="n">
        <v>0</v>
      </c>
      <c r="E271" s="0" t="n">
        <v>2</v>
      </c>
      <c r="F271" s="0" t="n">
        <v>12</v>
      </c>
      <c r="G271" s="0" t="b">
        <f aca="false">FALSE()</f>
        <v>0</v>
      </c>
      <c r="H271" s="0" t="n">
        <v>3</v>
      </c>
      <c r="I271" s="0" t="n">
        <v>2</v>
      </c>
      <c r="J271" s="0" t="n">
        <v>0.18</v>
      </c>
      <c r="K271" s="0" t="n">
        <v>0.1818</v>
      </c>
      <c r="L271" s="0" t="n">
        <v>0.4</v>
      </c>
      <c r="M271" s="0" t="n">
        <v>0.2239</v>
      </c>
      <c r="N271" s="0" t="n">
        <v>4</v>
      </c>
      <c r="O271" s="0" t="n">
        <v>57</v>
      </c>
      <c r="P271" s="0" t="n">
        <v>61</v>
      </c>
    </row>
    <row r="272" customFormat="false" ht="15" hidden="false" customHeight="false" outlineLevel="0" collapsed="false">
      <c r="A272" s="0" t="n">
        <v>890</v>
      </c>
      <c r="B272" s="0" t="s">
        <v>123</v>
      </c>
      <c r="C272" s="0" t="n">
        <v>1</v>
      </c>
      <c r="D272" s="0" t="n">
        <v>0</v>
      </c>
      <c r="E272" s="0" t="n">
        <v>2</v>
      </c>
      <c r="F272" s="0" t="n">
        <v>13</v>
      </c>
      <c r="G272" s="0" t="b">
        <f aca="false">FALSE()</f>
        <v>0</v>
      </c>
      <c r="H272" s="0" t="n">
        <v>3</v>
      </c>
      <c r="I272" s="0" t="n">
        <v>1</v>
      </c>
      <c r="J272" s="0" t="n">
        <v>0.18</v>
      </c>
      <c r="K272" s="0" t="n">
        <v>0.1667</v>
      </c>
      <c r="L272" s="0" t="n">
        <v>0.4</v>
      </c>
      <c r="M272" s="0" t="n">
        <v>0.2537</v>
      </c>
      <c r="N272" s="0" t="n">
        <v>2</v>
      </c>
      <c r="O272" s="0" t="n">
        <v>67</v>
      </c>
      <c r="P272" s="0" t="n">
        <v>69</v>
      </c>
    </row>
    <row r="273" customFormat="false" ht="15" hidden="false" customHeight="false" outlineLevel="0" collapsed="false">
      <c r="A273" s="0" t="n">
        <v>891</v>
      </c>
      <c r="B273" s="0" t="s">
        <v>123</v>
      </c>
      <c r="C273" s="0" t="n">
        <v>1</v>
      </c>
      <c r="D273" s="0" t="n">
        <v>0</v>
      </c>
      <c r="E273" s="0" t="n">
        <v>2</v>
      </c>
      <c r="F273" s="0" t="n">
        <v>14</v>
      </c>
      <c r="G273" s="0" t="b">
        <f aca="false">FALSE()</f>
        <v>0</v>
      </c>
      <c r="H273" s="0" t="n">
        <v>3</v>
      </c>
      <c r="I273" s="0" t="n">
        <v>1</v>
      </c>
      <c r="J273" s="0" t="n">
        <v>0.2</v>
      </c>
      <c r="K273" s="0" t="n">
        <v>0.1818</v>
      </c>
      <c r="L273" s="0" t="n">
        <v>0.34</v>
      </c>
      <c r="M273" s="0" t="n">
        <v>0.2985</v>
      </c>
      <c r="N273" s="0" t="n">
        <v>2</v>
      </c>
      <c r="O273" s="0" t="n">
        <v>56</v>
      </c>
      <c r="P273" s="0" t="n">
        <v>58</v>
      </c>
    </row>
    <row r="274" customFormat="false" ht="15" hidden="false" customHeight="false" outlineLevel="0" collapsed="false">
      <c r="A274" s="0" t="n">
        <v>892</v>
      </c>
      <c r="B274" s="0" t="s">
        <v>123</v>
      </c>
      <c r="C274" s="0" t="n">
        <v>1</v>
      </c>
      <c r="D274" s="0" t="n">
        <v>0</v>
      </c>
      <c r="E274" s="0" t="n">
        <v>2</v>
      </c>
      <c r="F274" s="0" t="n">
        <v>15</v>
      </c>
      <c r="G274" s="0" t="b">
        <f aca="false">FALSE()</f>
        <v>0</v>
      </c>
      <c r="H274" s="0" t="n">
        <v>3</v>
      </c>
      <c r="I274" s="0" t="n">
        <v>2</v>
      </c>
      <c r="J274" s="0" t="n">
        <v>0.2</v>
      </c>
      <c r="K274" s="0" t="n">
        <v>0.1818</v>
      </c>
      <c r="L274" s="0" t="n">
        <v>0.34</v>
      </c>
      <c r="M274" s="0" t="n">
        <v>0.2836</v>
      </c>
      <c r="N274" s="0" t="n">
        <v>3</v>
      </c>
      <c r="O274" s="0" t="n">
        <v>61</v>
      </c>
      <c r="P274" s="0" t="n">
        <v>64</v>
      </c>
    </row>
    <row r="275" customFormat="false" ht="15" hidden="false" customHeight="false" outlineLevel="0" collapsed="false">
      <c r="A275" s="0" t="n">
        <v>893</v>
      </c>
      <c r="B275" s="0" t="s">
        <v>123</v>
      </c>
      <c r="C275" s="0" t="n">
        <v>1</v>
      </c>
      <c r="D275" s="0" t="n">
        <v>0</v>
      </c>
      <c r="E275" s="0" t="n">
        <v>2</v>
      </c>
      <c r="F275" s="0" t="n">
        <v>16</v>
      </c>
      <c r="G275" s="0" t="b">
        <f aca="false">FALSE()</f>
        <v>0</v>
      </c>
      <c r="H275" s="0" t="n">
        <v>3</v>
      </c>
      <c r="I275" s="0" t="n">
        <v>2</v>
      </c>
      <c r="J275" s="0" t="n">
        <v>0.2</v>
      </c>
      <c r="K275" s="0" t="n">
        <v>0.197</v>
      </c>
      <c r="L275" s="0" t="n">
        <v>0.37</v>
      </c>
      <c r="M275" s="0" t="n">
        <v>0.2537</v>
      </c>
      <c r="N275" s="0" t="n">
        <v>7</v>
      </c>
      <c r="O275" s="0" t="n">
        <v>72</v>
      </c>
      <c r="P275" s="0" t="n">
        <v>79</v>
      </c>
    </row>
    <row r="276" customFormat="false" ht="15" hidden="false" customHeight="false" outlineLevel="0" collapsed="false">
      <c r="A276" s="0" t="n">
        <v>894</v>
      </c>
      <c r="B276" s="0" t="s">
        <v>123</v>
      </c>
      <c r="C276" s="0" t="n">
        <v>1</v>
      </c>
      <c r="D276" s="0" t="n">
        <v>0</v>
      </c>
      <c r="E276" s="0" t="n">
        <v>2</v>
      </c>
      <c r="F276" s="0" t="n">
        <v>17</v>
      </c>
      <c r="G276" s="0" t="b">
        <f aca="false">FALSE()</f>
        <v>0</v>
      </c>
      <c r="H276" s="0" t="n">
        <v>3</v>
      </c>
      <c r="I276" s="0" t="n">
        <v>2</v>
      </c>
      <c r="J276" s="0" t="n">
        <v>0.2</v>
      </c>
      <c r="K276" s="0" t="n">
        <v>0.197</v>
      </c>
      <c r="L276" s="0" t="n">
        <v>0.34</v>
      </c>
      <c r="M276" s="0" t="n">
        <v>0.2537</v>
      </c>
      <c r="N276" s="0" t="n">
        <v>9</v>
      </c>
      <c r="O276" s="0" t="n">
        <v>157</v>
      </c>
      <c r="P276" s="0" t="n">
        <v>166</v>
      </c>
    </row>
    <row r="277" customFormat="false" ht="15" hidden="false" customHeight="false" outlineLevel="0" collapsed="false">
      <c r="A277" s="0" t="n">
        <v>895</v>
      </c>
      <c r="B277" s="0" t="s">
        <v>123</v>
      </c>
      <c r="C277" s="0" t="n">
        <v>1</v>
      </c>
      <c r="D277" s="0" t="n">
        <v>0</v>
      </c>
      <c r="E277" s="0" t="n">
        <v>2</v>
      </c>
      <c r="F277" s="0" t="n">
        <v>18</v>
      </c>
      <c r="G277" s="0" t="b">
        <f aca="false">FALSE()</f>
        <v>0</v>
      </c>
      <c r="H277" s="0" t="n">
        <v>3</v>
      </c>
      <c r="I277" s="0" t="n">
        <v>2</v>
      </c>
      <c r="J277" s="0" t="n">
        <v>0.18</v>
      </c>
      <c r="K277" s="0" t="n">
        <v>0.1667</v>
      </c>
      <c r="L277" s="0" t="n">
        <v>0.47</v>
      </c>
      <c r="M277" s="0" t="n">
        <v>0.2985</v>
      </c>
      <c r="N277" s="0" t="n">
        <v>2</v>
      </c>
      <c r="O277" s="0" t="n">
        <v>168</v>
      </c>
      <c r="P277" s="0" t="n">
        <v>170</v>
      </c>
    </row>
    <row r="278" customFormat="false" ht="15" hidden="false" customHeight="false" outlineLevel="0" collapsed="false">
      <c r="A278" s="0" t="n">
        <v>896</v>
      </c>
      <c r="B278" s="0" t="s">
        <v>123</v>
      </c>
      <c r="C278" s="0" t="n">
        <v>1</v>
      </c>
      <c r="D278" s="0" t="n">
        <v>0</v>
      </c>
      <c r="E278" s="0" t="n">
        <v>2</v>
      </c>
      <c r="F278" s="0" t="n">
        <v>19</v>
      </c>
      <c r="G278" s="0" t="b">
        <f aca="false">FALSE()</f>
        <v>0</v>
      </c>
      <c r="H278" s="0" t="n">
        <v>3</v>
      </c>
      <c r="I278" s="0" t="n">
        <v>3</v>
      </c>
      <c r="J278" s="0" t="n">
        <v>0.14</v>
      </c>
      <c r="K278" s="0" t="n">
        <v>0.1212</v>
      </c>
      <c r="L278" s="0" t="n">
        <v>0.86</v>
      </c>
      <c r="M278" s="0" t="n">
        <v>0.2537</v>
      </c>
      <c r="N278" s="0" t="n">
        <v>1</v>
      </c>
      <c r="O278" s="0" t="n">
        <v>87</v>
      </c>
      <c r="P278" s="0" t="n">
        <v>88</v>
      </c>
    </row>
    <row r="279" customFormat="false" ht="15" hidden="false" customHeight="false" outlineLevel="0" collapsed="false">
      <c r="A279" s="0" t="n">
        <v>897</v>
      </c>
      <c r="B279" s="0" t="s">
        <v>123</v>
      </c>
      <c r="C279" s="0" t="n">
        <v>1</v>
      </c>
      <c r="D279" s="0" t="n">
        <v>0</v>
      </c>
      <c r="E279" s="0" t="n">
        <v>2</v>
      </c>
      <c r="F279" s="0" t="n">
        <v>20</v>
      </c>
      <c r="G279" s="0" t="b">
        <f aca="false">FALSE()</f>
        <v>0</v>
      </c>
      <c r="H279" s="0" t="n">
        <v>3</v>
      </c>
      <c r="I279" s="0" t="n">
        <v>3</v>
      </c>
      <c r="J279" s="0" t="n">
        <v>0.14</v>
      </c>
      <c r="K279" s="0" t="n">
        <v>0.1515</v>
      </c>
      <c r="L279" s="0" t="n">
        <v>0.86</v>
      </c>
      <c r="M279" s="0" t="n">
        <v>0.1642</v>
      </c>
      <c r="N279" s="0" t="n">
        <v>0</v>
      </c>
      <c r="O279" s="0" t="n">
        <v>84</v>
      </c>
      <c r="P279" s="0" t="n">
        <v>84</v>
      </c>
    </row>
    <row r="280" customFormat="false" ht="15" hidden="false" customHeight="false" outlineLevel="0" collapsed="false">
      <c r="A280" s="0" t="n">
        <v>898</v>
      </c>
      <c r="B280" s="0" t="s">
        <v>123</v>
      </c>
      <c r="C280" s="0" t="n">
        <v>1</v>
      </c>
      <c r="D280" s="0" t="n">
        <v>0</v>
      </c>
      <c r="E280" s="0" t="n">
        <v>2</v>
      </c>
      <c r="F280" s="0" t="n">
        <v>21</v>
      </c>
      <c r="G280" s="0" t="b">
        <f aca="false">FALSE()</f>
        <v>0</v>
      </c>
      <c r="H280" s="0" t="n">
        <v>3</v>
      </c>
      <c r="I280" s="0" t="n">
        <v>2</v>
      </c>
      <c r="J280" s="0" t="n">
        <v>0.14</v>
      </c>
      <c r="K280" s="0" t="n">
        <v>0.1515</v>
      </c>
      <c r="L280" s="0" t="n">
        <v>0.86</v>
      </c>
      <c r="M280" s="0" t="n">
        <v>0.1642</v>
      </c>
      <c r="N280" s="0" t="n">
        <v>0</v>
      </c>
      <c r="O280" s="0" t="n">
        <v>83</v>
      </c>
      <c r="P280" s="0" t="n">
        <v>83</v>
      </c>
    </row>
    <row r="281" customFormat="false" ht="15" hidden="false" customHeight="false" outlineLevel="0" collapsed="false">
      <c r="A281" s="0" t="n">
        <v>899</v>
      </c>
      <c r="B281" s="0" t="s">
        <v>123</v>
      </c>
      <c r="C281" s="0" t="n">
        <v>1</v>
      </c>
      <c r="D281" s="0" t="n">
        <v>0</v>
      </c>
      <c r="E281" s="0" t="n">
        <v>2</v>
      </c>
      <c r="F281" s="0" t="n">
        <v>22</v>
      </c>
      <c r="G281" s="0" t="b">
        <f aca="false">FALSE()</f>
        <v>0</v>
      </c>
      <c r="H281" s="0" t="n">
        <v>3</v>
      </c>
      <c r="I281" s="0" t="n">
        <v>3</v>
      </c>
      <c r="J281" s="0" t="n">
        <v>0.16</v>
      </c>
      <c r="K281" s="0" t="n">
        <v>0.1667</v>
      </c>
      <c r="L281" s="0" t="n">
        <v>0.8</v>
      </c>
      <c r="M281" s="0" t="n">
        <v>0.1642</v>
      </c>
      <c r="N281" s="0" t="n">
        <v>4</v>
      </c>
      <c r="O281" s="0" t="n">
        <v>42</v>
      </c>
      <c r="P281" s="0" t="n">
        <v>46</v>
      </c>
    </row>
    <row r="282" customFormat="false" ht="15" hidden="false" customHeight="false" outlineLevel="0" collapsed="false">
      <c r="A282" s="0" t="n">
        <v>900</v>
      </c>
      <c r="B282" s="0" t="s">
        <v>123</v>
      </c>
      <c r="C282" s="0" t="n">
        <v>1</v>
      </c>
      <c r="D282" s="0" t="n">
        <v>0</v>
      </c>
      <c r="E282" s="0" t="n">
        <v>2</v>
      </c>
      <c r="F282" s="0" t="n">
        <v>23</v>
      </c>
      <c r="G282" s="0" t="b">
        <f aca="false">FALSE()</f>
        <v>0</v>
      </c>
      <c r="H282" s="0" t="n">
        <v>3</v>
      </c>
      <c r="I282" s="0" t="n">
        <v>3</v>
      </c>
      <c r="J282" s="0" t="n">
        <v>0.16</v>
      </c>
      <c r="K282" s="0" t="n">
        <v>0.1515</v>
      </c>
      <c r="L282" s="0" t="n">
        <v>0.8</v>
      </c>
      <c r="M282" s="0" t="n">
        <v>0.194</v>
      </c>
      <c r="N282" s="0" t="n">
        <v>0</v>
      </c>
      <c r="O282" s="0" t="n">
        <v>37</v>
      </c>
      <c r="P282" s="0" t="n">
        <v>37</v>
      </c>
    </row>
    <row r="283" customFormat="false" ht="15" hidden="false" customHeight="false" outlineLevel="0" collapsed="false">
      <c r="A283" s="0" t="n">
        <v>901</v>
      </c>
      <c r="B283" s="0" t="s">
        <v>124</v>
      </c>
      <c r="C283" s="0" t="n">
        <v>1</v>
      </c>
      <c r="D283" s="0" t="n">
        <v>0</v>
      </c>
      <c r="E283" s="0" t="n">
        <v>2</v>
      </c>
      <c r="F283" s="0" t="n">
        <v>0</v>
      </c>
      <c r="G283" s="0" t="b">
        <f aca="false">FALSE()</f>
        <v>0</v>
      </c>
      <c r="H283" s="0" t="n">
        <v>4</v>
      </c>
      <c r="I283" s="0" t="n">
        <v>3</v>
      </c>
      <c r="J283" s="0" t="n">
        <v>0.14</v>
      </c>
      <c r="K283" s="0" t="n">
        <v>0.1364</v>
      </c>
      <c r="L283" s="0" t="n">
        <v>0.86</v>
      </c>
      <c r="M283" s="0" t="n">
        <v>0.194</v>
      </c>
      <c r="N283" s="0" t="n">
        <v>0</v>
      </c>
      <c r="O283" s="0" t="n">
        <v>16</v>
      </c>
      <c r="P283" s="0" t="n">
        <v>16</v>
      </c>
    </row>
    <row r="284" customFormat="false" ht="15" hidden="false" customHeight="false" outlineLevel="0" collapsed="false">
      <c r="A284" s="0" t="n">
        <v>902</v>
      </c>
      <c r="B284" s="0" t="s">
        <v>124</v>
      </c>
      <c r="C284" s="0" t="n">
        <v>1</v>
      </c>
      <c r="D284" s="0" t="n">
        <v>0</v>
      </c>
      <c r="E284" s="0" t="n">
        <v>2</v>
      </c>
      <c r="F284" s="0" t="n">
        <v>1</v>
      </c>
      <c r="G284" s="0" t="b">
        <f aca="false">FALSE()</f>
        <v>0</v>
      </c>
      <c r="H284" s="0" t="n">
        <v>4</v>
      </c>
      <c r="I284" s="0" t="n">
        <v>3</v>
      </c>
      <c r="J284" s="0" t="n">
        <v>0.14</v>
      </c>
      <c r="K284" s="0" t="n">
        <v>0.1515</v>
      </c>
      <c r="L284" s="0" t="n">
        <v>0.8</v>
      </c>
      <c r="M284" s="0" t="n">
        <v>0.1343</v>
      </c>
      <c r="N284" s="0" t="n">
        <v>0</v>
      </c>
      <c r="O284" s="0" t="n">
        <v>7</v>
      </c>
      <c r="P284" s="0" t="n">
        <v>7</v>
      </c>
    </row>
    <row r="285" customFormat="false" ht="15" hidden="false" customHeight="false" outlineLevel="0" collapsed="false">
      <c r="A285" s="0" t="n">
        <v>903</v>
      </c>
      <c r="B285" s="0" t="s">
        <v>124</v>
      </c>
      <c r="C285" s="0" t="n">
        <v>1</v>
      </c>
      <c r="D285" s="0" t="n">
        <v>0</v>
      </c>
      <c r="E285" s="0" t="n">
        <v>2</v>
      </c>
      <c r="F285" s="0" t="n">
        <v>2</v>
      </c>
      <c r="G285" s="0" t="b">
        <f aca="false">FALSE()</f>
        <v>0</v>
      </c>
      <c r="H285" s="0" t="n">
        <v>4</v>
      </c>
      <c r="I285" s="0" t="n">
        <v>3</v>
      </c>
      <c r="J285" s="0" t="n">
        <v>0.14</v>
      </c>
      <c r="K285" s="0" t="n">
        <v>0.1515</v>
      </c>
      <c r="L285" s="0" t="n">
        <v>0.8</v>
      </c>
      <c r="M285" s="0" t="n">
        <v>0.1343</v>
      </c>
      <c r="N285" s="0" t="n">
        <v>0</v>
      </c>
      <c r="O285" s="0" t="n">
        <v>3</v>
      </c>
      <c r="P285" s="0" t="n">
        <v>3</v>
      </c>
    </row>
    <row r="286" customFormat="false" ht="15" hidden="false" customHeight="false" outlineLevel="0" collapsed="false">
      <c r="A286" s="0" t="n">
        <v>904</v>
      </c>
      <c r="B286" s="0" t="s">
        <v>124</v>
      </c>
      <c r="C286" s="0" t="n">
        <v>1</v>
      </c>
      <c r="D286" s="0" t="n">
        <v>0</v>
      </c>
      <c r="E286" s="0" t="n">
        <v>2</v>
      </c>
      <c r="F286" s="0" t="n">
        <v>4</v>
      </c>
      <c r="G286" s="0" t="b">
        <f aca="false">FALSE()</f>
        <v>0</v>
      </c>
      <c r="H286" s="0" t="n">
        <v>4</v>
      </c>
      <c r="I286" s="0" t="n">
        <v>2</v>
      </c>
      <c r="J286" s="0" t="n">
        <v>0.14</v>
      </c>
      <c r="K286" s="0" t="n">
        <v>0.1364</v>
      </c>
      <c r="L286" s="0" t="n">
        <v>0.59</v>
      </c>
      <c r="M286" s="0" t="n">
        <v>0.2239</v>
      </c>
      <c r="N286" s="0" t="n">
        <v>0</v>
      </c>
      <c r="O286" s="0" t="n">
        <v>1</v>
      </c>
      <c r="P286" s="0" t="n">
        <v>1</v>
      </c>
    </row>
    <row r="287" customFormat="false" ht="15" hidden="false" customHeight="false" outlineLevel="0" collapsed="false">
      <c r="A287" s="0" t="n">
        <v>905</v>
      </c>
      <c r="B287" s="0" t="s">
        <v>124</v>
      </c>
      <c r="C287" s="0" t="n">
        <v>1</v>
      </c>
      <c r="D287" s="0" t="n">
        <v>0</v>
      </c>
      <c r="E287" s="0" t="n">
        <v>2</v>
      </c>
      <c r="F287" s="0" t="n">
        <v>5</v>
      </c>
      <c r="G287" s="0" t="b">
        <f aca="false">FALSE()</f>
        <v>0</v>
      </c>
      <c r="H287" s="0" t="n">
        <v>4</v>
      </c>
      <c r="I287" s="0" t="n">
        <v>2</v>
      </c>
      <c r="J287" s="0" t="n">
        <v>0.12</v>
      </c>
      <c r="K287" s="0" t="n">
        <v>0.1212</v>
      </c>
      <c r="L287" s="0" t="n">
        <v>0.5</v>
      </c>
      <c r="M287" s="0" t="n">
        <v>0.2239</v>
      </c>
      <c r="N287" s="0" t="n">
        <v>0</v>
      </c>
      <c r="O287" s="0" t="n">
        <v>6</v>
      </c>
      <c r="P287" s="0" t="n">
        <v>6</v>
      </c>
    </row>
    <row r="288" customFormat="false" ht="15" hidden="false" customHeight="false" outlineLevel="0" collapsed="false">
      <c r="A288" s="0" t="n">
        <v>906</v>
      </c>
      <c r="B288" s="0" t="s">
        <v>124</v>
      </c>
      <c r="C288" s="0" t="n">
        <v>1</v>
      </c>
      <c r="D288" s="0" t="n">
        <v>0</v>
      </c>
      <c r="E288" s="0" t="n">
        <v>2</v>
      </c>
      <c r="F288" s="0" t="n">
        <v>6</v>
      </c>
      <c r="G288" s="0" t="b">
        <f aca="false">FALSE()</f>
        <v>0</v>
      </c>
      <c r="H288" s="0" t="n">
        <v>4</v>
      </c>
      <c r="I288" s="0" t="n">
        <v>2</v>
      </c>
      <c r="J288" s="0" t="n">
        <v>0.12</v>
      </c>
      <c r="K288" s="0" t="n">
        <v>0.1212</v>
      </c>
      <c r="L288" s="0" t="n">
        <v>0.54</v>
      </c>
      <c r="M288" s="0" t="n">
        <v>0.2836</v>
      </c>
      <c r="N288" s="0" t="n">
        <v>0</v>
      </c>
      <c r="O288" s="0" t="n">
        <v>26</v>
      </c>
      <c r="P288" s="0" t="n">
        <v>26</v>
      </c>
    </row>
    <row r="289" customFormat="false" ht="15" hidden="false" customHeight="false" outlineLevel="0" collapsed="false">
      <c r="A289" s="0" t="n">
        <v>907</v>
      </c>
      <c r="B289" s="0" t="s">
        <v>124</v>
      </c>
      <c r="C289" s="0" t="n">
        <v>1</v>
      </c>
      <c r="D289" s="0" t="n">
        <v>0</v>
      </c>
      <c r="E289" s="0" t="n">
        <v>2</v>
      </c>
      <c r="F289" s="0" t="n">
        <v>7</v>
      </c>
      <c r="G289" s="0" t="b">
        <f aca="false">FALSE()</f>
        <v>0</v>
      </c>
      <c r="H289" s="0" t="n">
        <v>4</v>
      </c>
      <c r="I289" s="0" t="n">
        <v>1</v>
      </c>
      <c r="J289" s="0" t="n">
        <v>0.1</v>
      </c>
      <c r="K289" s="0" t="n">
        <v>0.0758</v>
      </c>
      <c r="L289" s="0" t="n">
        <v>0.5</v>
      </c>
      <c r="M289" s="0" t="n">
        <v>0.4179</v>
      </c>
      <c r="N289" s="0" t="n">
        <v>0</v>
      </c>
      <c r="O289" s="0" t="n">
        <v>99</v>
      </c>
      <c r="P289" s="0" t="n">
        <v>99</v>
      </c>
    </row>
    <row r="290" customFormat="false" ht="15" hidden="false" customHeight="false" outlineLevel="0" collapsed="false">
      <c r="A290" s="0" t="n">
        <v>908</v>
      </c>
      <c r="B290" s="0" t="s">
        <v>124</v>
      </c>
      <c r="C290" s="0" t="n">
        <v>1</v>
      </c>
      <c r="D290" s="0" t="n">
        <v>0</v>
      </c>
      <c r="E290" s="0" t="n">
        <v>2</v>
      </c>
      <c r="F290" s="0" t="n">
        <v>8</v>
      </c>
      <c r="G290" s="0" t="b">
        <f aca="false">FALSE()</f>
        <v>0</v>
      </c>
      <c r="H290" s="0" t="n">
        <v>4</v>
      </c>
      <c r="I290" s="0" t="n">
        <v>1</v>
      </c>
      <c r="J290" s="0" t="n">
        <v>0.1</v>
      </c>
      <c r="K290" s="0" t="n">
        <v>0.0758</v>
      </c>
      <c r="L290" s="0" t="n">
        <v>0.49</v>
      </c>
      <c r="M290" s="0" t="n">
        <v>0.3284</v>
      </c>
      <c r="N290" s="0" t="n">
        <v>5</v>
      </c>
      <c r="O290" s="0" t="n">
        <v>173</v>
      </c>
      <c r="P290" s="0" t="n">
        <v>178</v>
      </c>
    </row>
    <row r="291" customFormat="false" ht="15" hidden="false" customHeight="false" outlineLevel="0" collapsed="false">
      <c r="A291" s="0" t="n">
        <v>909</v>
      </c>
      <c r="B291" s="0" t="s">
        <v>124</v>
      </c>
      <c r="C291" s="0" t="n">
        <v>1</v>
      </c>
      <c r="D291" s="0" t="n">
        <v>0</v>
      </c>
      <c r="E291" s="0" t="n">
        <v>2</v>
      </c>
      <c r="F291" s="0" t="n">
        <v>9</v>
      </c>
      <c r="G291" s="0" t="b">
        <f aca="false">FALSE()</f>
        <v>0</v>
      </c>
      <c r="H291" s="0" t="n">
        <v>4</v>
      </c>
      <c r="I291" s="0" t="n">
        <v>1</v>
      </c>
      <c r="J291" s="0" t="n">
        <v>0.12</v>
      </c>
      <c r="K291" s="0" t="n">
        <v>0.1061</v>
      </c>
      <c r="L291" s="0" t="n">
        <v>0.42</v>
      </c>
      <c r="M291" s="0" t="n">
        <v>0.3582</v>
      </c>
      <c r="N291" s="0" t="n">
        <v>1</v>
      </c>
      <c r="O291" s="0" t="n">
        <v>121</v>
      </c>
      <c r="P291" s="0" t="n">
        <v>122</v>
      </c>
    </row>
    <row r="292" customFormat="false" ht="15" hidden="false" customHeight="false" outlineLevel="0" collapsed="false">
      <c r="A292" s="0" t="n">
        <v>910</v>
      </c>
      <c r="B292" s="0" t="s">
        <v>124</v>
      </c>
      <c r="C292" s="0" t="n">
        <v>1</v>
      </c>
      <c r="D292" s="0" t="n">
        <v>0</v>
      </c>
      <c r="E292" s="0" t="n">
        <v>2</v>
      </c>
      <c r="F292" s="0" t="n">
        <v>10</v>
      </c>
      <c r="G292" s="0" t="b">
        <f aca="false">FALSE()</f>
        <v>0</v>
      </c>
      <c r="H292" s="0" t="n">
        <v>4</v>
      </c>
      <c r="I292" s="0" t="n">
        <v>1</v>
      </c>
      <c r="J292" s="0" t="n">
        <v>0.12</v>
      </c>
      <c r="K292" s="0" t="n">
        <v>0.1061</v>
      </c>
      <c r="L292" s="0" t="n">
        <v>0.42</v>
      </c>
      <c r="M292" s="0" t="n">
        <v>0.2985</v>
      </c>
      <c r="N292" s="0" t="n">
        <v>1</v>
      </c>
      <c r="O292" s="0" t="n">
        <v>34</v>
      </c>
      <c r="P292" s="0" t="n">
        <v>35</v>
      </c>
    </row>
    <row r="293" customFormat="false" ht="15" hidden="false" customHeight="false" outlineLevel="0" collapsed="false">
      <c r="A293" s="0" t="n">
        <v>911</v>
      </c>
      <c r="B293" s="0" t="s">
        <v>124</v>
      </c>
      <c r="C293" s="0" t="n">
        <v>1</v>
      </c>
      <c r="D293" s="0" t="n">
        <v>0</v>
      </c>
      <c r="E293" s="0" t="n">
        <v>2</v>
      </c>
      <c r="F293" s="0" t="n">
        <v>11</v>
      </c>
      <c r="G293" s="0" t="b">
        <f aca="false">FALSE()</f>
        <v>0</v>
      </c>
      <c r="H293" s="0" t="n">
        <v>4</v>
      </c>
      <c r="I293" s="0" t="n">
        <v>1</v>
      </c>
      <c r="J293" s="0" t="n">
        <v>0.14</v>
      </c>
      <c r="K293" s="0" t="n">
        <v>0.1212</v>
      </c>
      <c r="L293" s="0" t="n">
        <v>0.39</v>
      </c>
      <c r="M293" s="0" t="n">
        <v>0.3582</v>
      </c>
      <c r="N293" s="0" t="n">
        <v>1</v>
      </c>
      <c r="O293" s="0" t="n">
        <v>44</v>
      </c>
      <c r="P293" s="0" t="n">
        <v>45</v>
      </c>
    </row>
    <row r="294" customFormat="false" ht="15" hidden="false" customHeight="false" outlineLevel="0" collapsed="false">
      <c r="A294" s="0" t="n">
        <v>912</v>
      </c>
      <c r="B294" s="0" t="s">
        <v>124</v>
      </c>
      <c r="C294" s="0" t="n">
        <v>1</v>
      </c>
      <c r="D294" s="0" t="n">
        <v>0</v>
      </c>
      <c r="E294" s="0" t="n">
        <v>2</v>
      </c>
      <c r="F294" s="0" t="n">
        <v>12</v>
      </c>
      <c r="G294" s="0" t="b">
        <f aca="false">FALSE()</f>
        <v>0</v>
      </c>
      <c r="H294" s="0" t="n">
        <v>4</v>
      </c>
      <c r="I294" s="0" t="n">
        <v>1</v>
      </c>
      <c r="J294" s="0" t="n">
        <v>0.16</v>
      </c>
      <c r="K294" s="0" t="n">
        <v>0.1364</v>
      </c>
      <c r="L294" s="0" t="n">
        <v>0.34</v>
      </c>
      <c r="M294" s="0" t="n">
        <v>0.3881</v>
      </c>
      <c r="N294" s="0" t="n">
        <v>4</v>
      </c>
      <c r="O294" s="0" t="n">
        <v>65</v>
      </c>
      <c r="P294" s="0" t="n">
        <v>69</v>
      </c>
    </row>
    <row r="295" customFormat="false" ht="15" hidden="false" customHeight="false" outlineLevel="0" collapsed="false">
      <c r="A295" s="0" t="n">
        <v>913</v>
      </c>
      <c r="B295" s="0" t="s">
        <v>124</v>
      </c>
      <c r="C295" s="0" t="n">
        <v>1</v>
      </c>
      <c r="D295" s="0" t="n">
        <v>0</v>
      </c>
      <c r="E295" s="0" t="n">
        <v>2</v>
      </c>
      <c r="F295" s="0" t="n">
        <v>13</v>
      </c>
      <c r="G295" s="0" t="b">
        <f aca="false">FALSE()</f>
        <v>0</v>
      </c>
      <c r="H295" s="0" t="n">
        <v>4</v>
      </c>
      <c r="I295" s="0" t="n">
        <v>1</v>
      </c>
      <c r="J295" s="0" t="n">
        <v>0.18</v>
      </c>
      <c r="K295" s="0" t="n">
        <v>0.1667</v>
      </c>
      <c r="L295" s="0" t="n">
        <v>0.29</v>
      </c>
      <c r="M295" s="0" t="n">
        <v>0.2985</v>
      </c>
      <c r="N295" s="0" t="n">
        <v>3</v>
      </c>
      <c r="O295" s="0" t="n">
        <v>59</v>
      </c>
      <c r="P295" s="0" t="n">
        <v>62</v>
      </c>
    </row>
    <row r="296" customFormat="false" ht="15" hidden="false" customHeight="false" outlineLevel="0" collapsed="false">
      <c r="A296" s="0" t="n">
        <v>914</v>
      </c>
      <c r="B296" s="0" t="s">
        <v>124</v>
      </c>
      <c r="C296" s="0" t="n">
        <v>1</v>
      </c>
      <c r="D296" s="0" t="n">
        <v>0</v>
      </c>
      <c r="E296" s="0" t="n">
        <v>2</v>
      </c>
      <c r="F296" s="0" t="n">
        <v>14</v>
      </c>
      <c r="G296" s="0" t="b">
        <f aca="false">FALSE()</f>
        <v>0</v>
      </c>
      <c r="H296" s="0" t="n">
        <v>4</v>
      </c>
      <c r="I296" s="0" t="n">
        <v>1</v>
      </c>
      <c r="J296" s="0" t="n">
        <v>0.2</v>
      </c>
      <c r="K296" s="0" t="n">
        <v>0.1818</v>
      </c>
      <c r="L296" s="0" t="n">
        <v>0.27</v>
      </c>
      <c r="M296" s="0" t="n">
        <v>0.2836</v>
      </c>
      <c r="N296" s="0" t="n">
        <v>6</v>
      </c>
      <c r="O296" s="0" t="n">
        <v>42</v>
      </c>
      <c r="P296" s="0" t="n">
        <v>48</v>
      </c>
    </row>
    <row r="297" customFormat="false" ht="15" hidden="false" customHeight="false" outlineLevel="0" collapsed="false">
      <c r="A297" s="0" t="n">
        <v>915</v>
      </c>
      <c r="B297" s="0" t="s">
        <v>124</v>
      </c>
      <c r="C297" s="0" t="n">
        <v>1</v>
      </c>
      <c r="D297" s="0" t="n">
        <v>0</v>
      </c>
      <c r="E297" s="0" t="n">
        <v>2</v>
      </c>
      <c r="F297" s="0" t="n">
        <v>15</v>
      </c>
      <c r="G297" s="0" t="b">
        <f aca="false">FALSE()</f>
        <v>0</v>
      </c>
      <c r="H297" s="0" t="n">
        <v>4</v>
      </c>
      <c r="I297" s="0" t="n">
        <v>1</v>
      </c>
      <c r="J297" s="0" t="n">
        <v>0.2</v>
      </c>
      <c r="K297" s="0" t="n">
        <v>0.197</v>
      </c>
      <c r="L297" s="0" t="n">
        <v>0.25</v>
      </c>
      <c r="M297" s="0" t="n">
        <v>0.2537</v>
      </c>
      <c r="N297" s="0" t="n">
        <v>0</v>
      </c>
      <c r="O297" s="0" t="n">
        <v>50</v>
      </c>
      <c r="P297" s="0" t="n">
        <v>50</v>
      </c>
    </row>
    <row r="298" customFormat="false" ht="15" hidden="false" customHeight="false" outlineLevel="0" collapsed="false">
      <c r="A298" s="0" t="n">
        <v>916</v>
      </c>
      <c r="B298" s="0" t="s">
        <v>124</v>
      </c>
      <c r="C298" s="0" t="n">
        <v>1</v>
      </c>
      <c r="D298" s="0" t="n">
        <v>0</v>
      </c>
      <c r="E298" s="0" t="n">
        <v>2</v>
      </c>
      <c r="F298" s="0" t="n">
        <v>16</v>
      </c>
      <c r="G298" s="0" t="b">
        <f aca="false">FALSE()</f>
        <v>0</v>
      </c>
      <c r="H298" s="0" t="n">
        <v>4</v>
      </c>
      <c r="I298" s="0" t="n">
        <v>1</v>
      </c>
      <c r="J298" s="0" t="n">
        <v>0.2</v>
      </c>
      <c r="K298" s="0" t="n">
        <v>0.1818</v>
      </c>
      <c r="L298" s="0" t="n">
        <v>0.27</v>
      </c>
      <c r="M298" s="0" t="n">
        <v>0.2985</v>
      </c>
      <c r="N298" s="0" t="n">
        <v>4</v>
      </c>
      <c r="O298" s="0" t="n">
        <v>76</v>
      </c>
      <c r="P298" s="0" t="n">
        <v>80</v>
      </c>
    </row>
    <row r="299" customFormat="false" ht="15" hidden="false" customHeight="false" outlineLevel="0" collapsed="false">
      <c r="A299" s="0" t="n">
        <v>917</v>
      </c>
      <c r="B299" s="0" t="s">
        <v>124</v>
      </c>
      <c r="C299" s="0" t="n">
        <v>1</v>
      </c>
      <c r="D299" s="0" t="n">
        <v>0</v>
      </c>
      <c r="E299" s="0" t="n">
        <v>2</v>
      </c>
      <c r="F299" s="0" t="n">
        <v>17</v>
      </c>
      <c r="G299" s="0" t="b">
        <f aca="false">FALSE()</f>
        <v>0</v>
      </c>
      <c r="H299" s="0" t="n">
        <v>4</v>
      </c>
      <c r="I299" s="0" t="n">
        <v>1</v>
      </c>
      <c r="J299" s="0" t="n">
        <v>0.18</v>
      </c>
      <c r="K299" s="0" t="n">
        <v>0.1818</v>
      </c>
      <c r="L299" s="0" t="n">
        <v>0.26</v>
      </c>
      <c r="M299" s="0" t="n">
        <v>0.194</v>
      </c>
      <c r="N299" s="0" t="n">
        <v>6</v>
      </c>
      <c r="O299" s="0" t="n">
        <v>159</v>
      </c>
      <c r="P299" s="0" t="n">
        <v>165</v>
      </c>
    </row>
    <row r="300" customFormat="false" ht="15" hidden="false" customHeight="false" outlineLevel="0" collapsed="false">
      <c r="A300" s="0" t="n">
        <v>918</v>
      </c>
      <c r="B300" s="0" t="s">
        <v>124</v>
      </c>
      <c r="C300" s="0" t="n">
        <v>1</v>
      </c>
      <c r="D300" s="0" t="n">
        <v>0</v>
      </c>
      <c r="E300" s="0" t="n">
        <v>2</v>
      </c>
      <c r="F300" s="0" t="n">
        <v>18</v>
      </c>
      <c r="G300" s="0" t="b">
        <f aca="false">FALSE()</f>
        <v>0</v>
      </c>
      <c r="H300" s="0" t="n">
        <v>4</v>
      </c>
      <c r="I300" s="0" t="n">
        <v>1</v>
      </c>
      <c r="J300" s="0" t="n">
        <v>0.16</v>
      </c>
      <c r="K300" s="0" t="n">
        <v>0.1818</v>
      </c>
      <c r="L300" s="0" t="n">
        <v>0.28</v>
      </c>
      <c r="M300" s="0" t="n">
        <v>0.1343</v>
      </c>
      <c r="N300" s="0" t="n">
        <v>3</v>
      </c>
      <c r="O300" s="0" t="n">
        <v>157</v>
      </c>
      <c r="P300" s="0" t="n">
        <v>160</v>
      </c>
    </row>
    <row r="301" customFormat="false" ht="15" hidden="false" customHeight="false" outlineLevel="0" collapsed="false">
      <c r="A301" s="0" t="n">
        <v>919</v>
      </c>
      <c r="B301" s="0" t="s">
        <v>124</v>
      </c>
      <c r="C301" s="0" t="n">
        <v>1</v>
      </c>
      <c r="D301" s="0" t="n">
        <v>0</v>
      </c>
      <c r="E301" s="0" t="n">
        <v>2</v>
      </c>
      <c r="F301" s="0" t="n">
        <v>19</v>
      </c>
      <c r="G301" s="0" t="b">
        <f aca="false">FALSE()</f>
        <v>0</v>
      </c>
      <c r="H301" s="0" t="n">
        <v>4</v>
      </c>
      <c r="I301" s="0" t="n">
        <v>1</v>
      </c>
      <c r="J301" s="0" t="n">
        <v>0.14</v>
      </c>
      <c r="K301" s="0" t="n">
        <v>0.1667</v>
      </c>
      <c r="L301" s="0" t="n">
        <v>0.28</v>
      </c>
      <c r="M301" s="0" t="n">
        <v>0.1045</v>
      </c>
      <c r="N301" s="0" t="n">
        <v>2</v>
      </c>
      <c r="O301" s="0" t="n">
        <v>110</v>
      </c>
      <c r="P301" s="0" t="n">
        <v>112</v>
      </c>
    </row>
    <row r="302" customFormat="false" ht="15" hidden="false" customHeight="false" outlineLevel="0" collapsed="false">
      <c r="A302" s="0" t="n">
        <v>920</v>
      </c>
      <c r="B302" s="0" t="s">
        <v>124</v>
      </c>
      <c r="C302" s="0" t="n">
        <v>1</v>
      </c>
      <c r="D302" s="0" t="n">
        <v>0</v>
      </c>
      <c r="E302" s="0" t="n">
        <v>2</v>
      </c>
      <c r="F302" s="0" t="n">
        <v>20</v>
      </c>
      <c r="G302" s="0" t="b">
        <f aca="false">FALSE()</f>
        <v>0</v>
      </c>
      <c r="H302" s="0" t="n">
        <v>4</v>
      </c>
      <c r="I302" s="0" t="n">
        <v>1</v>
      </c>
      <c r="J302" s="0" t="n">
        <v>0.14</v>
      </c>
      <c r="K302" s="0" t="n">
        <v>0.1818</v>
      </c>
      <c r="L302" s="0" t="n">
        <v>0.31</v>
      </c>
      <c r="M302" s="0" t="n">
        <v>0.0896</v>
      </c>
      <c r="N302" s="0" t="n">
        <v>4</v>
      </c>
      <c r="O302" s="0" t="n">
        <v>93</v>
      </c>
      <c r="P302" s="0" t="n">
        <v>97</v>
      </c>
    </row>
    <row r="303" customFormat="false" ht="15" hidden="false" customHeight="false" outlineLevel="0" collapsed="false">
      <c r="A303" s="0" t="n">
        <v>921</v>
      </c>
      <c r="B303" s="0" t="s">
        <v>124</v>
      </c>
      <c r="C303" s="0" t="n">
        <v>1</v>
      </c>
      <c r="D303" s="0" t="n">
        <v>0</v>
      </c>
      <c r="E303" s="0" t="n">
        <v>2</v>
      </c>
      <c r="F303" s="0" t="n">
        <v>21</v>
      </c>
      <c r="G303" s="0" t="b">
        <f aca="false">FALSE()</f>
        <v>0</v>
      </c>
      <c r="H303" s="0" t="n">
        <v>4</v>
      </c>
      <c r="I303" s="0" t="n">
        <v>1</v>
      </c>
      <c r="J303" s="0" t="n">
        <v>0.14</v>
      </c>
      <c r="K303" s="0" t="n">
        <v>0.2121</v>
      </c>
      <c r="L303" s="0" t="n">
        <v>0.39</v>
      </c>
      <c r="M303" s="0" t="n">
        <v>0</v>
      </c>
      <c r="N303" s="0" t="n">
        <v>2</v>
      </c>
      <c r="O303" s="0" t="n">
        <v>70</v>
      </c>
      <c r="P303" s="0" t="n">
        <v>72</v>
      </c>
    </row>
    <row r="304" customFormat="false" ht="15" hidden="false" customHeight="false" outlineLevel="0" collapsed="false">
      <c r="A304" s="0" t="n">
        <v>922</v>
      </c>
      <c r="B304" s="0" t="s">
        <v>124</v>
      </c>
      <c r="C304" s="0" t="n">
        <v>1</v>
      </c>
      <c r="D304" s="0" t="n">
        <v>0</v>
      </c>
      <c r="E304" s="0" t="n">
        <v>2</v>
      </c>
      <c r="F304" s="0" t="n">
        <v>22</v>
      </c>
      <c r="G304" s="0" t="b">
        <f aca="false">FALSE()</f>
        <v>0</v>
      </c>
      <c r="H304" s="0" t="n">
        <v>4</v>
      </c>
      <c r="I304" s="0" t="n">
        <v>1</v>
      </c>
      <c r="J304" s="0" t="n">
        <v>0.12</v>
      </c>
      <c r="K304" s="0" t="n">
        <v>0.197</v>
      </c>
      <c r="L304" s="0" t="n">
        <v>0.39</v>
      </c>
      <c r="M304" s="0" t="n">
        <v>0</v>
      </c>
      <c r="N304" s="0" t="n">
        <v>4</v>
      </c>
      <c r="O304" s="0" t="n">
        <v>47</v>
      </c>
      <c r="P304" s="0" t="n">
        <v>51</v>
      </c>
    </row>
    <row r="305" customFormat="false" ht="15" hidden="false" customHeight="false" outlineLevel="0" collapsed="false">
      <c r="A305" s="0" t="n">
        <v>923</v>
      </c>
      <c r="B305" s="0" t="s">
        <v>124</v>
      </c>
      <c r="C305" s="0" t="n">
        <v>1</v>
      </c>
      <c r="D305" s="0" t="n">
        <v>0</v>
      </c>
      <c r="E305" s="0" t="n">
        <v>2</v>
      </c>
      <c r="F305" s="0" t="n">
        <v>23</v>
      </c>
      <c r="G305" s="0" t="b">
        <f aca="false">FALSE()</f>
        <v>0</v>
      </c>
      <c r="H305" s="0" t="n">
        <v>4</v>
      </c>
      <c r="I305" s="0" t="n">
        <v>1</v>
      </c>
      <c r="J305" s="0" t="n">
        <v>0.12</v>
      </c>
      <c r="K305" s="0" t="n">
        <v>0.1515</v>
      </c>
      <c r="L305" s="0" t="n">
        <v>0.42</v>
      </c>
      <c r="M305" s="0" t="n">
        <v>0.1045</v>
      </c>
      <c r="N305" s="0" t="n">
        <v>1</v>
      </c>
      <c r="O305" s="0" t="n">
        <v>33</v>
      </c>
      <c r="P305" s="0" t="n">
        <v>34</v>
      </c>
    </row>
    <row r="306" customFormat="false" ht="15" hidden="false" customHeight="false" outlineLevel="0" collapsed="false">
      <c r="A306" s="0" t="n">
        <v>924</v>
      </c>
      <c r="B306" s="0" t="s">
        <v>125</v>
      </c>
      <c r="C306" s="0" t="n">
        <v>1</v>
      </c>
      <c r="D306" s="0" t="n">
        <v>0</v>
      </c>
      <c r="E306" s="0" t="n">
        <v>2</v>
      </c>
      <c r="F306" s="0" t="n">
        <v>0</v>
      </c>
      <c r="G306" s="0" t="b">
        <f aca="false">FALSE()</f>
        <v>0</v>
      </c>
      <c r="H306" s="0" t="n">
        <v>5</v>
      </c>
      <c r="I306" s="0" t="n">
        <v>1</v>
      </c>
      <c r="J306" s="0" t="n">
        <v>0.1</v>
      </c>
      <c r="K306" s="0" t="n">
        <v>0.1364</v>
      </c>
      <c r="L306" s="0" t="n">
        <v>0.49</v>
      </c>
      <c r="M306" s="0" t="n">
        <v>0.1045</v>
      </c>
      <c r="N306" s="0" t="n">
        <v>2</v>
      </c>
      <c r="O306" s="0" t="n">
        <v>12</v>
      </c>
      <c r="P306" s="0" t="n">
        <v>14</v>
      </c>
    </row>
    <row r="307" customFormat="false" ht="15" hidden="false" customHeight="false" outlineLevel="0" collapsed="false">
      <c r="A307" s="0" t="n">
        <v>925</v>
      </c>
      <c r="B307" s="0" t="s">
        <v>125</v>
      </c>
      <c r="C307" s="0" t="n">
        <v>1</v>
      </c>
      <c r="D307" s="0" t="n">
        <v>0</v>
      </c>
      <c r="E307" s="0" t="n">
        <v>2</v>
      </c>
      <c r="F307" s="0" t="n">
        <v>1</v>
      </c>
      <c r="G307" s="0" t="b">
        <f aca="false">FALSE()</f>
        <v>0</v>
      </c>
      <c r="H307" s="0" t="n">
        <v>5</v>
      </c>
      <c r="I307" s="0" t="n">
        <v>1</v>
      </c>
      <c r="J307" s="0" t="n">
        <v>0.1</v>
      </c>
      <c r="K307" s="0" t="n">
        <v>0.1364</v>
      </c>
      <c r="L307" s="0" t="n">
        <v>0.54</v>
      </c>
      <c r="M307" s="0" t="n">
        <v>0.0896</v>
      </c>
      <c r="N307" s="0" t="n">
        <v>1</v>
      </c>
      <c r="O307" s="0" t="n">
        <v>6</v>
      </c>
      <c r="P307" s="0" t="n">
        <v>7</v>
      </c>
    </row>
    <row r="308" customFormat="false" ht="15" hidden="false" customHeight="false" outlineLevel="0" collapsed="false">
      <c r="A308" s="0" t="n">
        <v>926</v>
      </c>
      <c r="B308" s="0" t="s">
        <v>125</v>
      </c>
      <c r="C308" s="0" t="n">
        <v>1</v>
      </c>
      <c r="D308" s="0" t="n">
        <v>0</v>
      </c>
      <c r="E308" s="0" t="n">
        <v>2</v>
      </c>
      <c r="F308" s="0" t="n">
        <v>2</v>
      </c>
      <c r="G308" s="0" t="b">
        <f aca="false">FALSE()</f>
        <v>0</v>
      </c>
      <c r="H308" s="0" t="n">
        <v>5</v>
      </c>
      <c r="I308" s="0" t="n">
        <v>1</v>
      </c>
      <c r="J308" s="0" t="n">
        <v>0.1</v>
      </c>
      <c r="K308" s="0" t="n">
        <v>0.1364</v>
      </c>
      <c r="L308" s="0" t="n">
        <v>0.54</v>
      </c>
      <c r="M308" s="0" t="n">
        <v>0.0896</v>
      </c>
      <c r="N308" s="0" t="n">
        <v>0</v>
      </c>
      <c r="O308" s="0" t="n">
        <v>3</v>
      </c>
      <c r="P308" s="0" t="n">
        <v>3</v>
      </c>
    </row>
    <row r="309" customFormat="false" ht="15" hidden="false" customHeight="false" outlineLevel="0" collapsed="false">
      <c r="A309" s="0" t="n">
        <v>927</v>
      </c>
      <c r="B309" s="0" t="s">
        <v>125</v>
      </c>
      <c r="C309" s="0" t="n">
        <v>1</v>
      </c>
      <c r="D309" s="0" t="n">
        <v>0</v>
      </c>
      <c r="E309" s="0" t="n">
        <v>2</v>
      </c>
      <c r="F309" s="0" t="n">
        <v>5</v>
      </c>
      <c r="G309" s="0" t="b">
        <f aca="false">FALSE()</f>
        <v>0</v>
      </c>
      <c r="H309" s="0" t="n">
        <v>5</v>
      </c>
      <c r="I309" s="0" t="n">
        <v>1</v>
      </c>
      <c r="J309" s="0" t="n">
        <v>0.08</v>
      </c>
      <c r="K309" s="0" t="n">
        <v>0.1212</v>
      </c>
      <c r="L309" s="0" t="n">
        <v>0.63</v>
      </c>
      <c r="M309" s="0" t="n">
        <v>0.0896</v>
      </c>
      <c r="N309" s="0" t="n">
        <v>0</v>
      </c>
      <c r="O309" s="0" t="n">
        <v>4</v>
      </c>
      <c r="P309" s="0" t="n">
        <v>4</v>
      </c>
    </row>
    <row r="310" customFormat="false" ht="15" hidden="false" customHeight="false" outlineLevel="0" collapsed="false">
      <c r="A310" s="0" t="n">
        <v>928</v>
      </c>
      <c r="B310" s="0" t="s">
        <v>125</v>
      </c>
      <c r="C310" s="0" t="n">
        <v>1</v>
      </c>
      <c r="D310" s="0" t="n">
        <v>0</v>
      </c>
      <c r="E310" s="0" t="n">
        <v>2</v>
      </c>
      <c r="F310" s="0" t="n">
        <v>6</v>
      </c>
      <c r="G310" s="0" t="b">
        <f aca="false">FALSE()</f>
        <v>0</v>
      </c>
      <c r="H310" s="0" t="n">
        <v>5</v>
      </c>
      <c r="I310" s="0" t="n">
        <v>1</v>
      </c>
      <c r="J310" s="0" t="n">
        <v>0.1</v>
      </c>
      <c r="K310" s="0" t="n">
        <v>0.1818</v>
      </c>
      <c r="L310" s="0" t="n">
        <v>0.68</v>
      </c>
      <c r="M310" s="0" t="n">
        <v>0</v>
      </c>
      <c r="N310" s="0" t="n">
        <v>1</v>
      </c>
      <c r="O310" s="0" t="n">
        <v>23</v>
      </c>
      <c r="P310" s="0" t="n">
        <v>24</v>
      </c>
    </row>
    <row r="311" customFormat="false" ht="15" hidden="false" customHeight="false" outlineLevel="0" collapsed="false">
      <c r="A311" s="0" t="n">
        <v>929</v>
      </c>
      <c r="B311" s="0" t="s">
        <v>125</v>
      </c>
      <c r="C311" s="0" t="n">
        <v>1</v>
      </c>
      <c r="D311" s="0" t="n">
        <v>0</v>
      </c>
      <c r="E311" s="0" t="n">
        <v>2</v>
      </c>
      <c r="F311" s="0" t="n">
        <v>7</v>
      </c>
      <c r="G311" s="0" t="b">
        <f aca="false">FALSE()</f>
        <v>0</v>
      </c>
      <c r="H311" s="0" t="n">
        <v>5</v>
      </c>
      <c r="I311" s="0" t="n">
        <v>1</v>
      </c>
      <c r="J311" s="0" t="n">
        <v>0.08</v>
      </c>
      <c r="K311" s="0" t="n">
        <v>0.1667</v>
      </c>
      <c r="L311" s="0" t="n">
        <v>0.73</v>
      </c>
      <c r="M311" s="0" t="n">
        <v>0</v>
      </c>
      <c r="N311" s="0" t="n">
        <v>1</v>
      </c>
      <c r="O311" s="0" t="n">
        <v>73</v>
      </c>
      <c r="P311" s="0" t="n">
        <v>74</v>
      </c>
    </row>
    <row r="312" customFormat="false" ht="15" hidden="false" customHeight="false" outlineLevel="0" collapsed="false">
      <c r="A312" s="0" t="n">
        <v>930</v>
      </c>
      <c r="B312" s="0" t="s">
        <v>125</v>
      </c>
      <c r="C312" s="0" t="n">
        <v>1</v>
      </c>
      <c r="D312" s="0" t="n">
        <v>0</v>
      </c>
      <c r="E312" s="0" t="n">
        <v>2</v>
      </c>
      <c r="F312" s="0" t="n">
        <v>8</v>
      </c>
      <c r="G312" s="0" t="b">
        <f aca="false">FALSE()</f>
        <v>0</v>
      </c>
      <c r="H312" s="0" t="n">
        <v>5</v>
      </c>
      <c r="I312" s="0" t="n">
        <v>1</v>
      </c>
      <c r="J312" s="0" t="n">
        <v>0.1</v>
      </c>
      <c r="K312" s="0" t="n">
        <v>0.1212</v>
      </c>
      <c r="L312" s="0" t="n">
        <v>0.74</v>
      </c>
      <c r="M312" s="0" t="n">
        <v>0.1642</v>
      </c>
      <c r="N312" s="0" t="n">
        <v>4</v>
      </c>
      <c r="O312" s="0" t="n">
        <v>212</v>
      </c>
      <c r="P312" s="0" t="n">
        <v>216</v>
      </c>
    </row>
    <row r="313" customFormat="false" ht="15" hidden="false" customHeight="false" outlineLevel="0" collapsed="false">
      <c r="A313" s="0" t="n">
        <v>931</v>
      </c>
      <c r="B313" s="0" t="s">
        <v>125</v>
      </c>
      <c r="C313" s="0" t="n">
        <v>1</v>
      </c>
      <c r="D313" s="0" t="n">
        <v>0</v>
      </c>
      <c r="E313" s="0" t="n">
        <v>2</v>
      </c>
      <c r="F313" s="0" t="n">
        <v>9</v>
      </c>
      <c r="G313" s="0" t="b">
        <f aca="false">FALSE()</f>
        <v>0</v>
      </c>
      <c r="H313" s="0" t="n">
        <v>5</v>
      </c>
      <c r="I313" s="0" t="n">
        <v>1</v>
      </c>
      <c r="J313" s="0" t="n">
        <v>0.12</v>
      </c>
      <c r="K313" s="0" t="n">
        <v>0.1212</v>
      </c>
      <c r="L313" s="0" t="n">
        <v>0.74</v>
      </c>
      <c r="M313" s="0" t="n">
        <v>0.2239</v>
      </c>
      <c r="N313" s="0" t="n">
        <v>8</v>
      </c>
      <c r="O313" s="0" t="n">
        <v>132</v>
      </c>
      <c r="P313" s="0" t="n">
        <v>140</v>
      </c>
    </row>
    <row r="314" customFormat="false" ht="15" hidden="false" customHeight="false" outlineLevel="0" collapsed="false">
      <c r="A314" s="0" t="n">
        <v>932</v>
      </c>
      <c r="B314" s="0" t="s">
        <v>125</v>
      </c>
      <c r="C314" s="0" t="n">
        <v>1</v>
      </c>
      <c r="D314" s="0" t="n">
        <v>0</v>
      </c>
      <c r="E314" s="0" t="n">
        <v>2</v>
      </c>
      <c r="F314" s="0" t="n">
        <v>10</v>
      </c>
      <c r="G314" s="0" t="b">
        <f aca="false">FALSE()</f>
        <v>0</v>
      </c>
      <c r="H314" s="0" t="n">
        <v>5</v>
      </c>
      <c r="I314" s="0" t="n">
        <v>1</v>
      </c>
      <c r="J314" s="0" t="n">
        <v>0.14</v>
      </c>
      <c r="K314" s="0" t="n">
        <v>0.1364</v>
      </c>
      <c r="L314" s="0" t="n">
        <v>0.69</v>
      </c>
      <c r="M314" s="0" t="n">
        <v>0.194</v>
      </c>
      <c r="N314" s="0" t="n">
        <v>5</v>
      </c>
      <c r="O314" s="0" t="n">
        <v>39</v>
      </c>
      <c r="P314" s="0" t="n">
        <v>44</v>
      </c>
    </row>
    <row r="315" customFormat="false" ht="15" hidden="false" customHeight="false" outlineLevel="0" collapsed="false">
      <c r="A315" s="0" t="n">
        <v>933</v>
      </c>
      <c r="B315" s="0" t="s">
        <v>125</v>
      </c>
      <c r="C315" s="0" t="n">
        <v>1</v>
      </c>
      <c r="D315" s="0" t="n">
        <v>0</v>
      </c>
      <c r="E315" s="0" t="n">
        <v>2</v>
      </c>
      <c r="F315" s="0" t="n">
        <v>11</v>
      </c>
      <c r="G315" s="0" t="b">
        <f aca="false">FALSE()</f>
        <v>0</v>
      </c>
      <c r="H315" s="0" t="n">
        <v>5</v>
      </c>
      <c r="I315" s="0" t="n">
        <v>1</v>
      </c>
      <c r="J315" s="0" t="n">
        <v>0.22</v>
      </c>
      <c r="K315" s="0" t="n">
        <v>0.2273</v>
      </c>
      <c r="L315" s="0" t="n">
        <v>0.47</v>
      </c>
      <c r="M315" s="0" t="n">
        <v>0.1343</v>
      </c>
      <c r="N315" s="0" t="n">
        <v>12</v>
      </c>
      <c r="O315" s="0" t="n">
        <v>52</v>
      </c>
      <c r="P315" s="0" t="n">
        <v>64</v>
      </c>
    </row>
    <row r="316" customFormat="false" ht="15" hidden="false" customHeight="false" outlineLevel="0" collapsed="false">
      <c r="A316" s="0" t="n">
        <v>934</v>
      </c>
      <c r="B316" s="0" t="s">
        <v>125</v>
      </c>
      <c r="C316" s="0" t="n">
        <v>1</v>
      </c>
      <c r="D316" s="0" t="n">
        <v>0</v>
      </c>
      <c r="E316" s="0" t="n">
        <v>2</v>
      </c>
      <c r="F316" s="0" t="n">
        <v>12</v>
      </c>
      <c r="G316" s="0" t="b">
        <f aca="false">FALSE()</f>
        <v>0</v>
      </c>
      <c r="H316" s="0" t="n">
        <v>5</v>
      </c>
      <c r="I316" s="0" t="n">
        <v>1</v>
      </c>
      <c r="J316" s="0" t="n">
        <v>0.22</v>
      </c>
      <c r="K316" s="0" t="n">
        <v>0.2273</v>
      </c>
      <c r="L316" s="0" t="n">
        <v>0.47</v>
      </c>
      <c r="M316" s="0" t="n">
        <v>0.1343</v>
      </c>
      <c r="N316" s="0" t="n">
        <v>7</v>
      </c>
      <c r="O316" s="0" t="n">
        <v>64</v>
      </c>
      <c r="P316" s="0" t="n">
        <v>71</v>
      </c>
    </row>
    <row r="317" customFormat="false" ht="15" hidden="false" customHeight="false" outlineLevel="0" collapsed="false">
      <c r="A317" s="0" t="n">
        <v>935</v>
      </c>
      <c r="B317" s="0" t="s">
        <v>125</v>
      </c>
      <c r="C317" s="0" t="n">
        <v>1</v>
      </c>
      <c r="D317" s="0" t="n">
        <v>0</v>
      </c>
      <c r="E317" s="0" t="n">
        <v>2</v>
      </c>
      <c r="F317" s="0" t="n">
        <v>13</v>
      </c>
      <c r="G317" s="0" t="b">
        <f aca="false">FALSE()</f>
        <v>0</v>
      </c>
      <c r="H317" s="0" t="n">
        <v>5</v>
      </c>
      <c r="I317" s="0" t="n">
        <v>1</v>
      </c>
      <c r="J317" s="0" t="n">
        <v>0.24</v>
      </c>
      <c r="K317" s="0" t="n">
        <v>0.2273</v>
      </c>
      <c r="L317" s="0" t="n">
        <v>0.35</v>
      </c>
      <c r="M317" s="0" t="n">
        <v>0.194</v>
      </c>
      <c r="N317" s="0" t="n">
        <v>21</v>
      </c>
      <c r="O317" s="0" t="n">
        <v>89</v>
      </c>
      <c r="P317" s="0" t="n">
        <v>110</v>
      </c>
    </row>
    <row r="318" customFormat="false" ht="15" hidden="false" customHeight="false" outlineLevel="0" collapsed="false">
      <c r="A318" s="0" t="n">
        <v>936</v>
      </c>
      <c r="B318" s="0" t="s">
        <v>125</v>
      </c>
      <c r="C318" s="0" t="n">
        <v>1</v>
      </c>
      <c r="D318" s="0" t="n">
        <v>0</v>
      </c>
      <c r="E318" s="0" t="n">
        <v>2</v>
      </c>
      <c r="F318" s="0" t="n">
        <v>14</v>
      </c>
      <c r="G318" s="0" t="b">
        <f aca="false">FALSE()</f>
        <v>0</v>
      </c>
      <c r="H318" s="0" t="n">
        <v>5</v>
      </c>
      <c r="I318" s="0" t="n">
        <v>1</v>
      </c>
      <c r="J318" s="0" t="n">
        <v>0.3</v>
      </c>
      <c r="K318" s="0" t="n">
        <v>0.2879</v>
      </c>
      <c r="L318" s="0" t="n">
        <v>0.26</v>
      </c>
      <c r="M318" s="0" t="n">
        <v>0.2537</v>
      </c>
      <c r="N318" s="0" t="n">
        <v>17</v>
      </c>
      <c r="O318" s="0" t="n">
        <v>67</v>
      </c>
      <c r="P318" s="0" t="n">
        <v>84</v>
      </c>
    </row>
    <row r="319" customFormat="false" ht="15" hidden="false" customHeight="false" outlineLevel="0" collapsed="false">
      <c r="A319" s="0" t="n">
        <v>937</v>
      </c>
      <c r="B319" s="0" t="s">
        <v>125</v>
      </c>
      <c r="C319" s="0" t="n">
        <v>1</v>
      </c>
      <c r="D319" s="0" t="n">
        <v>0</v>
      </c>
      <c r="E319" s="0" t="n">
        <v>2</v>
      </c>
      <c r="F319" s="0" t="n">
        <v>15</v>
      </c>
      <c r="G319" s="0" t="b">
        <f aca="false">FALSE()</f>
        <v>0</v>
      </c>
      <c r="H319" s="0" t="n">
        <v>5</v>
      </c>
      <c r="I319" s="0" t="n">
        <v>1</v>
      </c>
      <c r="J319" s="0" t="n">
        <v>0.32</v>
      </c>
      <c r="K319" s="0" t="n">
        <v>0.3182</v>
      </c>
      <c r="L319" s="0" t="n">
        <v>0.21</v>
      </c>
      <c r="M319" s="0" t="n">
        <v>0.1642</v>
      </c>
      <c r="N319" s="0" t="n">
        <v>12</v>
      </c>
      <c r="O319" s="0" t="n">
        <v>62</v>
      </c>
      <c r="P319" s="0" t="n">
        <v>74</v>
      </c>
    </row>
    <row r="320" customFormat="false" ht="15" hidden="false" customHeight="false" outlineLevel="0" collapsed="false">
      <c r="A320" s="0" t="n">
        <v>938</v>
      </c>
      <c r="B320" s="0" t="s">
        <v>125</v>
      </c>
      <c r="C320" s="0" t="n">
        <v>1</v>
      </c>
      <c r="D320" s="0" t="n">
        <v>0</v>
      </c>
      <c r="E320" s="0" t="n">
        <v>2</v>
      </c>
      <c r="F320" s="0" t="n">
        <v>16</v>
      </c>
      <c r="G320" s="0" t="b">
        <f aca="false">FALSE()</f>
        <v>0</v>
      </c>
      <c r="H320" s="0" t="n">
        <v>5</v>
      </c>
      <c r="I320" s="0" t="n">
        <v>1</v>
      </c>
      <c r="J320" s="0" t="n">
        <v>0.3</v>
      </c>
      <c r="K320" s="0" t="n">
        <v>0.2879</v>
      </c>
      <c r="L320" s="0" t="n">
        <v>0.28</v>
      </c>
      <c r="M320" s="0" t="n">
        <v>0.194</v>
      </c>
      <c r="N320" s="0" t="n">
        <v>14</v>
      </c>
      <c r="O320" s="0" t="n">
        <v>111</v>
      </c>
      <c r="P320" s="0" t="n">
        <v>125</v>
      </c>
    </row>
    <row r="321" customFormat="false" ht="15" hidden="false" customHeight="false" outlineLevel="0" collapsed="false">
      <c r="A321" s="0" t="n">
        <v>939</v>
      </c>
      <c r="B321" s="0" t="s">
        <v>125</v>
      </c>
      <c r="C321" s="0" t="n">
        <v>1</v>
      </c>
      <c r="D321" s="0" t="n">
        <v>0</v>
      </c>
      <c r="E321" s="0" t="n">
        <v>2</v>
      </c>
      <c r="F321" s="0" t="n">
        <v>17</v>
      </c>
      <c r="G321" s="0" t="b">
        <f aca="false">FALSE()</f>
        <v>0</v>
      </c>
      <c r="H321" s="0" t="n">
        <v>5</v>
      </c>
      <c r="I321" s="0" t="n">
        <v>1</v>
      </c>
      <c r="J321" s="0" t="n">
        <v>0.3</v>
      </c>
      <c r="K321" s="0" t="n">
        <v>0.3333</v>
      </c>
      <c r="L321" s="0" t="n">
        <v>0.24</v>
      </c>
      <c r="M321" s="0" t="n">
        <v>0</v>
      </c>
      <c r="N321" s="0" t="n">
        <v>18</v>
      </c>
      <c r="O321" s="0" t="n">
        <v>193</v>
      </c>
      <c r="P321" s="0" t="n">
        <v>211</v>
      </c>
    </row>
    <row r="322" customFormat="false" ht="15" hidden="false" customHeight="false" outlineLevel="0" collapsed="false">
      <c r="A322" s="0" t="n">
        <v>940</v>
      </c>
      <c r="B322" s="0" t="s">
        <v>125</v>
      </c>
      <c r="C322" s="0" t="n">
        <v>1</v>
      </c>
      <c r="D322" s="0" t="n">
        <v>0</v>
      </c>
      <c r="E322" s="0" t="n">
        <v>2</v>
      </c>
      <c r="F322" s="0" t="n">
        <v>18</v>
      </c>
      <c r="G322" s="0" t="b">
        <f aca="false">FALSE()</f>
        <v>0</v>
      </c>
      <c r="H322" s="0" t="n">
        <v>5</v>
      </c>
      <c r="I322" s="0" t="n">
        <v>1</v>
      </c>
      <c r="J322" s="0" t="n">
        <v>0.28</v>
      </c>
      <c r="K322" s="0" t="n">
        <v>0.3182</v>
      </c>
      <c r="L322" s="0" t="n">
        <v>0.28</v>
      </c>
      <c r="M322" s="0" t="n">
        <v>0</v>
      </c>
      <c r="N322" s="0" t="n">
        <v>9</v>
      </c>
      <c r="O322" s="0" t="n">
        <v>165</v>
      </c>
      <c r="P322" s="0" t="n">
        <v>174</v>
      </c>
    </row>
    <row r="323" customFormat="false" ht="15" hidden="false" customHeight="false" outlineLevel="0" collapsed="false">
      <c r="A323" s="0" t="n">
        <v>941</v>
      </c>
      <c r="B323" s="0" t="s">
        <v>125</v>
      </c>
      <c r="C323" s="0" t="n">
        <v>1</v>
      </c>
      <c r="D323" s="0" t="n">
        <v>0</v>
      </c>
      <c r="E323" s="0" t="n">
        <v>2</v>
      </c>
      <c r="F323" s="0" t="n">
        <v>19</v>
      </c>
      <c r="G323" s="0" t="b">
        <f aca="false">FALSE()</f>
        <v>0</v>
      </c>
      <c r="H323" s="0" t="n">
        <v>5</v>
      </c>
      <c r="I323" s="0" t="n">
        <v>1</v>
      </c>
      <c r="J323" s="0" t="n">
        <v>0.26</v>
      </c>
      <c r="K323" s="0" t="n">
        <v>0.303</v>
      </c>
      <c r="L323" s="0" t="n">
        <v>0.33</v>
      </c>
      <c r="M323" s="0" t="n">
        <v>0</v>
      </c>
      <c r="N323" s="0" t="n">
        <v>7</v>
      </c>
      <c r="O323" s="0" t="n">
        <v>94</v>
      </c>
      <c r="P323" s="0" t="n">
        <v>101</v>
      </c>
    </row>
    <row r="324" customFormat="false" ht="15" hidden="false" customHeight="false" outlineLevel="0" collapsed="false">
      <c r="A324" s="0" t="n">
        <v>942</v>
      </c>
      <c r="B324" s="0" t="s">
        <v>125</v>
      </c>
      <c r="C324" s="0" t="n">
        <v>1</v>
      </c>
      <c r="D324" s="0" t="n">
        <v>0</v>
      </c>
      <c r="E324" s="0" t="n">
        <v>2</v>
      </c>
      <c r="F324" s="0" t="n">
        <v>20</v>
      </c>
      <c r="G324" s="0" t="b">
        <f aca="false">FALSE()</f>
        <v>0</v>
      </c>
      <c r="H324" s="0" t="n">
        <v>5</v>
      </c>
      <c r="I324" s="0" t="n">
        <v>1</v>
      </c>
      <c r="J324" s="0" t="n">
        <v>0.22</v>
      </c>
      <c r="K324" s="0" t="n">
        <v>0.2273</v>
      </c>
      <c r="L324" s="0" t="n">
        <v>0.55</v>
      </c>
      <c r="M324" s="0" t="n">
        <v>0.1343</v>
      </c>
      <c r="N324" s="0" t="n">
        <v>2</v>
      </c>
      <c r="O324" s="0" t="n">
        <v>61</v>
      </c>
      <c r="P324" s="0" t="n">
        <v>63</v>
      </c>
    </row>
    <row r="325" customFormat="false" ht="15" hidden="false" customHeight="false" outlineLevel="0" collapsed="false">
      <c r="A325" s="0" t="n">
        <v>943</v>
      </c>
      <c r="B325" s="0" t="s">
        <v>125</v>
      </c>
      <c r="C325" s="0" t="n">
        <v>1</v>
      </c>
      <c r="D325" s="0" t="n">
        <v>0</v>
      </c>
      <c r="E325" s="0" t="n">
        <v>2</v>
      </c>
      <c r="F325" s="0" t="n">
        <v>21</v>
      </c>
      <c r="G325" s="0" t="b">
        <f aca="false">FALSE()</f>
        <v>0</v>
      </c>
      <c r="H325" s="0" t="n">
        <v>5</v>
      </c>
      <c r="I325" s="0" t="n">
        <v>1</v>
      </c>
      <c r="J325" s="0" t="n">
        <v>0.2</v>
      </c>
      <c r="K325" s="0" t="n">
        <v>0.2121</v>
      </c>
      <c r="L325" s="0" t="n">
        <v>0.59</v>
      </c>
      <c r="M325" s="0" t="n">
        <v>0.1343</v>
      </c>
      <c r="N325" s="0" t="n">
        <v>1</v>
      </c>
      <c r="O325" s="0" t="n">
        <v>46</v>
      </c>
      <c r="P325" s="0" t="n">
        <v>47</v>
      </c>
    </row>
    <row r="326" customFormat="false" ht="15" hidden="false" customHeight="false" outlineLevel="0" collapsed="false">
      <c r="A326" s="0" t="n">
        <v>944</v>
      </c>
      <c r="B326" s="0" t="s">
        <v>125</v>
      </c>
      <c r="C326" s="0" t="n">
        <v>1</v>
      </c>
      <c r="D326" s="0" t="n">
        <v>0</v>
      </c>
      <c r="E326" s="0" t="n">
        <v>2</v>
      </c>
      <c r="F326" s="0" t="n">
        <v>22</v>
      </c>
      <c r="G326" s="0" t="b">
        <f aca="false">FALSE()</f>
        <v>0</v>
      </c>
      <c r="H326" s="0" t="n">
        <v>5</v>
      </c>
      <c r="I326" s="0" t="n">
        <v>1</v>
      </c>
      <c r="J326" s="0" t="n">
        <v>0.2</v>
      </c>
      <c r="K326" s="0" t="n">
        <v>0.2273</v>
      </c>
      <c r="L326" s="0" t="n">
        <v>0.64</v>
      </c>
      <c r="M326" s="0" t="n">
        <v>0.0896</v>
      </c>
      <c r="N326" s="0" t="n">
        <v>2</v>
      </c>
      <c r="O326" s="0" t="n">
        <v>41</v>
      </c>
      <c r="P326" s="0" t="n">
        <v>43</v>
      </c>
    </row>
    <row r="327" customFormat="false" ht="15" hidden="false" customHeight="false" outlineLevel="0" collapsed="false">
      <c r="A327" s="0" t="n">
        <v>945</v>
      </c>
      <c r="B327" s="0" t="s">
        <v>125</v>
      </c>
      <c r="C327" s="0" t="n">
        <v>1</v>
      </c>
      <c r="D327" s="0" t="n">
        <v>0</v>
      </c>
      <c r="E327" s="0" t="n">
        <v>2</v>
      </c>
      <c r="F327" s="0" t="n">
        <v>23</v>
      </c>
      <c r="G327" s="0" t="b">
        <f aca="false">FALSE()</f>
        <v>0</v>
      </c>
      <c r="H327" s="0" t="n">
        <v>5</v>
      </c>
      <c r="I327" s="0" t="n">
        <v>1</v>
      </c>
      <c r="J327" s="0" t="n">
        <v>0.18</v>
      </c>
      <c r="K327" s="0" t="n">
        <v>0.2424</v>
      </c>
      <c r="L327" s="0" t="n">
        <v>0.69</v>
      </c>
      <c r="M327" s="0" t="n">
        <v>0</v>
      </c>
      <c r="N327" s="0" t="n">
        <v>5</v>
      </c>
      <c r="O327" s="0" t="n">
        <v>48</v>
      </c>
      <c r="P327" s="0" t="n">
        <v>53</v>
      </c>
    </row>
    <row r="328" customFormat="false" ht="15" hidden="false" customHeight="false" outlineLevel="0" collapsed="false">
      <c r="A328" s="0" t="n">
        <v>946</v>
      </c>
      <c r="B328" s="0" t="s">
        <v>126</v>
      </c>
      <c r="C328" s="0" t="n">
        <v>1</v>
      </c>
      <c r="D328" s="0" t="n">
        <v>0</v>
      </c>
      <c r="E328" s="0" t="n">
        <v>2</v>
      </c>
      <c r="F328" s="0" t="n">
        <v>0</v>
      </c>
      <c r="G328" s="0" t="b">
        <f aca="false">FALSE()</f>
        <v>0</v>
      </c>
      <c r="H328" s="0" t="n">
        <v>6</v>
      </c>
      <c r="I328" s="0" t="n">
        <v>1</v>
      </c>
      <c r="J328" s="0" t="n">
        <v>0.16</v>
      </c>
      <c r="K328" s="0" t="n">
        <v>0.197</v>
      </c>
      <c r="L328" s="0" t="n">
        <v>0.69</v>
      </c>
      <c r="M328" s="0" t="n">
        <v>0.0896</v>
      </c>
      <c r="N328" s="0" t="n">
        <v>3</v>
      </c>
      <c r="O328" s="0" t="n">
        <v>27</v>
      </c>
      <c r="P328" s="0" t="n">
        <v>30</v>
      </c>
    </row>
    <row r="329" customFormat="false" ht="15" hidden="false" customHeight="false" outlineLevel="0" collapsed="false">
      <c r="A329" s="0" t="n">
        <v>947</v>
      </c>
      <c r="B329" s="0" t="s">
        <v>126</v>
      </c>
      <c r="C329" s="0" t="n">
        <v>1</v>
      </c>
      <c r="D329" s="0" t="n">
        <v>0</v>
      </c>
      <c r="E329" s="0" t="n">
        <v>2</v>
      </c>
      <c r="F329" s="0" t="n">
        <v>1</v>
      </c>
      <c r="G329" s="0" t="b">
        <f aca="false">FALSE()</f>
        <v>0</v>
      </c>
      <c r="H329" s="0" t="n">
        <v>6</v>
      </c>
      <c r="I329" s="0" t="n">
        <v>1</v>
      </c>
      <c r="J329" s="0" t="n">
        <v>0.14</v>
      </c>
      <c r="K329" s="0" t="n">
        <v>0.2121</v>
      </c>
      <c r="L329" s="0" t="n">
        <v>0.86</v>
      </c>
      <c r="M329" s="0" t="n">
        <v>0</v>
      </c>
      <c r="N329" s="0" t="n">
        <v>2</v>
      </c>
      <c r="O329" s="0" t="n">
        <v>22</v>
      </c>
      <c r="P329" s="0" t="n">
        <v>24</v>
      </c>
    </row>
    <row r="330" customFormat="false" ht="15" hidden="false" customHeight="false" outlineLevel="0" collapsed="false">
      <c r="A330" s="0" t="n">
        <v>948</v>
      </c>
      <c r="B330" s="0" t="s">
        <v>126</v>
      </c>
      <c r="C330" s="0" t="n">
        <v>1</v>
      </c>
      <c r="D330" s="0" t="n">
        <v>0</v>
      </c>
      <c r="E330" s="0" t="n">
        <v>2</v>
      </c>
      <c r="F330" s="0" t="n">
        <v>2</v>
      </c>
      <c r="G330" s="0" t="b">
        <f aca="false">FALSE()</f>
        <v>0</v>
      </c>
      <c r="H330" s="0" t="n">
        <v>6</v>
      </c>
      <c r="I330" s="0" t="n">
        <v>1</v>
      </c>
      <c r="J330" s="0" t="n">
        <v>0.14</v>
      </c>
      <c r="K330" s="0" t="n">
        <v>0.2121</v>
      </c>
      <c r="L330" s="0" t="n">
        <v>0.8</v>
      </c>
      <c r="M330" s="0" t="n">
        <v>0</v>
      </c>
      <c r="N330" s="0" t="n">
        <v>2</v>
      </c>
      <c r="O330" s="0" t="n">
        <v>13</v>
      </c>
      <c r="P330" s="0" t="n">
        <v>15</v>
      </c>
    </row>
    <row r="331" customFormat="false" ht="15" hidden="false" customHeight="false" outlineLevel="0" collapsed="false">
      <c r="A331" s="0" t="n">
        <v>949</v>
      </c>
      <c r="B331" s="0" t="s">
        <v>126</v>
      </c>
      <c r="C331" s="0" t="n">
        <v>1</v>
      </c>
      <c r="D331" s="0" t="n">
        <v>0</v>
      </c>
      <c r="E331" s="0" t="n">
        <v>2</v>
      </c>
      <c r="F331" s="0" t="n">
        <v>3</v>
      </c>
      <c r="G331" s="0" t="b">
        <f aca="false">FALSE()</f>
        <v>0</v>
      </c>
      <c r="H331" s="0" t="n">
        <v>6</v>
      </c>
      <c r="I331" s="0" t="n">
        <v>1</v>
      </c>
      <c r="J331" s="0" t="n">
        <v>0.12</v>
      </c>
      <c r="K331" s="0" t="n">
        <v>0.197</v>
      </c>
      <c r="L331" s="0" t="n">
        <v>0.8</v>
      </c>
      <c r="M331" s="0" t="n">
        <v>0</v>
      </c>
      <c r="N331" s="0" t="n">
        <v>3</v>
      </c>
      <c r="O331" s="0" t="n">
        <v>7</v>
      </c>
      <c r="P331" s="0" t="n">
        <v>10</v>
      </c>
    </row>
    <row r="332" customFormat="false" ht="15" hidden="false" customHeight="false" outlineLevel="0" collapsed="false">
      <c r="A332" s="0" t="n">
        <v>950</v>
      </c>
      <c r="B332" s="0" t="s">
        <v>126</v>
      </c>
      <c r="C332" s="0" t="n">
        <v>1</v>
      </c>
      <c r="D332" s="0" t="n">
        <v>0</v>
      </c>
      <c r="E332" s="0" t="n">
        <v>2</v>
      </c>
      <c r="F332" s="0" t="n">
        <v>4</v>
      </c>
      <c r="G332" s="0" t="b">
        <f aca="false">FALSE()</f>
        <v>0</v>
      </c>
      <c r="H332" s="0" t="n">
        <v>6</v>
      </c>
      <c r="I332" s="0" t="n">
        <v>1</v>
      </c>
      <c r="J332" s="0" t="n">
        <v>0.12</v>
      </c>
      <c r="K332" s="0" t="n">
        <v>0.1667</v>
      </c>
      <c r="L332" s="0" t="n">
        <v>0.74</v>
      </c>
      <c r="M332" s="0" t="n">
        <v>0.0896</v>
      </c>
      <c r="N332" s="0" t="n">
        <v>0</v>
      </c>
      <c r="O332" s="0" t="n">
        <v>4</v>
      </c>
      <c r="P332" s="0" t="n">
        <v>4</v>
      </c>
    </row>
    <row r="333" customFormat="false" ht="15" hidden="false" customHeight="false" outlineLevel="0" collapsed="false">
      <c r="A333" s="0" t="n">
        <v>951</v>
      </c>
      <c r="B333" s="0" t="s">
        <v>126</v>
      </c>
      <c r="C333" s="0" t="n">
        <v>1</v>
      </c>
      <c r="D333" s="0" t="n">
        <v>0</v>
      </c>
      <c r="E333" s="0" t="n">
        <v>2</v>
      </c>
      <c r="F333" s="0" t="n">
        <v>5</v>
      </c>
      <c r="G333" s="0" t="b">
        <f aca="false">FALSE()</f>
        <v>0</v>
      </c>
      <c r="H333" s="0" t="n">
        <v>6</v>
      </c>
      <c r="I333" s="0" t="n">
        <v>1</v>
      </c>
      <c r="J333" s="0" t="n">
        <v>0.12</v>
      </c>
      <c r="K333" s="0" t="n">
        <v>0.1667</v>
      </c>
      <c r="L333" s="0" t="n">
        <v>0.74</v>
      </c>
      <c r="M333" s="0" t="n">
        <v>0.0896</v>
      </c>
      <c r="N333" s="0" t="n">
        <v>0</v>
      </c>
      <c r="O333" s="0" t="n">
        <v>1</v>
      </c>
      <c r="P333" s="0" t="n">
        <v>1</v>
      </c>
    </row>
    <row r="334" customFormat="false" ht="15" hidden="false" customHeight="false" outlineLevel="0" collapsed="false">
      <c r="A334" s="0" t="n">
        <v>952</v>
      </c>
      <c r="B334" s="0" t="s">
        <v>126</v>
      </c>
      <c r="C334" s="0" t="n">
        <v>1</v>
      </c>
      <c r="D334" s="0" t="n">
        <v>0</v>
      </c>
      <c r="E334" s="0" t="n">
        <v>2</v>
      </c>
      <c r="F334" s="0" t="n">
        <v>6</v>
      </c>
      <c r="G334" s="0" t="b">
        <f aca="false">FALSE()</f>
        <v>0</v>
      </c>
      <c r="H334" s="0" t="n">
        <v>6</v>
      </c>
      <c r="I334" s="0" t="n">
        <v>1</v>
      </c>
      <c r="J334" s="0" t="n">
        <v>0.12</v>
      </c>
      <c r="K334" s="0" t="n">
        <v>0.1364</v>
      </c>
      <c r="L334" s="0" t="n">
        <v>0.93</v>
      </c>
      <c r="M334" s="0" t="n">
        <v>0.194</v>
      </c>
      <c r="N334" s="0" t="n">
        <v>1</v>
      </c>
      <c r="O334" s="0" t="n">
        <v>1</v>
      </c>
      <c r="P334" s="0" t="n">
        <v>2</v>
      </c>
    </row>
    <row r="335" customFormat="false" ht="15" hidden="false" customHeight="false" outlineLevel="0" collapsed="false">
      <c r="A335" s="0" t="n">
        <v>953</v>
      </c>
      <c r="B335" s="0" t="s">
        <v>126</v>
      </c>
      <c r="C335" s="0" t="n">
        <v>1</v>
      </c>
      <c r="D335" s="0" t="n">
        <v>0</v>
      </c>
      <c r="E335" s="0" t="n">
        <v>2</v>
      </c>
      <c r="F335" s="0" t="n">
        <v>7</v>
      </c>
      <c r="G335" s="0" t="b">
        <f aca="false">FALSE()</f>
        <v>0</v>
      </c>
      <c r="H335" s="0" t="n">
        <v>6</v>
      </c>
      <c r="I335" s="0" t="n">
        <v>1</v>
      </c>
      <c r="J335" s="0" t="n">
        <v>0.12</v>
      </c>
      <c r="K335" s="0" t="n">
        <v>0.1515</v>
      </c>
      <c r="L335" s="0" t="n">
        <v>0.8</v>
      </c>
      <c r="M335" s="0" t="n">
        <v>0.1045</v>
      </c>
      <c r="N335" s="0" t="n">
        <v>2</v>
      </c>
      <c r="O335" s="0" t="n">
        <v>9</v>
      </c>
      <c r="P335" s="0" t="n">
        <v>11</v>
      </c>
    </row>
    <row r="336" customFormat="false" ht="15" hidden="false" customHeight="false" outlineLevel="0" collapsed="false">
      <c r="A336" s="0" t="n">
        <v>954</v>
      </c>
      <c r="B336" s="0" t="s">
        <v>126</v>
      </c>
      <c r="C336" s="0" t="n">
        <v>1</v>
      </c>
      <c r="D336" s="0" t="n">
        <v>0</v>
      </c>
      <c r="E336" s="0" t="n">
        <v>2</v>
      </c>
      <c r="F336" s="0" t="n">
        <v>8</v>
      </c>
      <c r="G336" s="0" t="b">
        <f aca="false">FALSE()</f>
        <v>0</v>
      </c>
      <c r="H336" s="0" t="n">
        <v>6</v>
      </c>
      <c r="I336" s="0" t="n">
        <v>1</v>
      </c>
      <c r="J336" s="0" t="n">
        <v>0.14</v>
      </c>
      <c r="K336" s="0" t="n">
        <v>0.1515</v>
      </c>
      <c r="L336" s="0" t="n">
        <v>0.86</v>
      </c>
      <c r="M336" s="0" t="n">
        <v>0.1343</v>
      </c>
      <c r="N336" s="0" t="n">
        <v>2</v>
      </c>
      <c r="O336" s="0" t="n">
        <v>28</v>
      </c>
      <c r="P336" s="0" t="n">
        <v>30</v>
      </c>
    </row>
    <row r="337" customFormat="false" ht="15" hidden="false" customHeight="false" outlineLevel="0" collapsed="false">
      <c r="A337" s="0" t="n">
        <v>955</v>
      </c>
      <c r="B337" s="0" t="s">
        <v>126</v>
      </c>
      <c r="C337" s="0" t="n">
        <v>1</v>
      </c>
      <c r="D337" s="0" t="n">
        <v>0</v>
      </c>
      <c r="E337" s="0" t="n">
        <v>2</v>
      </c>
      <c r="F337" s="0" t="n">
        <v>9</v>
      </c>
      <c r="G337" s="0" t="b">
        <f aca="false">FALSE()</f>
        <v>0</v>
      </c>
      <c r="H337" s="0" t="n">
        <v>6</v>
      </c>
      <c r="I337" s="0" t="n">
        <v>1</v>
      </c>
      <c r="J337" s="0" t="n">
        <v>0.16</v>
      </c>
      <c r="K337" s="0" t="n">
        <v>0.1818</v>
      </c>
      <c r="L337" s="0" t="n">
        <v>0.64</v>
      </c>
      <c r="M337" s="0" t="n">
        <v>0.1343</v>
      </c>
      <c r="N337" s="0" t="n">
        <v>5</v>
      </c>
      <c r="O337" s="0" t="n">
        <v>38</v>
      </c>
      <c r="P337" s="0" t="n">
        <v>43</v>
      </c>
    </row>
    <row r="338" customFormat="false" ht="15" hidden="false" customHeight="false" outlineLevel="0" collapsed="false">
      <c r="A338" s="0" t="n">
        <v>956</v>
      </c>
      <c r="B338" s="0" t="s">
        <v>126</v>
      </c>
      <c r="C338" s="0" t="n">
        <v>1</v>
      </c>
      <c r="D338" s="0" t="n">
        <v>0</v>
      </c>
      <c r="E338" s="0" t="n">
        <v>2</v>
      </c>
      <c r="F338" s="0" t="n">
        <v>10</v>
      </c>
      <c r="G338" s="0" t="b">
        <f aca="false">FALSE()</f>
        <v>0</v>
      </c>
      <c r="H338" s="0" t="n">
        <v>6</v>
      </c>
      <c r="I338" s="0" t="n">
        <v>1</v>
      </c>
      <c r="J338" s="0" t="n">
        <v>0.22</v>
      </c>
      <c r="K338" s="0" t="n">
        <v>0.2121</v>
      </c>
      <c r="L338" s="0" t="n">
        <v>0.41</v>
      </c>
      <c r="M338" s="0" t="n">
        <v>0.2537</v>
      </c>
      <c r="N338" s="0" t="n">
        <v>13</v>
      </c>
      <c r="O338" s="0" t="n">
        <v>71</v>
      </c>
      <c r="P338" s="0" t="n">
        <v>84</v>
      </c>
    </row>
    <row r="339" customFormat="false" ht="15" hidden="false" customHeight="false" outlineLevel="0" collapsed="false">
      <c r="A339" s="0" t="n">
        <v>957</v>
      </c>
      <c r="B339" s="0" t="s">
        <v>126</v>
      </c>
      <c r="C339" s="0" t="n">
        <v>1</v>
      </c>
      <c r="D339" s="0" t="n">
        <v>0</v>
      </c>
      <c r="E339" s="0" t="n">
        <v>2</v>
      </c>
      <c r="F339" s="0" t="n">
        <v>11</v>
      </c>
      <c r="G339" s="0" t="b">
        <f aca="false">FALSE()</f>
        <v>0</v>
      </c>
      <c r="H339" s="0" t="n">
        <v>6</v>
      </c>
      <c r="I339" s="0" t="n">
        <v>1</v>
      </c>
      <c r="J339" s="0" t="n">
        <v>0.3</v>
      </c>
      <c r="K339" s="0" t="n">
        <v>0.2727</v>
      </c>
      <c r="L339" s="0" t="n">
        <v>0.28</v>
      </c>
      <c r="M339" s="0" t="n">
        <v>0.3284</v>
      </c>
      <c r="N339" s="0" t="n">
        <v>30</v>
      </c>
      <c r="O339" s="0" t="n">
        <v>84</v>
      </c>
      <c r="P339" s="0" t="n">
        <v>114</v>
      </c>
    </row>
    <row r="340" customFormat="false" ht="15" hidden="false" customHeight="false" outlineLevel="0" collapsed="false">
      <c r="A340" s="0" t="n">
        <v>958</v>
      </c>
      <c r="B340" s="0" t="s">
        <v>126</v>
      </c>
      <c r="C340" s="0" t="n">
        <v>1</v>
      </c>
      <c r="D340" s="0" t="n">
        <v>0</v>
      </c>
      <c r="E340" s="0" t="n">
        <v>2</v>
      </c>
      <c r="F340" s="0" t="n">
        <v>12</v>
      </c>
      <c r="G340" s="0" t="b">
        <f aca="false">FALSE()</f>
        <v>0</v>
      </c>
      <c r="H340" s="0" t="n">
        <v>6</v>
      </c>
      <c r="I340" s="0" t="n">
        <v>1</v>
      </c>
      <c r="J340" s="0" t="n">
        <v>0.3</v>
      </c>
      <c r="K340" s="0" t="n">
        <v>0.2727</v>
      </c>
      <c r="L340" s="0" t="n">
        <v>0.39</v>
      </c>
      <c r="M340" s="0" t="n">
        <v>0.4627</v>
      </c>
      <c r="N340" s="0" t="n">
        <v>27</v>
      </c>
      <c r="O340" s="0" t="n">
        <v>93</v>
      </c>
      <c r="P340" s="0" t="n">
        <v>120</v>
      </c>
    </row>
    <row r="341" customFormat="false" ht="15" hidden="false" customHeight="false" outlineLevel="0" collapsed="false">
      <c r="A341" s="0" t="n">
        <v>959</v>
      </c>
      <c r="B341" s="0" t="s">
        <v>126</v>
      </c>
      <c r="C341" s="0" t="n">
        <v>1</v>
      </c>
      <c r="D341" s="0" t="n">
        <v>0</v>
      </c>
      <c r="E341" s="0" t="n">
        <v>2</v>
      </c>
      <c r="F341" s="0" t="n">
        <v>13</v>
      </c>
      <c r="G341" s="0" t="b">
        <f aca="false">FALSE()</f>
        <v>0</v>
      </c>
      <c r="H341" s="0" t="n">
        <v>6</v>
      </c>
      <c r="I341" s="0" t="n">
        <v>1</v>
      </c>
      <c r="J341" s="0" t="n">
        <v>0.3</v>
      </c>
      <c r="K341" s="0" t="n">
        <v>0.2727</v>
      </c>
      <c r="L341" s="0" t="n">
        <v>0.39</v>
      </c>
      <c r="M341" s="0" t="n">
        <v>0.4179</v>
      </c>
      <c r="N341" s="0" t="n">
        <v>32</v>
      </c>
      <c r="O341" s="0" t="n">
        <v>103</v>
      </c>
      <c r="P341" s="0" t="n">
        <v>135</v>
      </c>
    </row>
    <row r="342" customFormat="false" ht="15" hidden="false" customHeight="false" outlineLevel="0" collapsed="false">
      <c r="A342" s="0" t="n">
        <v>960</v>
      </c>
      <c r="B342" s="0" t="s">
        <v>126</v>
      </c>
      <c r="C342" s="0" t="n">
        <v>1</v>
      </c>
      <c r="D342" s="0" t="n">
        <v>0</v>
      </c>
      <c r="E342" s="0" t="n">
        <v>2</v>
      </c>
      <c r="F342" s="0" t="n">
        <v>14</v>
      </c>
      <c r="G342" s="0" t="b">
        <f aca="false">FALSE()</f>
        <v>0</v>
      </c>
      <c r="H342" s="0" t="n">
        <v>6</v>
      </c>
      <c r="I342" s="0" t="n">
        <v>1</v>
      </c>
      <c r="J342" s="0" t="n">
        <v>0.34</v>
      </c>
      <c r="K342" s="0" t="n">
        <v>0.3182</v>
      </c>
      <c r="L342" s="0" t="n">
        <v>0.31</v>
      </c>
      <c r="M342" s="0" t="n">
        <v>0.2836</v>
      </c>
      <c r="N342" s="0" t="n">
        <v>30</v>
      </c>
      <c r="O342" s="0" t="n">
        <v>90</v>
      </c>
      <c r="P342" s="0" t="n">
        <v>120</v>
      </c>
    </row>
    <row r="343" customFormat="false" ht="15" hidden="false" customHeight="false" outlineLevel="0" collapsed="false">
      <c r="A343" s="0" t="n">
        <v>961</v>
      </c>
      <c r="B343" s="0" t="s">
        <v>126</v>
      </c>
      <c r="C343" s="0" t="n">
        <v>1</v>
      </c>
      <c r="D343" s="0" t="n">
        <v>0</v>
      </c>
      <c r="E343" s="0" t="n">
        <v>2</v>
      </c>
      <c r="F343" s="0" t="n">
        <v>15</v>
      </c>
      <c r="G343" s="0" t="b">
        <f aca="false">FALSE()</f>
        <v>0</v>
      </c>
      <c r="H343" s="0" t="n">
        <v>6</v>
      </c>
      <c r="I343" s="0" t="n">
        <v>1</v>
      </c>
      <c r="J343" s="0" t="n">
        <v>0.34</v>
      </c>
      <c r="K343" s="0" t="n">
        <v>0.303</v>
      </c>
      <c r="L343" s="0" t="n">
        <v>0.29</v>
      </c>
      <c r="M343" s="0" t="n">
        <v>0.4179</v>
      </c>
      <c r="N343" s="0" t="n">
        <v>47</v>
      </c>
      <c r="O343" s="0" t="n">
        <v>127</v>
      </c>
      <c r="P343" s="0" t="n">
        <v>174</v>
      </c>
    </row>
    <row r="344" customFormat="false" ht="15" hidden="false" customHeight="false" outlineLevel="0" collapsed="false">
      <c r="A344" s="0" t="n">
        <v>962</v>
      </c>
      <c r="B344" s="0" t="s">
        <v>126</v>
      </c>
      <c r="C344" s="0" t="n">
        <v>1</v>
      </c>
      <c r="D344" s="0" t="n">
        <v>0</v>
      </c>
      <c r="E344" s="0" t="n">
        <v>2</v>
      </c>
      <c r="F344" s="0" t="n">
        <v>16</v>
      </c>
      <c r="G344" s="0" t="b">
        <f aca="false">FALSE()</f>
        <v>0</v>
      </c>
      <c r="H344" s="0" t="n">
        <v>6</v>
      </c>
      <c r="I344" s="0" t="n">
        <v>1</v>
      </c>
      <c r="J344" s="0" t="n">
        <v>0.34</v>
      </c>
      <c r="K344" s="0" t="n">
        <v>0.303</v>
      </c>
      <c r="L344" s="0" t="n">
        <v>0.29</v>
      </c>
      <c r="M344" s="0" t="n">
        <v>0.4179</v>
      </c>
      <c r="N344" s="0" t="n">
        <v>42</v>
      </c>
      <c r="O344" s="0" t="n">
        <v>103</v>
      </c>
      <c r="P344" s="0" t="n">
        <v>145</v>
      </c>
    </row>
    <row r="345" customFormat="false" ht="15" hidden="false" customHeight="false" outlineLevel="0" collapsed="false">
      <c r="A345" s="0" t="n">
        <v>963</v>
      </c>
      <c r="B345" s="0" t="s">
        <v>126</v>
      </c>
      <c r="C345" s="0" t="n">
        <v>1</v>
      </c>
      <c r="D345" s="0" t="n">
        <v>0</v>
      </c>
      <c r="E345" s="0" t="n">
        <v>2</v>
      </c>
      <c r="F345" s="0" t="n">
        <v>17</v>
      </c>
      <c r="G345" s="0" t="b">
        <f aca="false">FALSE()</f>
        <v>0</v>
      </c>
      <c r="H345" s="0" t="n">
        <v>6</v>
      </c>
      <c r="I345" s="0" t="n">
        <v>1</v>
      </c>
      <c r="J345" s="0" t="n">
        <v>0.32</v>
      </c>
      <c r="K345" s="0" t="n">
        <v>0.2879</v>
      </c>
      <c r="L345" s="0" t="n">
        <v>0.31</v>
      </c>
      <c r="M345" s="0" t="n">
        <v>0.5224</v>
      </c>
      <c r="N345" s="0" t="n">
        <v>24</v>
      </c>
      <c r="O345" s="0" t="n">
        <v>113</v>
      </c>
      <c r="P345" s="0" t="n">
        <v>137</v>
      </c>
    </row>
    <row r="346" customFormat="false" ht="15" hidden="false" customHeight="false" outlineLevel="0" collapsed="false">
      <c r="A346" s="0" t="n">
        <v>964</v>
      </c>
      <c r="B346" s="0" t="s">
        <v>126</v>
      </c>
      <c r="C346" s="0" t="n">
        <v>1</v>
      </c>
      <c r="D346" s="0" t="n">
        <v>0</v>
      </c>
      <c r="E346" s="0" t="n">
        <v>2</v>
      </c>
      <c r="F346" s="0" t="n">
        <v>18</v>
      </c>
      <c r="G346" s="0" t="b">
        <f aca="false">FALSE()</f>
        <v>0</v>
      </c>
      <c r="H346" s="0" t="n">
        <v>6</v>
      </c>
      <c r="I346" s="0" t="n">
        <v>1</v>
      </c>
      <c r="J346" s="0" t="n">
        <v>0.28</v>
      </c>
      <c r="K346" s="0" t="n">
        <v>0.2576</v>
      </c>
      <c r="L346" s="0" t="n">
        <v>0.38</v>
      </c>
      <c r="M346" s="0" t="n">
        <v>0.3284</v>
      </c>
      <c r="N346" s="0" t="n">
        <v>4</v>
      </c>
      <c r="O346" s="0" t="n">
        <v>60</v>
      </c>
      <c r="P346" s="0" t="n">
        <v>64</v>
      </c>
    </row>
    <row r="347" customFormat="false" ht="15" hidden="false" customHeight="false" outlineLevel="0" collapsed="false">
      <c r="A347" s="0" t="n">
        <v>965</v>
      </c>
      <c r="B347" s="0" t="s">
        <v>126</v>
      </c>
      <c r="C347" s="0" t="n">
        <v>1</v>
      </c>
      <c r="D347" s="0" t="n">
        <v>0</v>
      </c>
      <c r="E347" s="0" t="n">
        <v>2</v>
      </c>
      <c r="F347" s="0" t="n">
        <v>19</v>
      </c>
      <c r="G347" s="0" t="b">
        <f aca="false">FALSE()</f>
        <v>0</v>
      </c>
      <c r="H347" s="0" t="n">
        <v>6</v>
      </c>
      <c r="I347" s="0" t="n">
        <v>1</v>
      </c>
      <c r="J347" s="0" t="n">
        <v>0.28</v>
      </c>
      <c r="K347" s="0" t="n">
        <v>0.2727</v>
      </c>
      <c r="L347" s="0" t="n">
        <v>0.38</v>
      </c>
      <c r="M347" s="0" t="n">
        <v>0.1642</v>
      </c>
      <c r="N347" s="0" t="n">
        <v>2</v>
      </c>
      <c r="O347" s="0" t="n">
        <v>39</v>
      </c>
      <c r="P347" s="0" t="n">
        <v>41</v>
      </c>
    </row>
    <row r="348" customFormat="false" ht="15" hidden="false" customHeight="false" outlineLevel="0" collapsed="false">
      <c r="A348" s="0" t="n">
        <v>966</v>
      </c>
      <c r="B348" s="0" t="s">
        <v>126</v>
      </c>
      <c r="C348" s="0" t="n">
        <v>1</v>
      </c>
      <c r="D348" s="0" t="n">
        <v>0</v>
      </c>
      <c r="E348" s="0" t="n">
        <v>2</v>
      </c>
      <c r="F348" s="0" t="n">
        <v>20</v>
      </c>
      <c r="G348" s="0" t="b">
        <f aca="false">FALSE()</f>
        <v>0</v>
      </c>
      <c r="H348" s="0" t="n">
        <v>6</v>
      </c>
      <c r="I348" s="0" t="n">
        <v>1</v>
      </c>
      <c r="J348" s="0" t="n">
        <v>0.26</v>
      </c>
      <c r="K348" s="0" t="n">
        <v>0.2576</v>
      </c>
      <c r="L348" s="0" t="n">
        <v>0.41</v>
      </c>
      <c r="M348" s="0" t="n">
        <v>0.2239</v>
      </c>
      <c r="N348" s="0" t="n">
        <v>1</v>
      </c>
      <c r="O348" s="0" t="n">
        <v>39</v>
      </c>
      <c r="P348" s="0" t="n">
        <v>40</v>
      </c>
    </row>
    <row r="349" customFormat="false" ht="15" hidden="false" customHeight="false" outlineLevel="0" collapsed="false">
      <c r="A349" s="0" t="n">
        <v>967</v>
      </c>
      <c r="B349" s="0" t="s">
        <v>126</v>
      </c>
      <c r="C349" s="0" t="n">
        <v>1</v>
      </c>
      <c r="D349" s="0" t="n">
        <v>0</v>
      </c>
      <c r="E349" s="0" t="n">
        <v>2</v>
      </c>
      <c r="F349" s="0" t="n">
        <v>21</v>
      </c>
      <c r="G349" s="0" t="b">
        <f aca="false">FALSE()</f>
        <v>0</v>
      </c>
      <c r="H349" s="0" t="n">
        <v>6</v>
      </c>
      <c r="I349" s="0" t="n">
        <v>1</v>
      </c>
      <c r="J349" s="0" t="n">
        <v>0.26</v>
      </c>
      <c r="K349" s="0" t="n">
        <v>0.303</v>
      </c>
      <c r="L349" s="0" t="n">
        <v>0.41</v>
      </c>
      <c r="M349" s="0" t="n">
        <v>0</v>
      </c>
      <c r="N349" s="0" t="n">
        <v>9</v>
      </c>
      <c r="O349" s="0" t="n">
        <v>42</v>
      </c>
      <c r="P349" s="0" t="n">
        <v>51</v>
      </c>
    </row>
    <row r="350" customFormat="false" ht="15" hidden="false" customHeight="false" outlineLevel="0" collapsed="false">
      <c r="A350" s="0" t="n">
        <v>968</v>
      </c>
      <c r="B350" s="0" t="s">
        <v>126</v>
      </c>
      <c r="C350" s="0" t="n">
        <v>1</v>
      </c>
      <c r="D350" s="0" t="n">
        <v>0</v>
      </c>
      <c r="E350" s="0" t="n">
        <v>2</v>
      </c>
      <c r="F350" s="0" t="n">
        <v>22</v>
      </c>
      <c r="G350" s="0" t="b">
        <f aca="false">FALSE()</f>
        <v>0</v>
      </c>
      <c r="H350" s="0" t="n">
        <v>6</v>
      </c>
      <c r="I350" s="0" t="n">
        <v>1</v>
      </c>
      <c r="J350" s="0" t="n">
        <v>0.24</v>
      </c>
      <c r="K350" s="0" t="n">
        <v>0.2576</v>
      </c>
      <c r="L350" s="0" t="n">
        <v>0.44</v>
      </c>
      <c r="M350" s="0" t="n">
        <v>0.0896</v>
      </c>
      <c r="N350" s="0" t="n">
        <v>6</v>
      </c>
      <c r="O350" s="0" t="n">
        <v>39</v>
      </c>
      <c r="P350" s="0" t="n">
        <v>45</v>
      </c>
    </row>
    <row r="351" customFormat="false" ht="15" hidden="false" customHeight="false" outlineLevel="0" collapsed="false">
      <c r="A351" s="0" t="n">
        <v>969</v>
      </c>
      <c r="B351" s="0" t="s">
        <v>126</v>
      </c>
      <c r="C351" s="0" t="n">
        <v>1</v>
      </c>
      <c r="D351" s="0" t="n">
        <v>0</v>
      </c>
      <c r="E351" s="0" t="n">
        <v>2</v>
      </c>
      <c r="F351" s="0" t="n">
        <v>23</v>
      </c>
      <c r="G351" s="0" t="b">
        <f aca="false">FALSE()</f>
        <v>0</v>
      </c>
      <c r="H351" s="0" t="n">
        <v>6</v>
      </c>
      <c r="I351" s="0" t="n">
        <v>1</v>
      </c>
      <c r="J351" s="0" t="n">
        <v>0.22</v>
      </c>
      <c r="K351" s="0" t="n">
        <v>0.2273</v>
      </c>
      <c r="L351" s="0" t="n">
        <v>0.51</v>
      </c>
      <c r="M351" s="0" t="n">
        <v>0.1343</v>
      </c>
      <c r="N351" s="0" t="n">
        <v>1</v>
      </c>
      <c r="O351" s="0" t="n">
        <v>31</v>
      </c>
      <c r="P351" s="0" t="n">
        <v>32</v>
      </c>
    </row>
    <row r="352" customFormat="false" ht="15" hidden="false" customHeight="false" outlineLevel="0" collapsed="false">
      <c r="A352" s="0" t="n">
        <v>970</v>
      </c>
      <c r="B352" s="0" t="s">
        <v>127</v>
      </c>
      <c r="C352" s="0" t="n">
        <v>1</v>
      </c>
      <c r="D352" s="0" t="n">
        <v>0</v>
      </c>
      <c r="E352" s="0" t="n">
        <v>2</v>
      </c>
      <c r="F352" s="0" t="n">
        <v>0</v>
      </c>
      <c r="G352" s="0" t="b">
        <f aca="false">FALSE()</f>
        <v>0</v>
      </c>
      <c r="H352" s="0" t="n">
        <v>0</v>
      </c>
      <c r="I352" s="0" t="n">
        <v>1</v>
      </c>
      <c r="J352" s="0" t="n">
        <v>0.2</v>
      </c>
      <c r="K352" s="0" t="n">
        <v>0.2273</v>
      </c>
      <c r="L352" s="0" t="n">
        <v>0.64</v>
      </c>
      <c r="M352" s="0" t="n">
        <v>0.1045</v>
      </c>
      <c r="N352" s="0" t="n">
        <v>5</v>
      </c>
      <c r="O352" s="0" t="n">
        <v>34</v>
      </c>
      <c r="P352" s="0" t="n">
        <v>39</v>
      </c>
    </row>
    <row r="353" customFormat="false" ht="15" hidden="false" customHeight="false" outlineLevel="0" collapsed="false">
      <c r="A353" s="0" t="n">
        <v>971</v>
      </c>
      <c r="B353" s="0" t="s">
        <v>127</v>
      </c>
      <c r="C353" s="0" t="n">
        <v>1</v>
      </c>
      <c r="D353" s="0" t="n">
        <v>0</v>
      </c>
      <c r="E353" s="0" t="n">
        <v>2</v>
      </c>
      <c r="F353" s="0" t="n">
        <v>1</v>
      </c>
      <c r="G353" s="0" t="b">
        <f aca="false">FALSE()</f>
        <v>0</v>
      </c>
      <c r="H353" s="0" t="n">
        <v>0</v>
      </c>
      <c r="I353" s="0" t="n">
        <v>1</v>
      </c>
      <c r="J353" s="0" t="n">
        <v>0.2</v>
      </c>
      <c r="K353" s="0" t="n">
        <v>0.2273</v>
      </c>
      <c r="L353" s="0" t="n">
        <v>0.59</v>
      </c>
      <c r="M353" s="0" t="n">
        <v>0.0896</v>
      </c>
      <c r="N353" s="0" t="n">
        <v>1</v>
      </c>
      <c r="O353" s="0" t="n">
        <v>23</v>
      </c>
      <c r="P353" s="0" t="n">
        <v>24</v>
      </c>
    </row>
    <row r="354" customFormat="false" ht="15" hidden="false" customHeight="false" outlineLevel="0" collapsed="false">
      <c r="A354" s="0" t="n">
        <v>972</v>
      </c>
      <c r="B354" s="0" t="s">
        <v>127</v>
      </c>
      <c r="C354" s="0" t="n">
        <v>1</v>
      </c>
      <c r="D354" s="0" t="n">
        <v>0</v>
      </c>
      <c r="E354" s="0" t="n">
        <v>2</v>
      </c>
      <c r="F354" s="0" t="n">
        <v>2</v>
      </c>
      <c r="G354" s="0" t="b">
        <f aca="false">FALSE()</f>
        <v>0</v>
      </c>
      <c r="H354" s="0" t="n">
        <v>0</v>
      </c>
      <c r="I354" s="0" t="n">
        <v>2</v>
      </c>
      <c r="J354" s="0" t="n">
        <v>0.2</v>
      </c>
      <c r="K354" s="0" t="n">
        <v>0.2273</v>
      </c>
      <c r="L354" s="0" t="n">
        <v>0.75</v>
      </c>
      <c r="M354" s="0" t="n">
        <v>0.0896</v>
      </c>
      <c r="N354" s="0" t="n">
        <v>1</v>
      </c>
      <c r="O354" s="0" t="n">
        <v>19</v>
      </c>
      <c r="P354" s="0" t="n">
        <v>20</v>
      </c>
    </row>
    <row r="355" customFormat="false" ht="15" hidden="false" customHeight="false" outlineLevel="0" collapsed="false">
      <c r="A355" s="0" t="n">
        <v>973</v>
      </c>
      <c r="B355" s="0" t="s">
        <v>127</v>
      </c>
      <c r="C355" s="0" t="n">
        <v>1</v>
      </c>
      <c r="D355" s="0" t="n">
        <v>0</v>
      </c>
      <c r="E355" s="0" t="n">
        <v>2</v>
      </c>
      <c r="F355" s="0" t="n">
        <v>3</v>
      </c>
      <c r="G355" s="0" t="b">
        <f aca="false">FALSE()</f>
        <v>0</v>
      </c>
      <c r="H355" s="0" t="n">
        <v>0</v>
      </c>
      <c r="I355" s="0" t="n">
        <v>2</v>
      </c>
      <c r="J355" s="0" t="n">
        <v>0.2</v>
      </c>
      <c r="K355" s="0" t="n">
        <v>0.2273</v>
      </c>
      <c r="L355" s="0" t="n">
        <v>0.69</v>
      </c>
      <c r="M355" s="0" t="n">
        <v>0.1045</v>
      </c>
      <c r="N355" s="0" t="n">
        <v>4</v>
      </c>
      <c r="O355" s="0" t="n">
        <v>8</v>
      </c>
      <c r="P355" s="0" t="n">
        <v>12</v>
      </c>
    </row>
    <row r="356" customFormat="false" ht="15" hidden="false" customHeight="false" outlineLevel="0" collapsed="false">
      <c r="A356" s="0" t="n">
        <v>974</v>
      </c>
      <c r="B356" s="0" t="s">
        <v>127</v>
      </c>
      <c r="C356" s="0" t="n">
        <v>1</v>
      </c>
      <c r="D356" s="0" t="n">
        <v>0</v>
      </c>
      <c r="E356" s="0" t="n">
        <v>2</v>
      </c>
      <c r="F356" s="0" t="n">
        <v>4</v>
      </c>
      <c r="G356" s="0" t="b">
        <f aca="false">FALSE()</f>
        <v>0</v>
      </c>
      <c r="H356" s="0" t="n">
        <v>0</v>
      </c>
      <c r="I356" s="0" t="n">
        <v>2</v>
      </c>
      <c r="J356" s="0" t="n">
        <v>0.2</v>
      </c>
      <c r="K356" s="0" t="n">
        <v>0.2121</v>
      </c>
      <c r="L356" s="0" t="n">
        <v>0.69</v>
      </c>
      <c r="M356" s="0" t="n">
        <v>0.1642</v>
      </c>
      <c r="N356" s="0" t="n">
        <v>0</v>
      </c>
      <c r="O356" s="0" t="n">
        <v>2</v>
      </c>
      <c r="P356" s="0" t="n">
        <v>2</v>
      </c>
    </row>
    <row r="357" customFormat="false" ht="15" hidden="false" customHeight="false" outlineLevel="0" collapsed="false">
      <c r="A357" s="0" t="n">
        <v>975</v>
      </c>
      <c r="B357" s="0" t="s">
        <v>127</v>
      </c>
      <c r="C357" s="0" t="n">
        <v>1</v>
      </c>
      <c r="D357" s="0" t="n">
        <v>0</v>
      </c>
      <c r="E357" s="0" t="n">
        <v>2</v>
      </c>
      <c r="F357" s="0" t="n">
        <v>6</v>
      </c>
      <c r="G357" s="0" t="b">
        <f aca="false">FALSE()</f>
        <v>0</v>
      </c>
      <c r="H357" s="0" t="n">
        <v>0</v>
      </c>
      <c r="I357" s="0" t="n">
        <v>2</v>
      </c>
      <c r="J357" s="0" t="n">
        <v>0.2</v>
      </c>
      <c r="K357" s="0" t="n">
        <v>0.2121</v>
      </c>
      <c r="L357" s="0" t="n">
        <v>0.69</v>
      </c>
      <c r="M357" s="0" t="n">
        <v>0.1343</v>
      </c>
      <c r="N357" s="0" t="n">
        <v>2</v>
      </c>
      <c r="O357" s="0" t="n">
        <v>3</v>
      </c>
      <c r="P357" s="0" t="n">
        <v>5</v>
      </c>
    </row>
    <row r="358" customFormat="false" ht="15" hidden="false" customHeight="false" outlineLevel="0" collapsed="false">
      <c r="A358" s="0" t="n">
        <v>976</v>
      </c>
      <c r="B358" s="0" t="s">
        <v>127</v>
      </c>
      <c r="C358" s="0" t="n">
        <v>1</v>
      </c>
      <c r="D358" s="0" t="n">
        <v>0</v>
      </c>
      <c r="E358" s="0" t="n">
        <v>2</v>
      </c>
      <c r="F358" s="0" t="n">
        <v>7</v>
      </c>
      <c r="G358" s="0" t="b">
        <f aca="false">FALSE()</f>
        <v>0</v>
      </c>
      <c r="H358" s="0" t="n">
        <v>0</v>
      </c>
      <c r="I358" s="0" t="n">
        <v>2</v>
      </c>
      <c r="J358" s="0" t="n">
        <v>0.22</v>
      </c>
      <c r="K358" s="0" t="n">
        <v>0.2727</v>
      </c>
      <c r="L358" s="0" t="n">
        <v>0.55</v>
      </c>
      <c r="M358" s="0" t="n">
        <v>0</v>
      </c>
      <c r="N358" s="0" t="n">
        <v>0</v>
      </c>
      <c r="O358" s="0" t="n">
        <v>3</v>
      </c>
      <c r="P358" s="0" t="n">
        <v>3</v>
      </c>
    </row>
    <row r="359" customFormat="false" ht="15" hidden="false" customHeight="false" outlineLevel="0" collapsed="false">
      <c r="A359" s="0" t="n">
        <v>977</v>
      </c>
      <c r="B359" s="0" t="s">
        <v>127</v>
      </c>
      <c r="C359" s="0" t="n">
        <v>1</v>
      </c>
      <c r="D359" s="0" t="n">
        <v>0</v>
      </c>
      <c r="E359" s="0" t="n">
        <v>2</v>
      </c>
      <c r="F359" s="0" t="n">
        <v>8</v>
      </c>
      <c r="G359" s="0" t="b">
        <f aca="false">FALSE()</f>
        <v>0</v>
      </c>
      <c r="H359" s="0" t="n">
        <v>0</v>
      </c>
      <c r="I359" s="0" t="n">
        <v>2</v>
      </c>
      <c r="J359" s="0" t="n">
        <v>0.22</v>
      </c>
      <c r="K359" s="0" t="n">
        <v>0.2273</v>
      </c>
      <c r="L359" s="0" t="n">
        <v>0.64</v>
      </c>
      <c r="M359" s="0" t="n">
        <v>0.194</v>
      </c>
      <c r="N359" s="0" t="n">
        <v>1</v>
      </c>
      <c r="O359" s="0" t="n">
        <v>11</v>
      </c>
      <c r="P359" s="0" t="n">
        <v>12</v>
      </c>
    </row>
    <row r="360" customFormat="false" ht="15" hidden="false" customHeight="false" outlineLevel="0" collapsed="false">
      <c r="A360" s="0" t="n">
        <v>978</v>
      </c>
      <c r="B360" s="0" t="s">
        <v>127</v>
      </c>
      <c r="C360" s="0" t="n">
        <v>1</v>
      </c>
      <c r="D360" s="0" t="n">
        <v>0</v>
      </c>
      <c r="E360" s="0" t="n">
        <v>2</v>
      </c>
      <c r="F360" s="0" t="n">
        <v>9</v>
      </c>
      <c r="G360" s="0" t="b">
        <f aca="false">FALSE()</f>
        <v>0</v>
      </c>
      <c r="H360" s="0" t="n">
        <v>0</v>
      </c>
      <c r="I360" s="0" t="n">
        <v>2</v>
      </c>
      <c r="J360" s="0" t="n">
        <v>0.24</v>
      </c>
      <c r="K360" s="0" t="n">
        <v>0.2273</v>
      </c>
      <c r="L360" s="0" t="n">
        <v>0.6</v>
      </c>
      <c r="M360" s="0" t="n">
        <v>0.2239</v>
      </c>
      <c r="N360" s="0" t="n">
        <v>12</v>
      </c>
      <c r="O360" s="0" t="n">
        <v>35</v>
      </c>
      <c r="P360" s="0" t="n">
        <v>47</v>
      </c>
    </row>
    <row r="361" customFormat="false" ht="15" hidden="false" customHeight="false" outlineLevel="0" collapsed="false">
      <c r="A361" s="0" t="n">
        <v>979</v>
      </c>
      <c r="B361" s="0" t="s">
        <v>127</v>
      </c>
      <c r="C361" s="0" t="n">
        <v>1</v>
      </c>
      <c r="D361" s="0" t="n">
        <v>0</v>
      </c>
      <c r="E361" s="0" t="n">
        <v>2</v>
      </c>
      <c r="F361" s="0" t="n">
        <v>10</v>
      </c>
      <c r="G361" s="0" t="b">
        <f aca="false">FALSE()</f>
        <v>0</v>
      </c>
      <c r="H361" s="0" t="n">
        <v>0</v>
      </c>
      <c r="I361" s="0" t="n">
        <v>1</v>
      </c>
      <c r="J361" s="0" t="n">
        <v>0.3</v>
      </c>
      <c r="K361" s="0" t="n">
        <v>0.2727</v>
      </c>
      <c r="L361" s="0" t="n">
        <v>0.45</v>
      </c>
      <c r="M361" s="0" t="n">
        <v>0.3284</v>
      </c>
      <c r="N361" s="0" t="n">
        <v>19</v>
      </c>
      <c r="O361" s="0" t="n">
        <v>86</v>
      </c>
      <c r="P361" s="0" t="n">
        <v>105</v>
      </c>
    </row>
    <row r="362" customFormat="false" ht="15" hidden="false" customHeight="false" outlineLevel="0" collapsed="false">
      <c r="A362" s="0" t="n">
        <v>980</v>
      </c>
      <c r="B362" s="0" t="s">
        <v>127</v>
      </c>
      <c r="C362" s="0" t="n">
        <v>1</v>
      </c>
      <c r="D362" s="0" t="n">
        <v>0</v>
      </c>
      <c r="E362" s="0" t="n">
        <v>2</v>
      </c>
      <c r="F362" s="0" t="n">
        <v>11</v>
      </c>
      <c r="G362" s="0" t="b">
        <f aca="false">FALSE()</f>
        <v>0</v>
      </c>
      <c r="H362" s="0" t="n">
        <v>0</v>
      </c>
      <c r="I362" s="0" t="n">
        <v>1</v>
      </c>
      <c r="J362" s="0" t="n">
        <v>0.32</v>
      </c>
      <c r="K362" s="0" t="n">
        <v>0.2879</v>
      </c>
      <c r="L362" s="0" t="n">
        <v>0.39</v>
      </c>
      <c r="M362" s="0" t="n">
        <v>0.4478</v>
      </c>
      <c r="N362" s="0" t="n">
        <v>26</v>
      </c>
      <c r="O362" s="0" t="n">
        <v>86</v>
      </c>
      <c r="P362" s="0" t="n">
        <v>112</v>
      </c>
    </row>
    <row r="363" customFormat="false" ht="15" hidden="false" customHeight="false" outlineLevel="0" collapsed="false">
      <c r="A363" s="0" t="n">
        <v>981</v>
      </c>
      <c r="B363" s="0" t="s">
        <v>127</v>
      </c>
      <c r="C363" s="0" t="n">
        <v>1</v>
      </c>
      <c r="D363" s="0" t="n">
        <v>0</v>
      </c>
      <c r="E363" s="0" t="n">
        <v>2</v>
      </c>
      <c r="F363" s="0" t="n">
        <v>12</v>
      </c>
      <c r="G363" s="0" t="b">
        <f aca="false">FALSE()</f>
        <v>0</v>
      </c>
      <c r="H363" s="0" t="n">
        <v>0</v>
      </c>
      <c r="I363" s="0" t="n">
        <v>1</v>
      </c>
      <c r="J363" s="0" t="n">
        <v>0.36</v>
      </c>
      <c r="K363" s="0" t="n">
        <v>0.3182</v>
      </c>
      <c r="L363" s="0" t="n">
        <v>0.32</v>
      </c>
      <c r="M363" s="0" t="n">
        <v>0.4627</v>
      </c>
      <c r="N363" s="0" t="n">
        <v>58</v>
      </c>
      <c r="O363" s="0" t="n">
        <v>94</v>
      </c>
      <c r="P363" s="0" t="n">
        <v>152</v>
      </c>
    </row>
    <row r="364" customFormat="false" ht="15" hidden="false" customHeight="false" outlineLevel="0" collapsed="false">
      <c r="A364" s="0" t="n">
        <v>982</v>
      </c>
      <c r="B364" s="0" t="s">
        <v>127</v>
      </c>
      <c r="C364" s="0" t="n">
        <v>1</v>
      </c>
      <c r="D364" s="0" t="n">
        <v>0</v>
      </c>
      <c r="E364" s="0" t="n">
        <v>2</v>
      </c>
      <c r="F364" s="0" t="n">
        <v>13</v>
      </c>
      <c r="G364" s="0" t="b">
        <f aca="false">FALSE()</f>
        <v>0</v>
      </c>
      <c r="H364" s="0" t="n">
        <v>0</v>
      </c>
      <c r="I364" s="0" t="n">
        <v>1</v>
      </c>
      <c r="J364" s="0" t="n">
        <v>0.38</v>
      </c>
      <c r="K364" s="0" t="n">
        <v>0.3939</v>
      </c>
      <c r="L364" s="0" t="n">
        <v>0.29</v>
      </c>
      <c r="M364" s="0" t="n">
        <v>0.3582</v>
      </c>
      <c r="N364" s="0" t="n">
        <v>62</v>
      </c>
      <c r="O364" s="0" t="n">
        <v>92</v>
      </c>
      <c r="P364" s="0" t="n">
        <v>154</v>
      </c>
    </row>
    <row r="365" customFormat="false" ht="15" hidden="false" customHeight="false" outlineLevel="0" collapsed="false">
      <c r="A365" s="0" t="n">
        <v>983</v>
      </c>
      <c r="B365" s="0" t="s">
        <v>127</v>
      </c>
      <c r="C365" s="0" t="n">
        <v>1</v>
      </c>
      <c r="D365" s="0" t="n">
        <v>0</v>
      </c>
      <c r="E365" s="0" t="n">
        <v>2</v>
      </c>
      <c r="F365" s="0" t="n">
        <v>14</v>
      </c>
      <c r="G365" s="0" t="b">
        <f aca="false">FALSE()</f>
        <v>0</v>
      </c>
      <c r="H365" s="0" t="n">
        <v>0</v>
      </c>
      <c r="I365" s="0" t="n">
        <v>2</v>
      </c>
      <c r="J365" s="0" t="n">
        <v>0.4</v>
      </c>
      <c r="K365" s="0" t="n">
        <v>0.4091</v>
      </c>
      <c r="L365" s="0" t="n">
        <v>0.3</v>
      </c>
      <c r="M365" s="0" t="n">
        <v>0.4179</v>
      </c>
      <c r="N365" s="0" t="n">
        <v>51</v>
      </c>
      <c r="O365" s="0" t="n">
        <v>110</v>
      </c>
      <c r="P365" s="0" t="n">
        <v>161</v>
      </c>
    </row>
    <row r="366" customFormat="false" ht="15" hidden="false" customHeight="false" outlineLevel="0" collapsed="false">
      <c r="A366" s="0" t="n">
        <v>984</v>
      </c>
      <c r="B366" s="0" t="s">
        <v>127</v>
      </c>
      <c r="C366" s="0" t="n">
        <v>1</v>
      </c>
      <c r="D366" s="0" t="n">
        <v>0</v>
      </c>
      <c r="E366" s="0" t="n">
        <v>2</v>
      </c>
      <c r="F366" s="0" t="n">
        <v>15</v>
      </c>
      <c r="G366" s="0" t="b">
        <f aca="false">FALSE()</f>
        <v>0</v>
      </c>
      <c r="H366" s="0" t="n">
        <v>0</v>
      </c>
      <c r="I366" s="0" t="n">
        <v>2</v>
      </c>
      <c r="J366" s="0" t="n">
        <v>0.4</v>
      </c>
      <c r="K366" s="0" t="n">
        <v>0.4091</v>
      </c>
      <c r="L366" s="0" t="n">
        <v>0.3</v>
      </c>
      <c r="M366" s="0" t="n">
        <v>0.2985</v>
      </c>
      <c r="N366" s="0" t="n">
        <v>40</v>
      </c>
      <c r="O366" s="0" t="n">
        <v>122</v>
      </c>
      <c r="P366" s="0" t="n">
        <v>162</v>
      </c>
    </row>
    <row r="367" customFormat="false" ht="15" hidden="false" customHeight="false" outlineLevel="0" collapsed="false">
      <c r="A367" s="0" t="n">
        <v>985</v>
      </c>
      <c r="B367" s="0" t="s">
        <v>127</v>
      </c>
      <c r="C367" s="0" t="n">
        <v>1</v>
      </c>
      <c r="D367" s="0" t="n">
        <v>0</v>
      </c>
      <c r="E367" s="0" t="n">
        <v>2</v>
      </c>
      <c r="F367" s="0" t="n">
        <v>16</v>
      </c>
      <c r="G367" s="0" t="b">
        <f aca="false">FALSE()</f>
        <v>0</v>
      </c>
      <c r="H367" s="0" t="n">
        <v>0</v>
      </c>
      <c r="I367" s="0" t="n">
        <v>2</v>
      </c>
      <c r="J367" s="0" t="n">
        <v>0.42</v>
      </c>
      <c r="K367" s="0" t="n">
        <v>0.4242</v>
      </c>
      <c r="L367" s="0" t="n">
        <v>0.28</v>
      </c>
      <c r="M367" s="0" t="n">
        <v>0.3284</v>
      </c>
      <c r="N367" s="0" t="n">
        <v>28</v>
      </c>
      <c r="O367" s="0" t="n">
        <v>106</v>
      </c>
      <c r="P367" s="0" t="n">
        <v>134</v>
      </c>
    </row>
    <row r="368" customFormat="false" ht="15" hidden="false" customHeight="false" outlineLevel="0" collapsed="false">
      <c r="A368" s="0" t="n">
        <v>986</v>
      </c>
      <c r="B368" s="0" t="s">
        <v>127</v>
      </c>
      <c r="C368" s="0" t="n">
        <v>1</v>
      </c>
      <c r="D368" s="0" t="n">
        <v>0</v>
      </c>
      <c r="E368" s="0" t="n">
        <v>2</v>
      </c>
      <c r="F368" s="0" t="n">
        <v>17</v>
      </c>
      <c r="G368" s="0" t="b">
        <f aca="false">FALSE()</f>
        <v>0</v>
      </c>
      <c r="H368" s="0" t="n">
        <v>0</v>
      </c>
      <c r="I368" s="0" t="n">
        <v>1</v>
      </c>
      <c r="J368" s="0" t="n">
        <v>0.42</v>
      </c>
      <c r="K368" s="0" t="n">
        <v>0.4242</v>
      </c>
      <c r="L368" s="0" t="n">
        <v>0.28</v>
      </c>
      <c r="M368" s="0" t="n">
        <v>0.3284</v>
      </c>
      <c r="N368" s="0" t="n">
        <v>30</v>
      </c>
      <c r="O368" s="0" t="n">
        <v>95</v>
      </c>
      <c r="P368" s="0" t="n">
        <v>125</v>
      </c>
    </row>
    <row r="369" customFormat="false" ht="15" hidden="false" customHeight="false" outlineLevel="0" collapsed="false">
      <c r="A369" s="0" t="n">
        <v>987</v>
      </c>
      <c r="B369" s="0" t="s">
        <v>127</v>
      </c>
      <c r="C369" s="0" t="n">
        <v>1</v>
      </c>
      <c r="D369" s="0" t="n">
        <v>0</v>
      </c>
      <c r="E369" s="0" t="n">
        <v>2</v>
      </c>
      <c r="F369" s="0" t="n">
        <v>18</v>
      </c>
      <c r="G369" s="0" t="b">
        <f aca="false">FALSE()</f>
        <v>0</v>
      </c>
      <c r="H369" s="0" t="n">
        <v>0</v>
      </c>
      <c r="I369" s="0" t="n">
        <v>1</v>
      </c>
      <c r="J369" s="0" t="n">
        <v>0.4</v>
      </c>
      <c r="K369" s="0" t="n">
        <v>0.4091</v>
      </c>
      <c r="L369" s="0" t="n">
        <v>0.32</v>
      </c>
      <c r="M369" s="0" t="n">
        <v>0.2985</v>
      </c>
      <c r="N369" s="0" t="n">
        <v>17</v>
      </c>
      <c r="O369" s="0" t="n">
        <v>78</v>
      </c>
      <c r="P369" s="0" t="n">
        <v>95</v>
      </c>
    </row>
    <row r="370" customFormat="false" ht="15" hidden="false" customHeight="false" outlineLevel="0" collapsed="false">
      <c r="A370" s="0" t="n">
        <v>988</v>
      </c>
      <c r="B370" s="0" t="s">
        <v>127</v>
      </c>
      <c r="C370" s="0" t="n">
        <v>1</v>
      </c>
      <c r="D370" s="0" t="n">
        <v>0</v>
      </c>
      <c r="E370" s="0" t="n">
        <v>2</v>
      </c>
      <c r="F370" s="0" t="n">
        <v>19</v>
      </c>
      <c r="G370" s="0" t="b">
        <f aca="false">FALSE()</f>
        <v>0</v>
      </c>
      <c r="H370" s="0" t="n">
        <v>0</v>
      </c>
      <c r="I370" s="0" t="n">
        <v>1</v>
      </c>
      <c r="J370" s="0" t="n">
        <v>0.4</v>
      </c>
      <c r="K370" s="0" t="n">
        <v>0.4091</v>
      </c>
      <c r="L370" s="0" t="n">
        <v>0.35</v>
      </c>
      <c r="M370" s="0" t="n">
        <v>0.2836</v>
      </c>
      <c r="N370" s="0" t="n">
        <v>11</v>
      </c>
      <c r="O370" s="0" t="n">
        <v>50</v>
      </c>
      <c r="P370" s="0" t="n">
        <v>61</v>
      </c>
    </row>
    <row r="371" customFormat="false" ht="15" hidden="false" customHeight="false" outlineLevel="0" collapsed="false">
      <c r="A371" s="0" t="n">
        <v>989</v>
      </c>
      <c r="B371" s="0" t="s">
        <v>127</v>
      </c>
      <c r="C371" s="0" t="n">
        <v>1</v>
      </c>
      <c r="D371" s="0" t="n">
        <v>0</v>
      </c>
      <c r="E371" s="0" t="n">
        <v>2</v>
      </c>
      <c r="F371" s="0" t="n">
        <v>20</v>
      </c>
      <c r="G371" s="0" t="b">
        <f aca="false">FALSE()</f>
        <v>0</v>
      </c>
      <c r="H371" s="0" t="n">
        <v>0</v>
      </c>
      <c r="I371" s="0" t="n">
        <v>1</v>
      </c>
      <c r="J371" s="0" t="n">
        <v>0.4</v>
      </c>
      <c r="K371" s="0" t="n">
        <v>0.4091</v>
      </c>
      <c r="L371" s="0" t="n">
        <v>0.35</v>
      </c>
      <c r="M371" s="0" t="n">
        <v>0.3284</v>
      </c>
      <c r="N371" s="0" t="n">
        <v>15</v>
      </c>
      <c r="O371" s="0" t="n">
        <v>32</v>
      </c>
      <c r="P371" s="0" t="n">
        <v>47</v>
      </c>
    </row>
    <row r="372" customFormat="false" ht="15" hidden="false" customHeight="false" outlineLevel="0" collapsed="false">
      <c r="A372" s="0" t="n">
        <v>990</v>
      </c>
      <c r="B372" s="0" t="s">
        <v>127</v>
      </c>
      <c r="C372" s="0" t="n">
        <v>1</v>
      </c>
      <c r="D372" s="0" t="n">
        <v>0</v>
      </c>
      <c r="E372" s="0" t="n">
        <v>2</v>
      </c>
      <c r="F372" s="0" t="n">
        <v>21</v>
      </c>
      <c r="G372" s="0" t="b">
        <f aca="false">FALSE()</f>
        <v>0</v>
      </c>
      <c r="H372" s="0" t="n">
        <v>0</v>
      </c>
      <c r="I372" s="0" t="n">
        <v>1</v>
      </c>
      <c r="J372" s="0" t="n">
        <v>0.4</v>
      </c>
      <c r="K372" s="0" t="n">
        <v>0.4091</v>
      </c>
      <c r="L372" s="0" t="n">
        <v>0.35</v>
      </c>
      <c r="M372" s="0" t="n">
        <v>0.3582</v>
      </c>
      <c r="N372" s="0" t="n">
        <v>6</v>
      </c>
      <c r="O372" s="0" t="n">
        <v>45</v>
      </c>
      <c r="P372" s="0" t="n">
        <v>51</v>
      </c>
    </row>
    <row r="373" customFormat="false" ht="15" hidden="false" customHeight="false" outlineLevel="0" collapsed="false">
      <c r="A373" s="0" t="n">
        <v>991</v>
      </c>
      <c r="B373" s="0" t="s">
        <v>127</v>
      </c>
      <c r="C373" s="0" t="n">
        <v>1</v>
      </c>
      <c r="D373" s="0" t="n">
        <v>0</v>
      </c>
      <c r="E373" s="0" t="n">
        <v>2</v>
      </c>
      <c r="F373" s="0" t="n">
        <v>22</v>
      </c>
      <c r="G373" s="0" t="b">
        <f aca="false">FALSE()</f>
        <v>0</v>
      </c>
      <c r="H373" s="0" t="n">
        <v>0</v>
      </c>
      <c r="I373" s="0" t="n">
        <v>1</v>
      </c>
      <c r="J373" s="0" t="n">
        <v>0.4</v>
      </c>
      <c r="K373" s="0" t="n">
        <v>0.4091</v>
      </c>
      <c r="L373" s="0" t="n">
        <v>0.35</v>
      </c>
      <c r="M373" s="0" t="n">
        <v>0.2985</v>
      </c>
      <c r="N373" s="0" t="n">
        <v>5</v>
      </c>
      <c r="O373" s="0" t="n">
        <v>31</v>
      </c>
      <c r="P373" s="0" t="n">
        <v>36</v>
      </c>
    </row>
    <row r="374" customFormat="false" ht="15" hidden="false" customHeight="false" outlineLevel="0" collapsed="false">
      <c r="A374" s="0" t="n">
        <v>992</v>
      </c>
      <c r="B374" s="0" t="s">
        <v>127</v>
      </c>
      <c r="C374" s="0" t="n">
        <v>1</v>
      </c>
      <c r="D374" s="0" t="n">
        <v>0</v>
      </c>
      <c r="E374" s="0" t="n">
        <v>2</v>
      </c>
      <c r="F374" s="0" t="n">
        <v>23</v>
      </c>
      <c r="G374" s="0" t="b">
        <f aca="false">FALSE()</f>
        <v>0</v>
      </c>
      <c r="H374" s="0" t="n">
        <v>0</v>
      </c>
      <c r="I374" s="0" t="n">
        <v>1</v>
      </c>
      <c r="J374" s="0" t="n">
        <v>0.4</v>
      </c>
      <c r="K374" s="0" t="n">
        <v>0.4091</v>
      </c>
      <c r="L374" s="0" t="n">
        <v>0.35</v>
      </c>
      <c r="M374" s="0" t="n">
        <v>0.3582</v>
      </c>
      <c r="N374" s="0" t="n">
        <v>3</v>
      </c>
      <c r="O374" s="0" t="n">
        <v>27</v>
      </c>
      <c r="P374" s="0" t="n">
        <v>30</v>
      </c>
    </row>
    <row r="375" customFormat="false" ht="15" hidden="false" customHeight="false" outlineLevel="0" collapsed="false">
      <c r="A375" s="0" t="n">
        <v>993</v>
      </c>
      <c r="B375" s="0" t="s">
        <v>128</v>
      </c>
      <c r="C375" s="0" t="n">
        <v>1</v>
      </c>
      <c r="D375" s="0" t="n">
        <v>0</v>
      </c>
      <c r="E375" s="0" t="n">
        <v>2</v>
      </c>
      <c r="F375" s="0" t="n">
        <v>0</v>
      </c>
      <c r="G375" s="0" t="b">
        <f aca="false">FALSE()</f>
        <v>0</v>
      </c>
      <c r="H375" s="0" t="n">
        <v>1</v>
      </c>
      <c r="I375" s="0" t="n">
        <v>1</v>
      </c>
      <c r="J375" s="0" t="n">
        <v>0.38</v>
      </c>
      <c r="K375" s="0" t="n">
        <v>0.3939</v>
      </c>
      <c r="L375" s="0" t="n">
        <v>0.37</v>
      </c>
      <c r="M375" s="0" t="n">
        <v>0.3582</v>
      </c>
      <c r="N375" s="0" t="n">
        <v>3</v>
      </c>
      <c r="O375" s="0" t="n">
        <v>8</v>
      </c>
      <c r="P375" s="0" t="n">
        <v>11</v>
      </c>
    </row>
    <row r="376" customFormat="false" ht="15" hidden="false" customHeight="false" outlineLevel="0" collapsed="false">
      <c r="A376" s="0" t="n">
        <v>994</v>
      </c>
      <c r="B376" s="0" t="s">
        <v>128</v>
      </c>
      <c r="C376" s="0" t="n">
        <v>1</v>
      </c>
      <c r="D376" s="0" t="n">
        <v>0</v>
      </c>
      <c r="E376" s="0" t="n">
        <v>2</v>
      </c>
      <c r="F376" s="0" t="n">
        <v>1</v>
      </c>
      <c r="G376" s="0" t="b">
        <f aca="false">FALSE()</f>
        <v>0</v>
      </c>
      <c r="H376" s="0" t="n">
        <v>1</v>
      </c>
      <c r="I376" s="0" t="n">
        <v>1</v>
      </c>
      <c r="J376" s="0" t="n">
        <v>0.38</v>
      </c>
      <c r="K376" s="0" t="n">
        <v>0.3939</v>
      </c>
      <c r="L376" s="0" t="n">
        <v>0.37</v>
      </c>
      <c r="M376" s="0" t="n">
        <v>0.3582</v>
      </c>
      <c r="N376" s="0" t="n">
        <v>1</v>
      </c>
      <c r="O376" s="0" t="n">
        <v>6</v>
      </c>
      <c r="P376" s="0" t="n">
        <v>7</v>
      </c>
    </row>
    <row r="377" customFormat="false" ht="15" hidden="false" customHeight="false" outlineLevel="0" collapsed="false">
      <c r="A377" s="0" t="n">
        <v>995</v>
      </c>
      <c r="B377" s="0" t="s">
        <v>128</v>
      </c>
      <c r="C377" s="0" t="n">
        <v>1</v>
      </c>
      <c r="D377" s="0" t="n">
        <v>0</v>
      </c>
      <c r="E377" s="0" t="n">
        <v>2</v>
      </c>
      <c r="F377" s="0" t="n">
        <v>2</v>
      </c>
      <c r="G377" s="0" t="b">
        <f aca="false">FALSE()</f>
        <v>0</v>
      </c>
      <c r="H377" s="0" t="n">
        <v>1</v>
      </c>
      <c r="I377" s="0" t="n">
        <v>1</v>
      </c>
      <c r="J377" s="0" t="n">
        <v>0.36</v>
      </c>
      <c r="K377" s="0" t="n">
        <v>0.3333</v>
      </c>
      <c r="L377" s="0" t="n">
        <v>0.4</v>
      </c>
      <c r="M377" s="0" t="n">
        <v>0.2985</v>
      </c>
      <c r="N377" s="0" t="n">
        <v>0</v>
      </c>
      <c r="O377" s="0" t="n">
        <v>2</v>
      </c>
      <c r="P377" s="0" t="n">
        <v>2</v>
      </c>
    </row>
    <row r="378" customFormat="false" ht="15" hidden="false" customHeight="false" outlineLevel="0" collapsed="false">
      <c r="A378" s="0" t="n">
        <v>996</v>
      </c>
      <c r="B378" s="0" t="s">
        <v>128</v>
      </c>
      <c r="C378" s="0" t="n">
        <v>1</v>
      </c>
      <c r="D378" s="0" t="n">
        <v>0</v>
      </c>
      <c r="E378" s="0" t="n">
        <v>2</v>
      </c>
      <c r="F378" s="0" t="n">
        <v>3</v>
      </c>
      <c r="G378" s="0" t="b">
        <f aca="false">FALSE()</f>
        <v>0</v>
      </c>
      <c r="H378" s="0" t="n">
        <v>1</v>
      </c>
      <c r="I378" s="0" t="n">
        <v>1</v>
      </c>
      <c r="J378" s="0" t="n">
        <v>0.34</v>
      </c>
      <c r="K378" s="0" t="n">
        <v>0.3182</v>
      </c>
      <c r="L378" s="0" t="n">
        <v>0.46</v>
      </c>
      <c r="M378" s="0" t="n">
        <v>0.2239</v>
      </c>
      <c r="N378" s="0" t="n">
        <v>1</v>
      </c>
      <c r="O378" s="0" t="n">
        <v>1</v>
      </c>
      <c r="P378" s="0" t="n">
        <v>2</v>
      </c>
    </row>
    <row r="379" customFormat="false" ht="15" hidden="false" customHeight="false" outlineLevel="0" collapsed="false">
      <c r="A379" s="0" t="n">
        <v>997</v>
      </c>
      <c r="B379" s="0" t="s">
        <v>128</v>
      </c>
      <c r="C379" s="0" t="n">
        <v>1</v>
      </c>
      <c r="D379" s="0" t="n">
        <v>0</v>
      </c>
      <c r="E379" s="0" t="n">
        <v>2</v>
      </c>
      <c r="F379" s="0" t="n">
        <v>4</v>
      </c>
      <c r="G379" s="0" t="b">
        <f aca="false">FALSE()</f>
        <v>0</v>
      </c>
      <c r="H379" s="0" t="n">
        <v>1</v>
      </c>
      <c r="I379" s="0" t="n">
        <v>1</v>
      </c>
      <c r="J379" s="0" t="n">
        <v>0.32</v>
      </c>
      <c r="K379" s="0" t="n">
        <v>0.303</v>
      </c>
      <c r="L379" s="0" t="n">
        <v>0.53</v>
      </c>
      <c r="M379" s="0" t="n">
        <v>0.2836</v>
      </c>
      <c r="N379" s="0" t="n">
        <v>0</v>
      </c>
      <c r="O379" s="0" t="n">
        <v>2</v>
      </c>
      <c r="P379" s="0" t="n">
        <v>2</v>
      </c>
    </row>
    <row r="380" customFormat="false" ht="15" hidden="false" customHeight="false" outlineLevel="0" collapsed="false">
      <c r="A380" s="0" t="n">
        <v>998</v>
      </c>
      <c r="B380" s="0" t="s">
        <v>128</v>
      </c>
      <c r="C380" s="0" t="n">
        <v>1</v>
      </c>
      <c r="D380" s="0" t="n">
        <v>0</v>
      </c>
      <c r="E380" s="0" t="n">
        <v>2</v>
      </c>
      <c r="F380" s="0" t="n">
        <v>5</v>
      </c>
      <c r="G380" s="0" t="b">
        <f aca="false">FALSE()</f>
        <v>0</v>
      </c>
      <c r="H380" s="0" t="n">
        <v>1</v>
      </c>
      <c r="I380" s="0" t="n">
        <v>1</v>
      </c>
      <c r="J380" s="0" t="n">
        <v>0.32</v>
      </c>
      <c r="K380" s="0" t="n">
        <v>0.303</v>
      </c>
      <c r="L380" s="0" t="n">
        <v>0.53</v>
      </c>
      <c r="M380" s="0" t="n">
        <v>0.2836</v>
      </c>
      <c r="N380" s="0" t="n">
        <v>0</v>
      </c>
      <c r="O380" s="0" t="n">
        <v>3</v>
      </c>
      <c r="P380" s="0" t="n">
        <v>3</v>
      </c>
    </row>
    <row r="381" customFormat="false" ht="15" hidden="false" customHeight="false" outlineLevel="0" collapsed="false">
      <c r="A381" s="0" t="n">
        <v>999</v>
      </c>
      <c r="B381" s="0" t="s">
        <v>128</v>
      </c>
      <c r="C381" s="0" t="n">
        <v>1</v>
      </c>
      <c r="D381" s="0" t="n">
        <v>0</v>
      </c>
      <c r="E381" s="0" t="n">
        <v>2</v>
      </c>
      <c r="F381" s="0" t="n">
        <v>6</v>
      </c>
      <c r="G381" s="0" t="b">
        <f aca="false">FALSE()</f>
        <v>0</v>
      </c>
      <c r="H381" s="0" t="n">
        <v>1</v>
      </c>
      <c r="I381" s="0" t="n">
        <v>1</v>
      </c>
      <c r="J381" s="0" t="n">
        <v>0.34</v>
      </c>
      <c r="K381" s="0" t="n">
        <v>0.303</v>
      </c>
      <c r="L381" s="0" t="n">
        <v>0.46</v>
      </c>
      <c r="M381" s="0" t="n">
        <v>0.2985</v>
      </c>
      <c r="N381" s="0" t="n">
        <v>1</v>
      </c>
      <c r="O381" s="0" t="n">
        <v>25</v>
      </c>
      <c r="P381" s="0" t="n">
        <v>26</v>
      </c>
    </row>
    <row r="382" customFormat="false" ht="15" hidden="false" customHeight="false" outlineLevel="0" collapsed="false">
      <c r="A382" s="0" t="n">
        <v>1000</v>
      </c>
      <c r="B382" s="0" t="s">
        <v>128</v>
      </c>
      <c r="C382" s="0" t="n">
        <v>1</v>
      </c>
      <c r="D382" s="0" t="n">
        <v>0</v>
      </c>
      <c r="E382" s="0" t="n">
        <v>2</v>
      </c>
      <c r="F382" s="0" t="n">
        <v>7</v>
      </c>
      <c r="G382" s="0" t="b">
        <f aca="false">FALSE()</f>
        <v>0</v>
      </c>
      <c r="H382" s="0" t="n">
        <v>1</v>
      </c>
      <c r="I382" s="0" t="n">
        <v>1</v>
      </c>
      <c r="J382" s="0" t="n">
        <v>0.34</v>
      </c>
      <c r="K382" s="0" t="n">
        <v>0.303</v>
      </c>
      <c r="L382" s="0" t="n">
        <v>0.46</v>
      </c>
      <c r="M382" s="0" t="n">
        <v>0.2985</v>
      </c>
      <c r="N382" s="0" t="n">
        <v>2</v>
      </c>
      <c r="O382" s="0" t="n">
        <v>96</v>
      </c>
      <c r="P382" s="0" t="n">
        <v>98</v>
      </c>
    </row>
    <row r="383" customFormat="false" ht="15" hidden="false" customHeight="false" outlineLevel="0" collapsed="false">
      <c r="A383" s="0" t="n">
        <v>611</v>
      </c>
      <c r="B383" s="0" t="s">
        <v>104</v>
      </c>
      <c r="C383" s="0" t="n">
        <v>1</v>
      </c>
      <c r="D383" s="0" t="n">
        <v>0</v>
      </c>
      <c r="E383" s="0" t="n">
        <v>1</v>
      </c>
      <c r="F383" s="0" t="n">
        <v>16</v>
      </c>
      <c r="G383" s="0" t="b">
        <f aca="false">FALSE()</f>
        <v>0</v>
      </c>
      <c r="H383" s="0" t="n">
        <v>5</v>
      </c>
      <c r="I383" s="0" t="n">
        <v>1</v>
      </c>
      <c r="J383" s="0" t="n">
        <v>0.22</v>
      </c>
      <c r="K383" s="0" t="n">
        <v>0.2727</v>
      </c>
      <c r="L383" s="0" t="n">
        <v>0.8</v>
      </c>
      <c r="M383" s="0" t="n">
        <v>0</v>
      </c>
      <c r="N383" s="0" t="n">
        <v>10</v>
      </c>
      <c r="O383" s="0" t="n">
        <v>70</v>
      </c>
      <c r="P383" s="0" t="n">
        <v>80</v>
      </c>
    </row>
    <row r="384" customFormat="false" ht="15" hidden="false" customHeight="false" outlineLevel="0" collapsed="false">
      <c r="A384" s="0" t="n">
        <v>612</v>
      </c>
      <c r="B384" s="0" t="s">
        <v>104</v>
      </c>
      <c r="C384" s="0" t="n">
        <v>1</v>
      </c>
      <c r="D384" s="0" t="n">
        <v>0</v>
      </c>
      <c r="E384" s="0" t="n">
        <v>1</v>
      </c>
      <c r="F384" s="0" t="n">
        <v>17</v>
      </c>
      <c r="G384" s="0" t="b">
        <f aca="false">FALSE()</f>
        <v>0</v>
      </c>
      <c r="H384" s="0" t="n">
        <v>5</v>
      </c>
      <c r="I384" s="0" t="n">
        <v>1</v>
      </c>
      <c r="J384" s="0" t="n">
        <v>0.24</v>
      </c>
      <c r="K384" s="0" t="n">
        <v>0.2424</v>
      </c>
      <c r="L384" s="0" t="n">
        <v>0.75</v>
      </c>
      <c r="M384" s="0" t="n">
        <v>0.1343</v>
      </c>
      <c r="N384" s="0" t="n">
        <v>2</v>
      </c>
      <c r="O384" s="0" t="n">
        <v>147</v>
      </c>
      <c r="P384" s="0" t="n">
        <v>149</v>
      </c>
    </row>
    <row r="385" customFormat="false" ht="15" hidden="false" customHeight="false" outlineLevel="0" collapsed="false">
      <c r="A385" s="0" t="n">
        <v>613</v>
      </c>
      <c r="B385" s="0" t="s">
        <v>104</v>
      </c>
      <c r="C385" s="0" t="n">
        <v>1</v>
      </c>
      <c r="D385" s="0" t="n">
        <v>0</v>
      </c>
      <c r="E385" s="0" t="n">
        <v>1</v>
      </c>
      <c r="F385" s="0" t="n">
        <v>18</v>
      </c>
      <c r="G385" s="0" t="b">
        <f aca="false">FALSE()</f>
        <v>0</v>
      </c>
      <c r="H385" s="0" t="n">
        <v>5</v>
      </c>
      <c r="I385" s="0" t="n">
        <v>1</v>
      </c>
      <c r="J385" s="0" t="n">
        <v>0.24</v>
      </c>
      <c r="K385" s="0" t="n">
        <v>0.2273</v>
      </c>
      <c r="L385" s="0" t="n">
        <v>0.75</v>
      </c>
      <c r="M385" s="0" t="n">
        <v>0.194</v>
      </c>
      <c r="N385" s="0" t="n">
        <v>2</v>
      </c>
      <c r="O385" s="0" t="n">
        <v>107</v>
      </c>
      <c r="P385" s="0" t="n">
        <v>109</v>
      </c>
    </row>
    <row r="386" customFormat="false" ht="15" hidden="false" customHeight="false" outlineLevel="0" collapsed="false">
      <c r="A386" s="0" t="n">
        <v>614</v>
      </c>
      <c r="B386" s="0" t="s">
        <v>104</v>
      </c>
      <c r="C386" s="0" t="n">
        <v>1</v>
      </c>
      <c r="D386" s="0" t="n">
        <v>0</v>
      </c>
      <c r="E386" s="0" t="n">
        <v>1</v>
      </c>
      <c r="F386" s="0" t="n">
        <v>19</v>
      </c>
      <c r="G386" s="0" t="b">
        <f aca="false">FALSE()</f>
        <v>0</v>
      </c>
      <c r="H386" s="0" t="n">
        <v>5</v>
      </c>
      <c r="I386" s="0" t="n">
        <v>2</v>
      </c>
      <c r="J386" s="0" t="n">
        <v>0.24</v>
      </c>
      <c r="K386" s="0" t="n">
        <v>0.2424</v>
      </c>
      <c r="L386" s="0" t="n">
        <v>0.75</v>
      </c>
      <c r="M386" s="0" t="n">
        <v>0.1343</v>
      </c>
      <c r="N386" s="0" t="n">
        <v>5</v>
      </c>
      <c r="O386" s="0" t="n">
        <v>84</v>
      </c>
      <c r="P386" s="0" t="n">
        <v>89</v>
      </c>
    </row>
    <row r="387" customFormat="false" ht="15" hidden="false" customHeight="false" outlineLevel="0" collapsed="false">
      <c r="A387" s="0" t="n">
        <v>615</v>
      </c>
      <c r="B387" s="0" t="s">
        <v>104</v>
      </c>
      <c r="C387" s="0" t="n">
        <v>1</v>
      </c>
      <c r="D387" s="0" t="n">
        <v>0</v>
      </c>
      <c r="E387" s="0" t="n">
        <v>1</v>
      </c>
      <c r="F387" s="0" t="n">
        <v>20</v>
      </c>
      <c r="G387" s="0" t="b">
        <f aca="false">FALSE()</f>
        <v>0</v>
      </c>
      <c r="H387" s="0" t="n">
        <v>5</v>
      </c>
      <c r="I387" s="0" t="n">
        <v>2</v>
      </c>
      <c r="J387" s="0" t="n">
        <v>0.24</v>
      </c>
      <c r="K387" s="0" t="n">
        <v>0.2273</v>
      </c>
      <c r="L387" s="0" t="n">
        <v>0.7</v>
      </c>
      <c r="M387" s="0" t="n">
        <v>0.194</v>
      </c>
      <c r="N387" s="0" t="n">
        <v>1</v>
      </c>
      <c r="O387" s="0" t="n">
        <v>61</v>
      </c>
      <c r="P387" s="0" t="n">
        <v>62</v>
      </c>
    </row>
    <row r="388" customFormat="false" ht="15" hidden="false" customHeight="false" outlineLevel="0" collapsed="false">
      <c r="A388" s="0" t="n">
        <v>616</v>
      </c>
      <c r="B388" s="0" t="s">
        <v>104</v>
      </c>
      <c r="C388" s="0" t="n">
        <v>1</v>
      </c>
      <c r="D388" s="0" t="n">
        <v>0</v>
      </c>
      <c r="E388" s="0" t="n">
        <v>1</v>
      </c>
      <c r="F388" s="0" t="n">
        <v>21</v>
      </c>
      <c r="G388" s="0" t="b">
        <f aca="false">FALSE()</f>
        <v>0</v>
      </c>
      <c r="H388" s="0" t="n">
        <v>5</v>
      </c>
      <c r="I388" s="0" t="n">
        <v>2</v>
      </c>
      <c r="J388" s="0" t="n">
        <v>0.22</v>
      </c>
      <c r="K388" s="0" t="n">
        <v>0.2273</v>
      </c>
      <c r="L388" s="0" t="n">
        <v>0.75</v>
      </c>
      <c r="M388" s="0" t="n">
        <v>0.1343</v>
      </c>
      <c r="N388" s="0" t="n">
        <v>1</v>
      </c>
      <c r="O388" s="0" t="n">
        <v>57</v>
      </c>
      <c r="P388" s="0" t="n">
        <v>58</v>
      </c>
    </row>
    <row r="389" customFormat="false" ht="15" hidden="false" customHeight="false" outlineLevel="0" collapsed="false">
      <c r="A389" s="0" t="n">
        <v>617</v>
      </c>
      <c r="B389" s="0" t="s">
        <v>104</v>
      </c>
      <c r="C389" s="0" t="n">
        <v>1</v>
      </c>
      <c r="D389" s="0" t="n">
        <v>0</v>
      </c>
      <c r="E389" s="0" t="n">
        <v>1</v>
      </c>
      <c r="F389" s="0" t="n">
        <v>22</v>
      </c>
      <c r="G389" s="0" t="b">
        <f aca="false">FALSE()</f>
        <v>0</v>
      </c>
      <c r="H389" s="0" t="n">
        <v>5</v>
      </c>
      <c r="I389" s="0" t="n">
        <v>1</v>
      </c>
      <c r="J389" s="0" t="n">
        <v>0.24</v>
      </c>
      <c r="K389" s="0" t="n">
        <v>0.2121</v>
      </c>
      <c r="L389" s="0" t="n">
        <v>0.65</v>
      </c>
      <c r="M389" s="0" t="n">
        <v>0.3582</v>
      </c>
      <c r="N389" s="0" t="n">
        <v>0</v>
      </c>
      <c r="O389" s="0" t="n">
        <v>26</v>
      </c>
      <c r="P389" s="0" t="n">
        <v>26</v>
      </c>
    </row>
    <row r="390" customFormat="false" ht="15" hidden="false" customHeight="false" outlineLevel="0" collapsed="false">
      <c r="A390" s="0" t="n">
        <v>618</v>
      </c>
      <c r="B390" s="0" t="s">
        <v>104</v>
      </c>
      <c r="C390" s="0" t="n">
        <v>1</v>
      </c>
      <c r="D390" s="0" t="n">
        <v>0</v>
      </c>
      <c r="E390" s="0" t="n">
        <v>1</v>
      </c>
      <c r="F390" s="0" t="n">
        <v>23</v>
      </c>
      <c r="G390" s="0" t="b">
        <f aca="false">FALSE()</f>
        <v>0</v>
      </c>
      <c r="H390" s="0" t="n">
        <v>5</v>
      </c>
      <c r="I390" s="0" t="n">
        <v>1</v>
      </c>
      <c r="J390" s="0" t="n">
        <v>0.24</v>
      </c>
      <c r="K390" s="0" t="n">
        <v>0.2273</v>
      </c>
      <c r="L390" s="0" t="n">
        <v>0.6</v>
      </c>
      <c r="M390" s="0" t="n">
        <v>0.2239</v>
      </c>
      <c r="N390" s="0" t="n">
        <v>1</v>
      </c>
      <c r="O390" s="0" t="n">
        <v>22</v>
      </c>
      <c r="P390" s="0" t="n">
        <v>23</v>
      </c>
    </row>
    <row r="391" customFormat="false" ht="15" hidden="false" customHeight="false" outlineLevel="0" collapsed="false">
      <c r="A391" s="0" t="n">
        <v>619</v>
      </c>
      <c r="B391" s="0" t="s">
        <v>112</v>
      </c>
      <c r="C391" s="0" t="n">
        <v>1</v>
      </c>
      <c r="D391" s="0" t="n">
        <v>0</v>
      </c>
      <c r="E391" s="0" t="n">
        <v>1</v>
      </c>
      <c r="F391" s="0" t="n">
        <v>0</v>
      </c>
      <c r="G391" s="0" t="b">
        <f aca="false">FALSE()</f>
        <v>0</v>
      </c>
      <c r="H391" s="0" t="n">
        <v>6</v>
      </c>
      <c r="I391" s="0" t="n">
        <v>1</v>
      </c>
      <c r="J391" s="0" t="n">
        <v>0.22</v>
      </c>
      <c r="K391" s="0" t="n">
        <v>0.197</v>
      </c>
      <c r="L391" s="0" t="n">
        <v>0.64</v>
      </c>
      <c r="M391" s="0" t="n">
        <v>0.3582</v>
      </c>
      <c r="N391" s="0" t="n">
        <v>2</v>
      </c>
      <c r="O391" s="0" t="n">
        <v>26</v>
      </c>
      <c r="P391" s="0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4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27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37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9" t="s">
        <v>130</v>
      </c>
      <c r="B3" s="29" t="s">
        <v>131</v>
      </c>
      <c r="D3" s="29" t="s">
        <v>132</v>
      </c>
      <c r="E3" s="29" t="s">
        <v>133</v>
      </c>
      <c r="G3" s="29" t="s">
        <v>134</v>
      </c>
      <c r="H3" s="29" t="s">
        <v>135</v>
      </c>
      <c r="J3" s="29" t="s">
        <v>136</v>
      </c>
      <c r="K3" s="29" t="s">
        <v>137</v>
      </c>
    </row>
    <row r="4" customFormat="false" ht="15" hidden="false" customHeight="false" outlineLevel="0" collapsed="false">
      <c r="A4" s="30" t="n">
        <v>1</v>
      </c>
      <c r="B4" s="31" t="s">
        <v>138</v>
      </c>
      <c r="D4" s="30" t="n">
        <v>0</v>
      </c>
      <c r="E4" s="31" t="s">
        <v>19</v>
      </c>
      <c r="G4" s="30" t="n">
        <v>1</v>
      </c>
      <c r="H4" s="31" t="s">
        <v>32</v>
      </c>
      <c r="J4" s="31" t="s">
        <v>139</v>
      </c>
      <c r="K4" s="31" t="s">
        <v>140</v>
      </c>
    </row>
    <row r="5" customFormat="false" ht="15" hidden="false" customHeight="false" outlineLevel="0" collapsed="false">
      <c r="A5" s="30" t="n">
        <v>2</v>
      </c>
      <c r="B5" s="31" t="s">
        <v>141</v>
      </c>
      <c r="D5" s="30" t="n">
        <v>1</v>
      </c>
      <c r="E5" s="31" t="s">
        <v>20</v>
      </c>
      <c r="G5" s="30" t="n">
        <v>2</v>
      </c>
      <c r="H5" s="31" t="s">
        <v>34</v>
      </c>
      <c r="J5" s="31" t="s">
        <v>142</v>
      </c>
      <c r="K5" s="31" t="s">
        <v>143</v>
      </c>
    </row>
    <row r="6" customFormat="false" ht="15" hidden="false" customHeight="false" outlineLevel="0" collapsed="false">
      <c r="A6" s="30" t="n">
        <v>3</v>
      </c>
      <c r="B6" s="31" t="s">
        <v>144</v>
      </c>
      <c r="D6" s="30" t="n">
        <v>2</v>
      </c>
      <c r="E6" s="31" t="s">
        <v>21</v>
      </c>
      <c r="G6" s="30" t="n">
        <v>3</v>
      </c>
      <c r="H6" s="31" t="s">
        <v>145</v>
      </c>
      <c r="J6" s="31" t="s">
        <v>146</v>
      </c>
      <c r="K6" s="31" t="s">
        <v>147</v>
      </c>
    </row>
    <row r="7" customFormat="false" ht="15" hidden="false" customHeight="false" outlineLevel="0" collapsed="false">
      <c r="A7" s="30" t="n">
        <v>4</v>
      </c>
      <c r="B7" s="31" t="s">
        <v>148</v>
      </c>
      <c r="D7" s="30" t="n">
        <v>3</v>
      </c>
      <c r="E7" s="31" t="s">
        <v>22</v>
      </c>
      <c r="G7" s="30" t="n">
        <v>4</v>
      </c>
      <c r="H7" s="31" t="s">
        <v>149</v>
      </c>
      <c r="J7" s="31" t="s">
        <v>150</v>
      </c>
      <c r="K7" s="31" t="s">
        <v>151</v>
      </c>
    </row>
    <row r="8" customFormat="false" ht="15" hidden="false" customHeight="false" outlineLevel="0" collapsed="false">
      <c r="D8" s="30" t="n">
        <v>4</v>
      </c>
      <c r="E8" s="31" t="s">
        <v>23</v>
      </c>
    </row>
    <row r="9" customFormat="false" ht="15" hidden="false" customHeight="false" outlineLevel="0" collapsed="false">
      <c r="D9" s="30" t="n">
        <v>5</v>
      </c>
      <c r="E9" s="31" t="s">
        <v>24</v>
      </c>
    </row>
    <row r="10" customFormat="false" ht="15" hidden="false" customHeight="false" outlineLevel="0" collapsed="false">
      <c r="D10" s="30" t="n">
        <v>6</v>
      </c>
      <c r="E10" s="31" t="s">
        <v>25</v>
      </c>
    </row>
    <row r="13" customFormat="false" ht="15" hidden="false" customHeight="false" outlineLevel="0" collapsed="false">
      <c r="A13" s="32" t="s">
        <v>152</v>
      </c>
    </row>
    <row r="14" customFormat="false" ht="21.75" hidden="false" customHeight="true" outlineLevel="0" collapsed="false">
      <c r="A14" s="15" t="s">
        <v>153</v>
      </c>
      <c r="B14" s="15" t="s">
        <v>154</v>
      </c>
      <c r="C14" s="15" t="s">
        <v>155</v>
      </c>
      <c r="D14" s="15" t="s">
        <v>156</v>
      </c>
      <c r="E14" s="15" t="s">
        <v>157</v>
      </c>
    </row>
    <row r="15" customFormat="false" ht="15" hidden="false" customHeight="false" outlineLevel="0" collapsed="false">
      <c r="A15" s="33" t="s">
        <v>67</v>
      </c>
      <c r="B15" s="33" t="s">
        <v>158</v>
      </c>
      <c r="C15" s="33" t="s">
        <v>159</v>
      </c>
      <c r="D15" s="34" t="s">
        <v>160</v>
      </c>
      <c r="E15" s="33" t="s">
        <v>161</v>
      </c>
    </row>
    <row r="16" customFormat="false" ht="15" hidden="false" customHeight="false" outlineLevel="0" collapsed="false">
      <c r="A16" s="35" t="s">
        <v>68</v>
      </c>
      <c r="B16" s="35" t="s">
        <v>158</v>
      </c>
      <c r="C16" s="35" t="s">
        <v>162</v>
      </c>
      <c r="D16" s="36" t="s">
        <v>163</v>
      </c>
      <c r="E16" s="35" t="s">
        <v>164</v>
      </c>
    </row>
    <row r="17" customFormat="false" ht="15" hidden="false" customHeight="false" outlineLevel="0" collapsed="false">
      <c r="A17" s="33" t="s">
        <v>69</v>
      </c>
      <c r="B17" s="33" t="s">
        <v>158</v>
      </c>
      <c r="C17" s="33" t="s">
        <v>159</v>
      </c>
      <c r="D17" s="34" t="s">
        <v>165</v>
      </c>
      <c r="E17" s="33" t="s">
        <v>166</v>
      </c>
    </row>
    <row r="18" customFormat="false" ht="15" hidden="false" customHeight="false" outlineLevel="0" collapsed="false">
      <c r="A18" s="35" t="s">
        <v>167</v>
      </c>
      <c r="B18" s="35" t="s">
        <v>168</v>
      </c>
      <c r="C18" s="35" t="s">
        <v>169</v>
      </c>
      <c r="D18" s="36" t="s">
        <v>170</v>
      </c>
      <c r="E18" s="35" t="s">
        <v>171</v>
      </c>
    </row>
    <row r="19" customFormat="false" ht="15" hidden="false" customHeight="false" outlineLevel="0" collapsed="false">
      <c r="A19" s="33" t="s">
        <v>70</v>
      </c>
      <c r="B19" s="33" t="s">
        <v>158</v>
      </c>
      <c r="C19" s="33" t="s">
        <v>159</v>
      </c>
      <c r="D19" s="34" t="s">
        <v>172</v>
      </c>
      <c r="E19" s="33" t="s">
        <v>173</v>
      </c>
    </row>
    <row r="20" customFormat="false" ht="15" hidden="false" customHeight="false" outlineLevel="0" collapsed="false">
      <c r="A20" s="35" t="s">
        <v>71</v>
      </c>
      <c r="B20" s="35" t="s">
        <v>158</v>
      </c>
      <c r="C20" s="35" t="s">
        <v>159</v>
      </c>
      <c r="D20" s="36" t="s">
        <v>174</v>
      </c>
      <c r="E20" s="35" t="s">
        <v>175</v>
      </c>
    </row>
    <row r="21" customFormat="false" ht="15" hidden="false" customHeight="false" outlineLevel="0" collapsed="false">
      <c r="A21" s="33" t="s">
        <v>72</v>
      </c>
      <c r="B21" s="33" t="s">
        <v>158</v>
      </c>
      <c r="C21" s="33" t="s">
        <v>159</v>
      </c>
      <c r="D21" s="34" t="s">
        <v>176</v>
      </c>
      <c r="E21" s="33" t="s">
        <v>177</v>
      </c>
    </row>
    <row r="22" customFormat="false" ht="15" hidden="false" customHeight="false" outlineLevel="0" collapsed="false">
      <c r="A22" s="35" t="s">
        <v>73</v>
      </c>
      <c r="B22" s="35" t="s">
        <v>158</v>
      </c>
      <c r="C22" s="35" t="s">
        <v>178</v>
      </c>
      <c r="D22" s="36" t="s">
        <v>179</v>
      </c>
      <c r="E22" s="35" t="s">
        <v>180</v>
      </c>
    </row>
    <row r="23" customFormat="false" ht="15" hidden="false" customHeight="false" outlineLevel="0" collapsed="false">
      <c r="A23" s="33" t="s">
        <v>74</v>
      </c>
      <c r="B23" s="33" t="s">
        <v>158</v>
      </c>
      <c r="C23" s="33" t="s">
        <v>159</v>
      </c>
      <c r="D23" s="34" t="s">
        <v>181</v>
      </c>
      <c r="E23" s="33" t="s">
        <v>182</v>
      </c>
    </row>
    <row r="24" customFormat="false" ht="15" hidden="false" customHeight="false" outlineLevel="0" collapsed="false">
      <c r="A24" s="35" t="s">
        <v>183</v>
      </c>
      <c r="B24" s="35" t="s">
        <v>168</v>
      </c>
      <c r="C24" s="35" t="s">
        <v>169</v>
      </c>
      <c r="D24" s="36" t="s">
        <v>184</v>
      </c>
      <c r="E24" s="35" t="s">
        <v>185</v>
      </c>
    </row>
    <row r="25" customFormat="false" ht="15" hidden="false" customHeight="false" outlineLevel="0" collapsed="false">
      <c r="A25" s="33" t="s">
        <v>186</v>
      </c>
      <c r="B25" s="33" t="s">
        <v>168</v>
      </c>
      <c r="C25" s="33" t="s">
        <v>169</v>
      </c>
      <c r="D25" s="34" t="s">
        <v>187</v>
      </c>
      <c r="E25" s="33" t="s">
        <v>188</v>
      </c>
    </row>
    <row r="26" customFormat="false" ht="15" hidden="false" customHeight="false" outlineLevel="0" collapsed="false">
      <c r="A26" s="35" t="s">
        <v>189</v>
      </c>
      <c r="B26" s="35" t="s">
        <v>168</v>
      </c>
      <c r="C26" s="35" t="s">
        <v>169</v>
      </c>
      <c r="D26" s="36" t="s">
        <v>190</v>
      </c>
      <c r="E26" s="35" t="s">
        <v>191</v>
      </c>
    </row>
    <row r="27" customFormat="false" ht="15" hidden="false" customHeight="false" outlineLevel="0" collapsed="false">
      <c r="A27" s="33" t="s">
        <v>75</v>
      </c>
      <c r="B27" s="33" t="s">
        <v>158</v>
      </c>
      <c r="C27" s="33" t="s">
        <v>159</v>
      </c>
      <c r="D27" s="34" t="s">
        <v>192</v>
      </c>
      <c r="E27" s="33" t="s">
        <v>193</v>
      </c>
    </row>
    <row r="28" customFormat="false" ht="15" hidden="false" customHeight="false" outlineLevel="0" collapsed="false">
      <c r="A28" s="35" t="s">
        <v>194</v>
      </c>
      <c r="B28" s="35" t="s">
        <v>168</v>
      </c>
      <c r="C28" s="35" t="s">
        <v>169</v>
      </c>
      <c r="D28" s="36" t="s">
        <v>195</v>
      </c>
      <c r="E28" s="35" t="s">
        <v>196</v>
      </c>
    </row>
    <row r="29" customFormat="false" ht="15" hidden="false" customHeight="false" outlineLevel="0" collapsed="false">
      <c r="A29" s="33" t="s">
        <v>76</v>
      </c>
      <c r="B29" s="33" t="s">
        <v>158</v>
      </c>
      <c r="C29" s="33" t="s">
        <v>197</v>
      </c>
      <c r="D29" s="34" t="s">
        <v>198</v>
      </c>
      <c r="E29" s="33" t="s">
        <v>199</v>
      </c>
    </row>
    <row r="30" customFormat="false" ht="15" hidden="false" customHeight="false" outlineLevel="0" collapsed="false">
      <c r="A30" s="35" t="s">
        <v>200</v>
      </c>
      <c r="B30" s="35" t="s">
        <v>201</v>
      </c>
      <c r="C30" s="35" t="s">
        <v>197</v>
      </c>
      <c r="D30" s="36" t="s">
        <v>202</v>
      </c>
      <c r="E30" s="35" t="s">
        <v>203</v>
      </c>
    </row>
    <row r="31" customFormat="false" ht="15" hidden="false" customHeight="false" outlineLevel="0" collapsed="false">
      <c r="A31" s="33" t="s">
        <v>204</v>
      </c>
      <c r="B31" s="33" t="s">
        <v>205</v>
      </c>
      <c r="C31" s="33" t="s">
        <v>197</v>
      </c>
      <c r="D31" s="34" t="s">
        <v>206</v>
      </c>
      <c r="E31" s="33" t="s">
        <v>207</v>
      </c>
    </row>
    <row r="32" customFormat="false" ht="15" hidden="false" customHeight="false" outlineLevel="0" collapsed="false">
      <c r="A32" s="35" t="s">
        <v>208</v>
      </c>
      <c r="B32" s="35" t="s">
        <v>205</v>
      </c>
      <c r="C32" s="35" t="s">
        <v>169</v>
      </c>
      <c r="D32" s="36" t="s">
        <v>209</v>
      </c>
      <c r="E32" s="35" t="s">
        <v>210</v>
      </c>
    </row>
    <row r="33" customFormat="false" ht="15" hidden="false" customHeight="false" outlineLevel="0" collapsed="false">
      <c r="A33" s="33" t="s">
        <v>107</v>
      </c>
      <c r="B33" s="33" t="s">
        <v>201</v>
      </c>
      <c r="C33" s="33" t="s">
        <v>197</v>
      </c>
      <c r="D33" s="34" t="s">
        <v>211</v>
      </c>
      <c r="E33" s="33" t="s">
        <v>212</v>
      </c>
    </row>
    <row r="34" customFormat="false" ht="15" hidden="false" customHeight="false" outlineLevel="0" collapsed="false">
      <c r="A34" s="35" t="s">
        <v>108</v>
      </c>
      <c r="B34" s="35" t="s">
        <v>201</v>
      </c>
      <c r="C34" s="35" t="s">
        <v>197</v>
      </c>
      <c r="D34" s="36" t="s">
        <v>213</v>
      </c>
      <c r="E34" s="35" t="s">
        <v>214</v>
      </c>
    </row>
    <row r="35" customFormat="false" ht="15" hidden="false" customHeight="false" outlineLevel="0" collapsed="false">
      <c r="A35" s="33" t="s">
        <v>109</v>
      </c>
      <c r="B35" s="33" t="s">
        <v>201</v>
      </c>
      <c r="C35" s="33" t="s">
        <v>159</v>
      </c>
      <c r="D35" s="34" t="s">
        <v>215</v>
      </c>
      <c r="E35" s="33" t="s">
        <v>216</v>
      </c>
    </row>
    <row r="36" customFormat="false" ht="15" hidden="false" customHeight="false" outlineLevel="0" collapsed="false">
      <c r="A36" s="35" t="s">
        <v>110</v>
      </c>
      <c r="B36" s="35" t="s">
        <v>201</v>
      </c>
      <c r="C36" s="35" t="s">
        <v>159</v>
      </c>
      <c r="D36" s="36" t="s">
        <v>215</v>
      </c>
      <c r="E36" s="35" t="s">
        <v>217</v>
      </c>
    </row>
    <row r="37" customFormat="false" ht="15" hidden="false" customHeight="false" outlineLevel="0" collapsed="false">
      <c r="A37" s="33" t="s">
        <v>111</v>
      </c>
      <c r="B37" s="33" t="s">
        <v>201</v>
      </c>
      <c r="C37" s="33" t="s">
        <v>159</v>
      </c>
      <c r="D37" s="34" t="s">
        <v>218</v>
      </c>
      <c r="E37" s="33" t="s">
        <v>219</v>
      </c>
    </row>
    <row r="38" customFormat="false" ht="15" hidden="false" customHeight="false" outlineLevel="0" collapsed="false">
      <c r="A38" s="35" t="s">
        <v>220</v>
      </c>
      <c r="B38" s="35" t="s">
        <v>168</v>
      </c>
      <c r="C38" s="35" t="s">
        <v>221</v>
      </c>
      <c r="D38" s="36" t="s">
        <v>222</v>
      </c>
      <c r="E38" s="35" t="s">
        <v>223</v>
      </c>
    </row>
    <row r="39" customFormat="false" ht="15" hidden="false" customHeight="false" outlineLevel="0" collapsed="false">
      <c r="A39" s="33" t="s">
        <v>224</v>
      </c>
      <c r="B39" s="33" t="s">
        <v>168</v>
      </c>
      <c r="C39" s="33" t="s">
        <v>221</v>
      </c>
      <c r="D39" s="34" t="s">
        <v>225</v>
      </c>
      <c r="E39" s="33" t="s">
        <v>226</v>
      </c>
    </row>
    <row r="40" customFormat="false" ht="15" hidden="false" customHeight="false" outlineLevel="0" collapsed="false">
      <c r="A40" s="35" t="s">
        <v>227</v>
      </c>
      <c r="B40" s="35" t="s">
        <v>168</v>
      </c>
      <c r="C40" s="35" t="s">
        <v>169</v>
      </c>
      <c r="D40" s="36" t="s">
        <v>228</v>
      </c>
      <c r="E40" s="35" t="s">
        <v>229</v>
      </c>
    </row>
    <row r="41" customFormat="false" ht="15" hidden="false" customHeight="false" outlineLevel="0" collapsed="false">
      <c r="A41" s="33" t="s">
        <v>230</v>
      </c>
      <c r="B41" s="33" t="s">
        <v>168</v>
      </c>
      <c r="C41" s="33" t="s">
        <v>169</v>
      </c>
      <c r="D41" s="34" t="s">
        <v>231</v>
      </c>
      <c r="E41" s="33" t="s">
        <v>232</v>
      </c>
    </row>
    <row r="42" customFormat="false" ht="15" hidden="false" customHeight="false" outlineLevel="0" collapsed="false">
      <c r="A42" s="35" t="s">
        <v>233</v>
      </c>
      <c r="B42" s="35" t="s">
        <v>168</v>
      </c>
      <c r="C42" s="35" t="s">
        <v>159</v>
      </c>
      <c r="D42" s="36" t="s">
        <v>234</v>
      </c>
      <c r="E42" s="35" t="s">
        <v>235</v>
      </c>
    </row>
    <row r="43" customFormat="false" ht="15" hidden="false" customHeight="false" outlineLevel="0" collapsed="false">
      <c r="A43" s="33" t="s">
        <v>236</v>
      </c>
      <c r="B43" s="33" t="s">
        <v>168</v>
      </c>
      <c r="C43" s="33" t="s">
        <v>169</v>
      </c>
      <c r="D43" s="34" t="s">
        <v>237</v>
      </c>
      <c r="E43" s="33" t="s">
        <v>238</v>
      </c>
    </row>
    <row r="44" customFormat="false" ht="15" hidden="false" customHeight="false" outlineLevel="0" collapsed="false">
      <c r="A44" s="35" t="s">
        <v>239</v>
      </c>
      <c r="B44" s="35" t="s">
        <v>168</v>
      </c>
      <c r="C44" s="35" t="s">
        <v>159</v>
      </c>
      <c r="D44" s="36" t="s">
        <v>240</v>
      </c>
      <c r="E44" s="35" t="s">
        <v>241</v>
      </c>
    </row>
    <row r="45" customFormat="false" ht="15" hidden="false" customHeight="false" outlineLevel="0" collapsed="false">
      <c r="A45" s="33" t="s">
        <v>242</v>
      </c>
      <c r="B45" s="33" t="s">
        <v>168</v>
      </c>
      <c r="C45" s="33" t="s">
        <v>169</v>
      </c>
      <c r="D45" s="34" t="s">
        <v>243</v>
      </c>
      <c r="E45" s="33" t="s">
        <v>244</v>
      </c>
    </row>
    <row r="46" customFormat="false" ht="15" hidden="false" customHeight="false" outlineLevel="0" collapsed="false">
      <c r="A46" s="35" t="s">
        <v>245</v>
      </c>
      <c r="B46" s="35" t="s">
        <v>168</v>
      </c>
      <c r="C46" s="35" t="s">
        <v>169</v>
      </c>
      <c r="D46" s="36" t="s">
        <v>246</v>
      </c>
      <c r="E46" s="35" t="s">
        <v>247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9" min="5" style="0" width="11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6" min="15" style="0" width="13"/>
    <col collapsed="false" customWidth="true" hidden="false" outlineLevel="0" max="17" min="17" style="0" width="17"/>
    <col collapsed="false" customWidth="true" hidden="false" outlineLevel="0" max="18" min="18" style="0" width="19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15"/>
    <col collapsed="false" customWidth="true" hidden="false" outlineLevel="0" max="24" min="24" style="0" width="16"/>
    <col collapsed="false" customWidth="true" hidden="false" outlineLevel="0" max="25" min="25" style="0" width="20"/>
    <col collapsed="false" customWidth="true" hidden="false" outlineLevel="0" max="26" min="26" style="0" width="16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29" min="29" style="0" width="19"/>
    <col collapsed="false" customWidth="true" hidden="false" outlineLevel="0" max="30" min="30" style="0" width="15"/>
    <col collapsed="false" customWidth="true" hidden="false" outlineLevel="0" max="31" min="31" style="0" width="16"/>
    <col collapsed="false" customWidth="true" hidden="false" outlineLevel="0" max="32" min="32" style="0" width="18"/>
  </cols>
  <sheetData>
    <row r="1" customFormat="false" ht="27.7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8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7.5" hidden="false" customHeight="true" outlineLevel="0" collapsed="false"/>
    <row r="4" customFormat="false" ht="21.75" hidden="false" customHeight="true" outlineLevel="0" collapsed="false">
      <c r="A4" s="15" t="s">
        <v>250</v>
      </c>
      <c r="B4" s="15" t="s">
        <v>162</v>
      </c>
      <c r="C4" s="15" t="s">
        <v>251</v>
      </c>
      <c r="D4" s="15" t="s">
        <v>167</v>
      </c>
      <c r="E4" s="15" t="s">
        <v>252</v>
      </c>
      <c r="F4" s="15" t="s">
        <v>253</v>
      </c>
      <c r="G4" s="15" t="s">
        <v>18</v>
      </c>
      <c r="H4" s="15" t="s">
        <v>254</v>
      </c>
      <c r="I4" s="15" t="s">
        <v>255</v>
      </c>
      <c r="J4" s="15" t="s">
        <v>183</v>
      </c>
      <c r="K4" s="15" t="s">
        <v>186</v>
      </c>
      <c r="L4" s="15" t="s">
        <v>189</v>
      </c>
      <c r="M4" s="15" t="s">
        <v>256</v>
      </c>
      <c r="N4" s="15" t="s">
        <v>194</v>
      </c>
      <c r="O4" s="15" t="s">
        <v>257</v>
      </c>
      <c r="P4" s="15" t="s">
        <v>258</v>
      </c>
      <c r="Q4" s="15" t="s">
        <v>259</v>
      </c>
      <c r="R4" s="15" t="s">
        <v>208</v>
      </c>
      <c r="S4" s="15" t="s">
        <v>260</v>
      </c>
      <c r="T4" s="15" t="s">
        <v>261</v>
      </c>
      <c r="U4" s="15" t="s">
        <v>262</v>
      </c>
      <c r="V4" s="15" t="s">
        <v>263</v>
      </c>
      <c r="W4" s="15" t="s">
        <v>264</v>
      </c>
      <c r="X4" s="15" t="s">
        <v>220</v>
      </c>
      <c r="Y4" s="15" t="s">
        <v>224</v>
      </c>
      <c r="Z4" s="15" t="s">
        <v>227</v>
      </c>
      <c r="AA4" s="15" t="s">
        <v>230</v>
      </c>
      <c r="AB4" s="15" t="s">
        <v>233</v>
      </c>
      <c r="AC4" s="15" t="s">
        <v>236</v>
      </c>
      <c r="AD4" s="15" t="s">
        <v>239</v>
      </c>
      <c r="AE4" s="15" t="s">
        <v>242</v>
      </c>
      <c r="AF4" s="15" t="s">
        <v>245</v>
      </c>
    </row>
    <row r="5" customFormat="false" ht="15" hidden="false" customHeight="false" outlineLevel="0" collapsed="false">
      <c r="A5" s="37" t="n">
        <v>1</v>
      </c>
      <c r="B5" s="38" t="s">
        <v>77</v>
      </c>
      <c r="C5" s="37" t="n">
        <v>1</v>
      </c>
      <c r="D5" s="35" t="str">
        <f aca="false">VLOOKUP(C5, Lookups_Metadata!$A$4:$B$7, 2, FALSE())</f>
        <v>Spring</v>
      </c>
      <c r="E5" s="37" t="n">
        <v>0</v>
      </c>
      <c r="F5" s="37" t="n">
        <v>1</v>
      </c>
      <c r="G5" s="37" t="n">
        <v>0</v>
      </c>
      <c r="H5" s="39" t="b">
        <f aca="false">FALSE()</f>
        <v>0</v>
      </c>
      <c r="I5" s="37" t="n">
        <v>6</v>
      </c>
      <c r="J5" s="35" t="str">
        <f aca="false">INDEX(Lookups_Metadata!$E$4:$E$10, MATCH(I5, Lookups_Metadata!$D$4:$D$10, 0))</f>
        <v>Saturday</v>
      </c>
      <c r="K5" s="35" t="str">
        <f aca="false">IF(H5=TRUE(), "Holiday", IF(OR(I5=0, I5=6), "Weekend", "Weekday"))</f>
        <v>Weekend</v>
      </c>
      <c r="L5" s="35" t="str">
        <f aca="false">IF(AND(K5="Weekday", OR(AND(G5&gt;=7, G5&lt;=9), AND(G5&gt;=17, G5&lt;=19))), "Peak Commute", "Off-Peak")</f>
        <v>Off-Peak</v>
      </c>
      <c r="M5" s="37" t="n">
        <v>1</v>
      </c>
      <c r="N5" s="35" t="str">
        <f aca="false">VLOOKUP(M5, Lookups_Metadata!$G$4:$H$7, 2, FALSE())</f>
        <v>Clear / Few Clouds</v>
      </c>
      <c r="O5" s="40" t="n">
        <v>0.24</v>
      </c>
      <c r="P5" s="40" t="n">
        <v>0.2879</v>
      </c>
      <c r="Q5" s="40" t="n">
        <f aca="false">IF(OR(P5="", ISBLANK(P5)), ROUND(0.9367*O5+0.0175, 4), P5)</f>
        <v>0.2879</v>
      </c>
      <c r="R5" s="35" t="str">
        <f aca="false">IF(OR(P5="", ISBLANK(P5)), "Imputed (Regression/Trend)", "Original")</f>
        <v>Original</v>
      </c>
      <c r="S5" s="40" t="n">
        <v>0.81</v>
      </c>
      <c r="T5" s="40" t="n">
        <v>0</v>
      </c>
      <c r="U5" s="41" t="n">
        <v>3</v>
      </c>
      <c r="V5" s="41" t="n">
        <v>13</v>
      </c>
      <c r="W5" s="41" t="n">
        <f aca="false">U5+V5</f>
        <v>16</v>
      </c>
      <c r="X5" s="42" t="n">
        <f aca="false">U5/W5</f>
        <v>0.1875</v>
      </c>
      <c r="Y5" s="42" t="n">
        <f aca="false">V5/W5</f>
        <v>0.8125</v>
      </c>
      <c r="Z5" s="35" t="str">
        <f aca="false">IF(W5&gt;=150, "High Demand", IF(W5&gt;=50, "Moderate Demand", "Low Demand"))</f>
        <v>Low Demand</v>
      </c>
      <c r="AA5" s="39" t="str">
        <f aca="false">TEXT(G5, "00") &amp; ":00"</f>
        <v>00:00</v>
      </c>
      <c r="AB5" s="37" t="n">
        <f aca="false">YEAR(B5)</f>
        <v>2011</v>
      </c>
      <c r="AC5" s="35" t="str">
        <f aca="false">TEXT(B5, "mmmm")</f>
        <v>January</v>
      </c>
      <c r="AD5" s="37" t="n">
        <f aca="false">LEN(TEXT(B5, "YYYY-MM-DD"))</f>
        <v>10</v>
      </c>
      <c r="AE5" s="39" t="str">
        <f aca="false">LEFT(TEXT(B5, "YYYY-MM-DD"), 4)</f>
        <v>2011</v>
      </c>
      <c r="AF5" s="39" t="str">
        <f aca="false">RIGHT(TEXT(B5, "YYYY-MM-DD"), 2)</f>
        <v>01</v>
      </c>
    </row>
    <row r="6" customFormat="false" ht="15" hidden="false" customHeight="false" outlineLevel="0" collapsed="false">
      <c r="A6" s="43" t="n">
        <v>2</v>
      </c>
      <c r="B6" s="44" t="s">
        <v>77</v>
      </c>
      <c r="C6" s="43" t="n">
        <v>1</v>
      </c>
      <c r="D6" s="33" t="str">
        <f aca="false">VLOOKUP(C6, Lookups_Metadata!$A$4:$B$7, 2, FALSE())</f>
        <v>Spring</v>
      </c>
      <c r="E6" s="43" t="n">
        <v>0</v>
      </c>
      <c r="F6" s="43" t="n">
        <v>1</v>
      </c>
      <c r="G6" s="43" t="n">
        <v>1</v>
      </c>
      <c r="H6" s="45" t="b">
        <f aca="false">FALSE()</f>
        <v>0</v>
      </c>
      <c r="I6" s="43" t="n">
        <v>6</v>
      </c>
      <c r="J6" s="33" t="str">
        <f aca="false">INDEX(Lookups_Metadata!$E$4:$E$10, MATCH(I6, Lookups_Metadata!$D$4:$D$10, 0))</f>
        <v>Saturday</v>
      </c>
      <c r="K6" s="33" t="str">
        <f aca="false">IF(H6=TRUE(), "Holiday", IF(OR(I6=0, I6=6), "Weekend", "Weekday"))</f>
        <v>Weekend</v>
      </c>
      <c r="L6" s="33" t="str">
        <f aca="false">IF(AND(K6="Weekday", OR(AND(G6&gt;=7, G6&lt;=9), AND(G6&gt;=17, G6&lt;=19))), "Peak Commute", "Off-Peak")</f>
        <v>Off-Peak</v>
      </c>
      <c r="M6" s="43" t="n">
        <v>1</v>
      </c>
      <c r="N6" s="33" t="str">
        <f aca="false">VLOOKUP(M6, Lookups_Metadata!$G$4:$H$7, 2, FALSE())</f>
        <v>Clear / Few Clouds</v>
      </c>
      <c r="O6" s="46" t="n">
        <v>0.22</v>
      </c>
      <c r="P6" s="46" t="n">
        <v>0.2727</v>
      </c>
      <c r="Q6" s="46" t="n">
        <f aca="false">IF(OR(P6="", ISBLANK(P6)), ROUND(0.9367*O6+0.0175, 4), P6)</f>
        <v>0.2727</v>
      </c>
      <c r="R6" s="33" t="str">
        <f aca="false">IF(OR(P6="", ISBLANK(P6)), "Imputed (Regression/Trend)", "Original")</f>
        <v>Original</v>
      </c>
      <c r="S6" s="46" t="n">
        <v>0.8</v>
      </c>
      <c r="T6" s="46" t="n">
        <v>0</v>
      </c>
      <c r="U6" s="18" t="n">
        <v>8</v>
      </c>
      <c r="V6" s="18" t="n">
        <v>32</v>
      </c>
      <c r="W6" s="18" t="n">
        <f aca="false">U6+V6</f>
        <v>40</v>
      </c>
      <c r="X6" s="47" t="n">
        <f aca="false">U6/W6</f>
        <v>0.2</v>
      </c>
      <c r="Y6" s="47" t="n">
        <f aca="false">V6/W6</f>
        <v>0.8</v>
      </c>
      <c r="Z6" s="33" t="str">
        <f aca="false">IF(W6&gt;=150, "High Demand", IF(W6&gt;=50, "Moderate Demand", "Low Demand"))</f>
        <v>Low Demand</v>
      </c>
      <c r="AA6" s="45" t="str">
        <f aca="false">TEXT(G6, "00") &amp; ":00"</f>
        <v>01:00</v>
      </c>
      <c r="AB6" s="43" t="n">
        <f aca="false">YEAR(B6)</f>
        <v>2011</v>
      </c>
      <c r="AC6" s="33" t="str">
        <f aca="false">TEXT(B6, "mmmm")</f>
        <v>January</v>
      </c>
      <c r="AD6" s="43" t="n">
        <f aca="false">LEN(TEXT(B6, "YYYY-MM-DD"))</f>
        <v>10</v>
      </c>
      <c r="AE6" s="45" t="str">
        <f aca="false">LEFT(TEXT(B6, "YYYY-MM-DD"), 4)</f>
        <v>2011</v>
      </c>
      <c r="AF6" s="45" t="str">
        <f aca="false">RIGHT(TEXT(B6, "YYYY-MM-DD"), 2)</f>
        <v>01</v>
      </c>
    </row>
    <row r="7" customFormat="false" ht="15" hidden="false" customHeight="false" outlineLevel="0" collapsed="false">
      <c r="A7" s="37" t="n">
        <v>3</v>
      </c>
      <c r="B7" s="38" t="s">
        <v>77</v>
      </c>
      <c r="C7" s="37" t="n">
        <v>1</v>
      </c>
      <c r="D7" s="35" t="str">
        <f aca="false">VLOOKUP(C7, Lookups_Metadata!$A$4:$B$7, 2, FALSE())</f>
        <v>Spring</v>
      </c>
      <c r="E7" s="37" t="n">
        <v>0</v>
      </c>
      <c r="F7" s="37" t="n">
        <v>1</v>
      </c>
      <c r="G7" s="37" t="n">
        <v>2</v>
      </c>
      <c r="H7" s="39" t="b">
        <f aca="false">FALSE()</f>
        <v>0</v>
      </c>
      <c r="I7" s="37" t="n">
        <v>6</v>
      </c>
      <c r="J7" s="35" t="str">
        <f aca="false">INDEX(Lookups_Metadata!$E$4:$E$10, MATCH(I7, Lookups_Metadata!$D$4:$D$10, 0))</f>
        <v>Saturday</v>
      </c>
      <c r="K7" s="35" t="str">
        <f aca="false">IF(H7=TRUE(), "Holiday", IF(OR(I7=0, I7=6), "Weekend", "Weekday"))</f>
        <v>Weekend</v>
      </c>
      <c r="L7" s="35" t="str">
        <f aca="false">IF(AND(K7="Weekday", OR(AND(G7&gt;=7, G7&lt;=9), AND(G7&gt;=17, G7&lt;=19))), "Peak Commute", "Off-Peak")</f>
        <v>Off-Peak</v>
      </c>
      <c r="M7" s="37" t="n">
        <v>1</v>
      </c>
      <c r="N7" s="35" t="str">
        <f aca="false">VLOOKUP(M7, Lookups_Metadata!$G$4:$H$7, 2, FALSE())</f>
        <v>Clear / Few Clouds</v>
      </c>
      <c r="O7" s="40" t="n">
        <v>0.22</v>
      </c>
      <c r="P7" s="40" t="n">
        <v>0.2727</v>
      </c>
      <c r="Q7" s="40" t="n">
        <f aca="false">IF(OR(P7="", ISBLANK(P7)), ROUND(0.9367*O7+0.0175, 4), P7)</f>
        <v>0.2727</v>
      </c>
      <c r="R7" s="35" t="str">
        <f aca="false">IF(OR(P7="", ISBLANK(P7)), "Imputed (Regression/Trend)", "Original")</f>
        <v>Original</v>
      </c>
      <c r="S7" s="40" t="n">
        <v>0.8</v>
      </c>
      <c r="T7" s="40" t="n">
        <v>0</v>
      </c>
      <c r="U7" s="41" t="n">
        <v>5</v>
      </c>
      <c r="V7" s="41" t="n">
        <v>27</v>
      </c>
      <c r="W7" s="41" t="n">
        <f aca="false">U7+V7</f>
        <v>32</v>
      </c>
      <c r="X7" s="42" t="n">
        <f aca="false">U7/W7</f>
        <v>0.15625</v>
      </c>
      <c r="Y7" s="42" t="n">
        <f aca="false">V7/W7</f>
        <v>0.84375</v>
      </c>
      <c r="Z7" s="35" t="str">
        <f aca="false">IF(W7&gt;=150, "High Demand", IF(W7&gt;=50, "Moderate Demand", "Low Demand"))</f>
        <v>Low Demand</v>
      </c>
      <c r="AA7" s="39" t="str">
        <f aca="false">TEXT(G7, "00") &amp; ":00"</f>
        <v>02:00</v>
      </c>
      <c r="AB7" s="37" t="n">
        <f aca="false">YEAR(B7)</f>
        <v>2011</v>
      </c>
      <c r="AC7" s="35" t="str">
        <f aca="false">TEXT(B7, "mmmm")</f>
        <v>January</v>
      </c>
      <c r="AD7" s="37" t="n">
        <f aca="false">LEN(TEXT(B7, "YYYY-MM-DD"))</f>
        <v>10</v>
      </c>
      <c r="AE7" s="39" t="str">
        <f aca="false">LEFT(TEXT(B7, "YYYY-MM-DD"), 4)</f>
        <v>2011</v>
      </c>
      <c r="AF7" s="39" t="str">
        <f aca="false">RIGHT(TEXT(B7, "YYYY-MM-DD"), 2)</f>
        <v>01</v>
      </c>
    </row>
    <row r="8" customFormat="false" ht="15" hidden="false" customHeight="false" outlineLevel="0" collapsed="false">
      <c r="A8" s="43" t="n">
        <v>4</v>
      </c>
      <c r="B8" s="44" t="s">
        <v>77</v>
      </c>
      <c r="C8" s="43" t="n">
        <v>1</v>
      </c>
      <c r="D8" s="33" t="str">
        <f aca="false">VLOOKUP(C8, Lookups_Metadata!$A$4:$B$7, 2, FALSE())</f>
        <v>Spring</v>
      </c>
      <c r="E8" s="43" t="n">
        <v>0</v>
      </c>
      <c r="F8" s="43" t="n">
        <v>1</v>
      </c>
      <c r="G8" s="43" t="n">
        <v>3</v>
      </c>
      <c r="H8" s="45" t="b">
        <f aca="false">FALSE()</f>
        <v>0</v>
      </c>
      <c r="I8" s="43" t="n">
        <v>6</v>
      </c>
      <c r="J8" s="33" t="str">
        <f aca="false">INDEX(Lookups_Metadata!$E$4:$E$10, MATCH(I8, Lookups_Metadata!$D$4:$D$10, 0))</f>
        <v>Saturday</v>
      </c>
      <c r="K8" s="33" t="str">
        <f aca="false">IF(H8=TRUE(), "Holiday", IF(OR(I8=0, I8=6), "Weekend", "Weekday"))</f>
        <v>Weekend</v>
      </c>
      <c r="L8" s="33" t="str">
        <f aca="false">IF(AND(K8="Weekday", OR(AND(G8&gt;=7, G8&lt;=9), AND(G8&gt;=17, G8&lt;=19))), "Peak Commute", "Off-Peak")</f>
        <v>Off-Peak</v>
      </c>
      <c r="M8" s="43" t="n">
        <v>1</v>
      </c>
      <c r="N8" s="33" t="str">
        <f aca="false">VLOOKUP(M8, Lookups_Metadata!$G$4:$H$7, 2, FALSE())</f>
        <v>Clear / Few Clouds</v>
      </c>
      <c r="O8" s="46" t="n">
        <v>0.24</v>
      </c>
      <c r="P8" s="46" t="n">
        <v>0.2879</v>
      </c>
      <c r="Q8" s="46" t="n">
        <f aca="false">IF(OR(P8="", ISBLANK(P8)), ROUND(0.9367*O8+0.0175, 4), P8)</f>
        <v>0.2879</v>
      </c>
      <c r="R8" s="33" t="str">
        <f aca="false">IF(OR(P8="", ISBLANK(P8)), "Imputed (Regression/Trend)", "Original")</f>
        <v>Original</v>
      </c>
      <c r="S8" s="46" t="n">
        <v>0.75</v>
      </c>
      <c r="T8" s="46" t="n">
        <v>0</v>
      </c>
      <c r="U8" s="18" t="n">
        <v>3</v>
      </c>
      <c r="V8" s="18" t="n">
        <v>10</v>
      </c>
      <c r="W8" s="18" t="n">
        <f aca="false">U8+V8</f>
        <v>13</v>
      </c>
      <c r="X8" s="47" t="n">
        <f aca="false">U8/W8</f>
        <v>0.230769230769231</v>
      </c>
      <c r="Y8" s="47" t="n">
        <f aca="false">V8/W8</f>
        <v>0.769230769230769</v>
      </c>
      <c r="Z8" s="33" t="str">
        <f aca="false">IF(W8&gt;=150, "High Demand", IF(W8&gt;=50, "Moderate Demand", "Low Demand"))</f>
        <v>Low Demand</v>
      </c>
      <c r="AA8" s="45" t="str">
        <f aca="false">TEXT(G8, "00") &amp; ":00"</f>
        <v>03:00</v>
      </c>
      <c r="AB8" s="43" t="n">
        <f aca="false">YEAR(B8)</f>
        <v>2011</v>
      </c>
      <c r="AC8" s="33" t="str">
        <f aca="false">TEXT(B8, "mmmm")</f>
        <v>January</v>
      </c>
      <c r="AD8" s="43" t="n">
        <f aca="false">LEN(TEXT(B8, "YYYY-MM-DD"))</f>
        <v>10</v>
      </c>
      <c r="AE8" s="45" t="str">
        <f aca="false">LEFT(TEXT(B8, "YYYY-MM-DD"), 4)</f>
        <v>2011</v>
      </c>
      <c r="AF8" s="45" t="str">
        <f aca="false">RIGHT(TEXT(B8, "YYYY-MM-DD"), 2)</f>
        <v>01</v>
      </c>
    </row>
    <row r="9" customFormat="false" ht="15" hidden="false" customHeight="false" outlineLevel="0" collapsed="false">
      <c r="A9" s="37" t="n">
        <v>5</v>
      </c>
      <c r="B9" s="38" t="s">
        <v>77</v>
      </c>
      <c r="C9" s="37" t="n">
        <v>1</v>
      </c>
      <c r="D9" s="35" t="str">
        <f aca="false">VLOOKUP(C9, Lookups_Metadata!$A$4:$B$7, 2, FALSE())</f>
        <v>Spring</v>
      </c>
      <c r="E9" s="37" t="n">
        <v>0</v>
      </c>
      <c r="F9" s="37" t="n">
        <v>1</v>
      </c>
      <c r="G9" s="37" t="n">
        <v>4</v>
      </c>
      <c r="H9" s="39" t="b">
        <f aca="false">FALSE()</f>
        <v>0</v>
      </c>
      <c r="I9" s="37" t="n">
        <v>6</v>
      </c>
      <c r="J9" s="35" t="str">
        <f aca="false">INDEX(Lookups_Metadata!$E$4:$E$10, MATCH(I9, Lookups_Metadata!$D$4:$D$10, 0))</f>
        <v>Saturday</v>
      </c>
      <c r="K9" s="35" t="str">
        <f aca="false">IF(H9=TRUE(), "Holiday", IF(OR(I9=0, I9=6), "Weekend", "Weekday"))</f>
        <v>Weekend</v>
      </c>
      <c r="L9" s="35" t="str">
        <f aca="false">IF(AND(K9="Weekday", OR(AND(G9&gt;=7, G9&lt;=9), AND(G9&gt;=17, G9&lt;=19))), "Peak Commute", "Off-Peak")</f>
        <v>Off-Peak</v>
      </c>
      <c r="M9" s="37" t="n">
        <v>1</v>
      </c>
      <c r="N9" s="35" t="str">
        <f aca="false">VLOOKUP(M9, Lookups_Metadata!$G$4:$H$7, 2, FALSE())</f>
        <v>Clear / Few Clouds</v>
      </c>
      <c r="O9" s="40" t="n">
        <v>0.24</v>
      </c>
      <c r="P9" s="40" t="n">
        <v>0.2879</v>
      </c>
      <c r="Q9" s="40" t="n">
        <f aca="false">IF(OR(P9="", ISBLANK(P9)), ROUND(0.9367*O9+0.0175, 4), P9)</f>
        <v>0.2879</v>
      </c>
      <c r="R9" s="35" t="str">
        <f aca="false">IF(OR(P9="", ISBLANK(P9)), "Imputed (Regression/Trend)", "Original")</f>
        <v>Original</v>
      </c>
      <c r="S9" s="40" t="n">
        <v>0.75</v>
      </c>
      <c r="T9" s="40" t="n">
        <v>0</v>
      </c>
      <c r="U9" s="41" t="n">
        <v>0</v>
      </c>
      <c r="V9" s="41" t="n">
        <v>1</v>
      </c>
      <c r="W9" s="41" t="n">
        <f aca="false">U9+V9</f>
        <v>1</v>
      </c>
      <c r="X9" s="42" t="n">
        <f aca="false">U9/W9</f>
        <v>0</v>
      </c>
      <c r="Y9" s="42" t="n">
        <f aca="false">V9/W9</f>
        <v>1</v>
      </c>
      <c r="Z9" s="35" t="str">
        <f aca="false">IF(W9&gt;=150, "High Demand", IF(W9&gt;=50, "Moderate Demand", "Low Demand"))</f>
        <v>Low Demand</v>
      </c>
      <c r="AA9" s="39" t="str">
        <f aca="false">TEXT(G9, "00") &amp; ":00"</f>
        <v>04:00</v>
      </c>
      <c r="AB9" s="37" t="n">
        <f aca="false">YEAR(B9)</f>
        <v>2011</v>
      </c>
      <c r="AC9" s="35" t="str">
        <f aca="false">TEXT(B9, "mmmm")</f>
        <v>January</v>
      </c>
      <c r="AD9" s="37" t="n">
        <f aca="false">LEN(TEXT(B9, "YYYY-MM-DD"))</f>
        <v>10</v>
      </c>
      <c r="AE9" s="39" t="str">
        <f aca="false">LEFT(TEXT(B9, "YYYY-MM-DD"), 4)</f>
        <v>2011</v>
      </c>
      <c r="AF9" s="39" t="str">
        <f aca="false">RIGHT(TEXT(B9, "YYYY-MM-DD"), 2)</f>
        <v>01</v>
      </c>
    </row>
    <row r="10" customFormat="false" ht="15" hidden="false" customHeight="false" outlineLevel="0" collapsed="false">
      <c r="A10" s="43" t="n">
        <v>6</v>
      </c>
      <c r="B10" s="44" t="s">
        <v>77</v>
      </c>
      <c r="C10" s="43" t="n">
        <v>1</v>
      </c>
      <c r="D10" s="33" t="str">
        <f aca="false">VLOOKUP(C10, Lookups_Metadata!$A$4:$B$7, 2, FALSE())</f>
        <v>Spring</v>
      </c>
      <c r="E10" s="43" t="n">
        <v>0</v>
      </c>
      <c r="F10" s="43" t="n">
        <v>1</v>
      </c>
      <c r="G10" s="43" t="n">
        <v>5</v>
      </c>
      <c r="H10" s="45" t="b">
        <f aca="false">FALSE()</f>
        <v>0</v>
      </c>
      <c r="I10" s="43" t="n">
        <v>6</v>
      </c>
      <c r="J10" s="33" t="str">
        <f aca="false">INDEX(Lookups_Metadata!$E$4:$E$10, MATCH(I10, Lookups_Metadata!$D$4:$D$10, 0))</f>
        <v>Saturday</v>
      </c>
      <c r="K10" s="33" t="str">
        <f aca="false">IF(H10=TRUE(), "Holiday", IF(OR(I10=0, I10=6), "Weekend", "Weekday"))</f>
        <v>Weekend</v>
      </c>
      <c r="L10" s="33" t="str">
        <f aca="false">IF(AND(K10="Weekday", OR(AND(G10&gt;=7, G10&lt;=9), AND(G10&gt;=17, G10&lt;=19))), "Peak Commute", "Off-Peak")</f>
        <v>Off-Peak</v>
      </c>
      <c r="M10" s="43" t="n">
        <v>2</v>
      </c>
      <c r="N10" s="33" t="str">
        <f aca="false">VLOOKUP(M10, Lookups_Metadata!$G$4:$H$7, 2, FALSE())</f>
        <v>Mist / Cloudy</v>
      </c>
      <c r="O10" s="46" t="n">
        <v>0.24</v>
      </c>
      <c r="P10" s="46" t="n">
        <v>0.2576</v>
      </c>
      <c r="Q10" s="46" t="n">
        <f aca="false">IF(OR(P10="", ISBLANK(P10)), ROUND(0.9367*O10+0.0175, 4), P10)</f>
        <v>0.2576</v>
      </c>
      <c r="R10" s="33" t="str">
        <f aca="false">IF(OR(P10="", ISBLANK(P10)), "Imputed (Regression/Trend)", "Original")</f>
        <v>Original</v>
      </c>
      <c r="S10" s="46" t="n">
        <v>0.75</v>
      </c>
      <c r="T10" s="46" t="n">
        <v>0.0896</v>
      </c>
      <c r="U10" s="18" t="n">
        <v>0</v>
      </c>
      <c r="V10" s="18" t="n">
        <v>1</v>
      </c>
      <c r="W10" s="18" t="n">
        <f aca="false">U10+V10</f>
        <v>1</v>
      </c>
      <c r="X10" s="47" t="n">
        <f aca="false">U10/W10</f>
        <v>0</v>
      </c>
      <c r="Y10" s="47" t="n">
        <f aca="false">V10/W10</f>
        <v>1</v>
      </c>
      <c r="Z10" s="33" t="str">
        <f aca="false">IF(W10&gt;=150, "High Demand", IF(W10&gt;=50, "Moderate Demand", "Low Demand"))</f>
        <v>Low Demand</v>
      </c>
      <c r="AA10" s="45" t="str">
        <f aca="false">TEXT(G10, "00") &amp; ":00"</f>
        <v>05:00</v>
      </c>
      <c r="AB10" s="43" t="n">
        <f aca="false">YEAR(B10)</f>
        <v>2011</v>
      </c>
      <c r="AC10" s="33" t="str">
        <f aca="false">TEXT(B10, "mmmm")</f>
        <v>January</v>
      </c>
      <c r="AD10" s="43" t="n">
        <f aca="false">LEN(TEXT(B10, "YYYY-MM-DD"))</f>
        <v>10</v>
      </c>
      <c r="AE10" s="45" t="str">
        <f aca="false">LEFT(TEXT(B10, "YYYY-MM-DD"), 4)</f>
        <v>2011</v>
      </c>
      <c r="AF10" s="45" t="str">
        <f aca="false">RIGHT(TEXT(B10, "YYYY-MM-DD"), 2)</f>
        <v>01</v>
      </c>
    </row>
    <row r="11" customFormat="false" ht="15" hidden="false" customHeight="false" outlineLevel="0" collapsed="false">
      <c r="A11" s="37" t="n">
        <v>7</v>
      </c>
      <c r="B11" s="38" t="s">
        <v>77</v>
      </c>
      <c r="C11" s="37" t="n">
        <v>1</v>
      </c>
      <c r="D11" s="35" t="str">
        <f aca="false">VLOOKUP(C11, Lookups_Metadata!$A$4:$B$7, 2, FALSE())</f>
        <v>Spring</v>
      </c>
      <c r="E11" s="37" t="n">
        <v>0</v>
      </c>
      <c r="F11" s="37" t="n">
        <v>1</v>
      </c>
      <c r="G11" s="37" t="n">
        <v>6</v>
      </c>
      <c r="H11" s="39" t="b">
        <f aca="false">FALSE()</f>
        <v>0</v>
      </c>
      <c r="I11" s="37" t="n">
        <v>6</v>
      </c>
      <c r="J11" s="35" t="str">
        <f aca="false">INDEX(Lookups_Metadata!$E$4:$E$10, MATCH(I11, Lookups_Metadata!$D$4:$D$10, 0))</f>
        <v>Saturday</v>
      </c>
      <c r="K11" s="35" t="str">
        <f aca="false">IF(H11=TRUE(), "Holiday", IF(OR(I11=0, I11=6), "Weekend", "Weekday"))</f>
        <v>Weekend</v>
      </c>
      <c r="L11" s="35" t="str">
        <f aca="false">IF(AND(K11="Weekday", OR(AND(G11&gt;=7, G11&lt;=9), AND(G11&gt;=17, G11&lt;=19))), "Peak Commute", "Off-Peak")</f>
        <v>Off-Peak</v>
      </c>
      <c r="M11" s="37" t="n">
        <v>1</v>
      </c>
      <c r="N11" s="35" t="str">
        <f aca="false">VLOOKUP(M11, Lookups_Metadata!$G$4:$H$7, 2, FALSE())</f>
        <v>Clear / Few Clouds</v>
      </c>
      <c r="O11" s="40" t="n">
        <v>0.22</v>
      </c>
      <c r="P11" s="40" t="n">
        <v>0.2727</v>
      </c>
      <c r="Q11" s="40" t="n">
        <f aca="false">IF(OR(P11="", ISBLANK(P11)), ROUND(0.9367*O11+0.0175, 4), P11)</f>
        <v>0.2727</v>
      </c>
      <c r="R11" s="35" t="str">
        <f aca="false">IF(OR(P11="", ISBLANK(P11)), "Imputed (Regression/Trend)", "Original")</f>
        <v>Original</v>
      </c>
      <c r="S11" s="40" t="n">
        <v>0.8</v>
      </c>
      <c r="T11" s="40" t="n">
        <v>0</v>
      </c>
      <c r="U11" s="41" t="n">
        <v>2</v>
      </c>
      <c r="V11" s="41" t="n">
        <v>0</v>
      </c>
      <c r="W11" s="41" t="n">
        <f aca="false">U11+V11</f>
        <v>2</v>
      </c>
      <c r="X11" s="42" t="n">
        <f aca="false">U11/W11</f>
        <v>1</v>
      </c>
      <c r="Y11" s="42" t="n">
        <f aca="false">V11/W11</f>
        <v>0</v>
      </c>
      <c r="Z11" s="35" t="str">
        <f aca="false">IF(W11&gt;=150, "High Demand", IF(W11&gt;=50, "Moderate Demand", "Low Demand"))</f>
        <v>Low Demand</v>
      </c>
      <c r="AA11" s="39" t="str">
        <f aca="false">TEXT(G11, "00") &amp; ":00"</f>
        <v>06:00</v>
      </c>
      <c r="AB11" s="37" t="n">
        <f aca="false">YEAR(B11)</f>
        <v>2011</v>
      </c>
      <c r="AC11" s="35" t="str">
        <f aca="false">TEXT(B11, "mmmm")</f>
        <v>January</v>
      </c>
      <c r="AD11" s="37" t="n">
        <f aca="false">LEN(TEXT(B11, "YYYY-MM-DD"))</f>
        <v>10</v>
      </c>
      <c r="AE11" s="39" t="str">
        <f aca="false">LEFT(TEXT(B11, "YYYY-MM-DD"), 4)</f>
        <v>2011</v>
      </c>
      <c r="AF11" s="39" t="str">
        <f aca="false">RIGHT(TEXT(B11, "YYYY-MM-DD"), 2)</f>
        <v>01</v>
      </c>
    </row>
    <row r="12" customFormat="false" ht="15" hidden="false" customHeight="false" outlineLevel="0" collapsed="false">
      <c r="A12" s="43" t="n">
        <v>8</v>
      </c>
      <c r="B12" s="44" t="s">
        <v>77</v>
      </c>
      <c r="C12" s="43" t="n">
        <v>1</v>
      </c>
      <c r="D12" s="33" t="str">
        <f aca="false">VLOOKUP(C12, Lookups_Metadata!$A$4:$B$7, 2, FALSE())</f>
        <v>Spring</v>
      </c>
      <c r="E12" s="43" t="n">
        <v>0</v>
      </c>
      <c r="F12" s="43" t="n">
        <v>1</v>
      </c>
      <c r="G12" s="43" t="n">
        <v>7</v>
      </c>
      <c r="H12" s="45" t="b">
        <f aca="false">FALSE()</f>
        <v>0</v>
      </c>
      <c r="I12" s="43" t="n">
        <v>6</v>
      </c>
      <c r="J12" s="33" t="str">
        <f aca="false">INDEX(Lookups_Metadata!$E$4:$E$10, MATCH(I12, Lookups_Metadata!$D$4:$D$10, 0))</f>
        <v>Saturday</v>
      </c>
      <c r="K12" s="33" t="str">
        <f aca="false">IF(H12=TRUE(), "Holiday", IF(OR(I12=0, I12=6), "Weekend", "Weekday"))</f>
        <v>Weekend</v>
      </c>
      <c r="L12" s="33" t="str">
        <f aca="false">IF(AND(K12="Weekday", OR(AND(G12&gt;=7, G12&lt;=9), AND(G12&gt;=17, G12&lt;=19))), "Peak Commute", "Off-Peak")</f>
        <v>Off-Peak</v>
      </c>
      <c r="M12" s="43" t="n">
        <v>1</v>
      </c>
      <c r="N12" s="33" t="str">
        <f aca="false">VLOOKUP(M12, Lookups_Metadata!$G$4:$H$7, 2, FALSE())</f>
        <v>Clear / Few Clouds</v>
      </c>
      <c r="O12" s="46" t="n">
        <v>0.2</v>
      </c>
      <c r="P12" s="46" t="n">
        <v>0.2576</v>
      </c>
      <c r="Q12" s="46" t="n">
        <f aca="false">IF(OR(P12="", ISBLANK(P12)), ROUND(0.9367*O12+0.0175, 4), P12)</f>
        <v>0.2576</v>
      </c>
      <c r="R12" s="33" t="str">
        <f aca="false">IF(OR(P12="", ISBLANK(P12)), "Imputed (Regression/Trend)", "Original")</f>
        <v>Original</v>
      </c>
      <c r="S12" s="46" t="n">
        <v>0.86</v>
      </c>
      <c r="T12" s="46" t="n">
        <v>0</v>
      </c>
      <c r="U12" s="18" t="n">
        <v>1</v>
      </c>
      <c r="V12" s="18" t="n">
        <v>2</v>
      </c>
      <c r="W12" s="18" t="n">
        <f aca="false">U12+V12</f>
        <v>3</v>
      </c>
      <c r="X12" s="47" t="n">
        <f aca="false">U12/W12</f>
        <v>0.333333333333333</v>
      </c>
      <c r="Y12" s="47" t="n">
        <f aca="false">V12/W12</f>
        <v>0.666666666666667</v>
      </c>
      <c r="Z12" s="33" t="str">
        <f aca="false">IF(W12&gt;=150, "High Demand", IF(W12&gt;=50, "Moderate Demand", "Low Demand"))</f>
        <v>Low Demand</v>
      </c>
      <c r="AA12" s="45" t="str">
        <f aca="false">TEXT(G12, "00") &amp; ":00"</f>
        <v>07:00</v>
      </c>
      <c r="AB12" s="43" t="n">
        <f aca="false">YEAR(B12)</f>
        <v>2011</v>
      </c>
      <c r="AC12" s="33" t="str">
        <f aca="false">TEXT(B12, "mmmm")</f>
        <v>January</v>
      </c>
      <c r="AD12" s="43" t="n">
        <f aca="false">LEN(TEXT(B12, "YYYY-MM-DD"))</f>
        <v>10</v>
      </c>
      <c r="AE12" s="45" t="str">
        <f aca="false">LEFT(TEXT(B12, "YYYY-MM-DD"), 4)</f>
        <v>2011</v>
      </c>
      <c r="AF12" s="45" t="str">
        <f aca="false">RIGHT(TEXT(B12, "YYYY-MM-DD"), 2)</f>
        <v>01</v>
      </c>
    </row>
    <row r="13" customFormat="false" ht="15" hidden="false" customHeight="false" outlineLevel="0" collapsed="false">
      <c r="A13" s="37" t="n">
        <v>9</v>
      </c>
      <c r="B13" s="38" t="s">
        <v>77</v>
      </c>
      <c r="C13" s="37" t="n">
        <v>1</v>
      </c>
      <c r="D13" s="35" t="str">
        <f aca="false">VLOOKUP(C13, Lookups_Metadata!$A$4:$B$7, 2, FALSE())</f>
        <v>Spring</v>
      </c>
      <c r="E13" s="37" t="n">
        <v>0</v>
      </c>
      <c r="F13" s="37" t="n">
        <v>1</v>
      </c>
      <c r="G13" s="37" t="n">
        <v>8</v>
      </c>
      <c r="H13" s="39" t="b">
        <f aca="false">FALSE()</f>
        <v>0</v>
      </c>
      <c r="I13" s="37" t="n">
        <v>6</v>
      </c>
      <c r="J13" s="35" t="str">
        <f aca="false">INDEX(Lookups_Metadata!$E$4:$E$10, MATCH(I13, Lookups_Metadata!$D$4:$D$10, 0))</f>
        <v>Saturday</v>
      </c>
      <c r="K13" s="35" t="str">
        <f aca="false">IF(H13=TRUE(), "Holiday", IF(OR(I13=0, I13=6), "Weekend", "Weekday"))</f>
        <v>Weekend</v>
      </c>
      <c r="L13" s="35" t="str">
        <f aca="false">IF(AND(K13="Weekday", OR(AND(G13&gt;=7, G13&lt;=9), AND(G13&gt;=17, G13&lt;=19))), "Peak Commute", "Off-Peak")</f>
        <v>Off-Peak</v>
      </c>
      <c r="M13" s="37" t="n">
        <v>1</v>
      </c>
      <c r="N13" s="35" t="str">
        <f aca="false">VLOOKUP(M13, Lookups_Metadata!$G$4:$H$7, 2, FALSE())</f>
        <v>Clear / Few Clouds</v>
      </c>
      <c r="O13" s="40" t="n">
        <v>0.24</v>
      </c>
      <c r="P13" s="40"/>
      <c r="Q13" s="40" t="n">
        <f aca="false">IF(OR(P13="", ISBLANK(P13)), ROUND(0.9367*O13+0.0175, 4), P13)</f>
        <v>0.2423</v>
      </c>
      <c r="R13" s="35" t="str">
        <f aca="false">IF(OR(P13="", ISBLANK(P13)), "Imputed (Regression/Trend)", "Original")</f>
        <v>Imputed (Regression/Trend)</v>
      </c>
      <c r="S13" s="40" t="n">
        <v>0.75</v>
      </c>
      <c r="T13" s="40" t="n">
        <v>0</v>
      </c>
      <c r="U13" s="41" t="n">
        <v>1</v>
      </c>
      <c r="V13" s="41" t="n">
        <v>7</v>
      </c>
      <c r="W13" s="41" t="n">
        <f aca="false">U13+V13</f>
        <v>8</v>
      </c>
      <c r="X13" s="42" t="n">
        <f aca="false">U13/W13</f>
        <v>0.125</v>
      </c>
      <c r="Y13" s="42" t="n">
        <f aca="false">V13/W13</f>
        <v>0.875</v>
      </c>
      <c r="Z13" s="35" t="str">
        <f aca="false">IF(W13&gt;=150, "High Demand", IF(W13&gt;=50, "Moderate Demand", "Low Demand"))</f>
        <v>Low Demand</v>
      </c>
      <c r="AA13" s="39" t="str">
        <f aca="false">TEXT(G13, "00") &amp; ":00"</f>
        <v>08:00</v>
      </c>
      <c r="AB13" s="37" t="n">
        <f aca="false">YEAR(B13)</f>
        <v>2011</v>
      </c>
      <c r="AC13" s="35" t="str">
        <f aca="false">TEXT(B13, "mmmm")</f>
        <v>January</v>
      </c>
      <c r="AD13" s="37" t="n">
        <f aca="false">LEN(TEXT(B13, "YYYY-MM-DD"))</f>
        <v>10</v>
      </c>
      <c r="AE13" s="39" t="str">
        <f aca="false">LEFT(TEXT(B13, "YYYY-MM-DD"), 4)</f>
        <v>2011</v>
      </c>
      <c r="AF13" s="39" t="str">
        <f aca="false">RIGHT(TEXT(B13, "YYYY-MM-DD"), 2)</f>
        <v>01</v>
      </c>
    </row>
    <row r="14" customFormat="false" ht="15" hidden="false" customHeight="false" outlineLevel="0" collapsed="false">
      <c r="A14" s="43" t="n">
        <v>10</v>
      </c>
      <c r="B14" s="44" t="s">
        <v>77</v>
      </c>
      <c r="C14" s="43" t="n">
        <v>1</v>
      </c>
      <c r="D14" s="33" t="str">
        <f aca="false">VLOOKUP(C14, Lookups_Metadata!$A$4:$B$7, 2, FALSE())</f>
        <v>Spring</v>
      </c>
      <c r="E14" s="43" t="n">
        <v>0</v>
      </c>
      <c r="F14" s="43" t="n">
        <v>1</v>
      </c>
      <c r="G14" s="43" t="n">
        <v>9</v>
      </c>
      <c r="H14" s="45" t="b">
        <f aca="false">FALSE()</f>
        <v>0</v>
      </c>
      <c r="I14" s="43" t="n">
        <v>6</v>
      </c>
      <c r="J14" s="33" t="str">
        <f aca="false">INDEX(Lookups_Metadata!$E$4:$E$10, MATCH(I14, Lookups_Metadata!$D$4:$D$10, 0))</f>
        <v>Saturday</v>
      </c>
      <c r="K14" s="33" t="str">
        <f aca="false">IF(H14=TRUE(), "Holiday", IF(OR(I14=0, I14=6), "Weekend", "Weekday"))</f>
        <v>Weekend</v>
      </c>
      <c r="L14" s="33" t="str">
        <f aca="false">IF(AND(K14="Weekday", OR(AND(G14&gt;=7, G14&lt;=9), AND(G14&gt;=17, G14&lt;=19))), "Peak Commute", "Off-Peak")</f>
        <v>Off-Peak</v>
      </c>
      <c r="M14" s="43" t="n">
        <v>1</v>
      </c>
      <c r="N14" s="33" t="str">
        <f aca="false">VLOOKUP(M14, Lookups_Metadata!$G$4:$H$7, 2, FALSE())</f>
        <v>Clear / Few Clouds</v>
      </c>
      <c r="O14" s="46" t="n">
        <v>0.32</v>
      </c>
      <c r="P14" s="46" t="n">
        <v>0.3485</v>
      </c>
      <c r="Q14" s="46" t="n">
        <f aca="false">IF(OR(P14="", ISBLANK(P14)), ROUND(0.9367*O14+0.0175, 4), P14)</f>
        <v>0.3485</v>
      </c>
      <c r="R14" s="33" t="str">
        <f aca="false">IF(OR(P14="", ISBLANK(P14)), "Imputed (Regression/Trend)", "Original")</f>
        <v>Original</v>
      </c>
      <c r="S14" s="46" t="n">
        <v>0.76</v>
      </c>
      <c r="T14" s="46" t="n">
        <v>0</v>
      </c>
      <c r="U14" s="18" t="n">
        <v>8</v>
      </c>
      <c r="V14" s="18" t="n">
        <v>6</v>
      </c>
      <c r="W14" s="18" t="n">
        <f aca="false">U14+V14</f>
        <v>14</v>
      </c>
      <c r="X14" s="47" t="n">
        <f aca="false">U14/W14</f>
        <v>0.571428571428571</v>
      </c>
      <c r="Y14" s="47" t="n">
        <f aca="false">V14/W14</f>
        <v>0.428571428571429</v>
      </c>
      <c r="Z14" s="33" t="str">
        <f aca="false">IF(W14&gt;=150, "High Demand", IF(W14&gt;=50, "Moderate Demand", "Low Demand"))</f>
        <v>Low Demand</v>
      </c>
      <c r="AA14" s="45" t="str">
        <f aca="false">TEXT(G14, "00") &amp; ":00"</f>
        <v>09:00</v>
      </c>
      <c r="AB14" s="43" t="n">
        <f aca="false">YEAR(B14)</f>
        <v>2011</v>
      </c>
      <c r="AC14" s="33" t="str">
        <f aca="false">TEXT(B14, "mmmm")</f>
        <v>January</v>
      </c>
      <c r="AD14" s="43" t="n">
        <f aca="false">LEN(TEXT(B14, "YYYY-MM-DD"))</f>
        <v>10</v>
      </c>
      <c r="AE14" s="45" t="str">
        <f aca="false">LEFT(TEXT(B14, "YYYY-MM-DD"), 4)</f>
        <v>2011</v>
      </c>
      <c r="AF14" s="45" t="str">
        <f aca="false">RIGHT(TEXT(B14, "YYYY-MM-DD"), 2)</f>
        <v>01</v>
      </c>
    </row>
    <row r="15" customFormat="false" ht="15" hidden="false" customHeight="false" outlineLevel="0" collapsed="false">
      <c r="A15" s="37" t="n">
        <v>11</v>
      </c>
      <c r="B15" s="38" t="s">
        <v>77</v>
      </c>
      <c r="C15" s="37" t="n">
        <v>1</v>
      </c>
      <c r="D15" s="35" t="str">
        <f aca="false">VLOOKUP(C15, Lookups_Metadata!$A$4:$B$7, 2, FALSE())</f>
        <v>Spring</v>
      </c>
      <c r="E15" s="37" t="n">
        <v>0</v>
      </c>
      <c r="F15" s="37" t="n">
        <v>1</v>
      </c>
      <c r="G15" s="37" t="n">
        <v>10</v>
      </c>
      <c r="H15" s="39" t="b">
        <f aca="false">FALSE()</f>
        <v>0</v>
      </c>
      <c r="I15" s="37" t="n">
        <v>6</v>
      </c>
      <c r="J15" s="35" t="str">
        <f aca="false">INDEX(Lookups_Metadata!$E$4:$E$10, MATCH(I15, Lookups_Metadata!$D$4:$D$10, 0))</f>
        <v>Saturday</v>
      </c>
      <c r="K15" s="35" t="str">
        <f aca="false">IF(H15=TRUE(), "Holiday", IF(OR(I15=0, I15=6), "Weekend", "Weekday"))</f>
        <v>Weekend</v>
      </c>
      <c r="L15" s="35" t="str">
        <f aca="false">IF(AND(K15="Weekday", OR(AND(G15&gt;=7, G15&lt;=9), AND(G15&gt;=17, G15&lt;=19))), "Peak Commute", "Off-Peak")</f>
        <v>Off-Peak</v>
      </c>
      <c r="M15" s="37" t="n">
        <v>1</v>
      </c>
      <c r="N15" s="35" t="str">
        <f aca="false">VLOOKUP(M15, Lookups_Metadata!$G$4:$H$7, 2, FALSE())</f>
        <v>Clear / Few Clouds</v>
      </c>
      <c r="O15" s="40" t="n">
        <v>0.38</v>
      </c>
      <c r="P15" s="40" t="n">
        <v>0.3939</v>
      </c>
      <c r="Q15" s="40" t="n">
        <f aca="false">IF(OR(P15="", ISBLANK(P15)), ROUND(0.9367*O15+0.0175, 4), P15)</f>
        <v>0.3939</v>
      </c>
      <c r="R15" s="35" t="str">
        <f aca="false">IF(OR(P15="", ISBLANK(P15)), "Imputed (Regression/Trend)", "Original")</f>
        <v>Original</v>
      </c>
      <c r="S15" s="40" t="n">
        <v>0.76</v>
      </c>
      <c r="T15" s="40" t="n">
        <v>0.2537</v>
      </c>
      <c r="U15" s="41" t="n">
        <v>12</v>
      </c>
      <c r="V15" s="41" t="n">
        <v>24</v>
      </c>
      <c r="W15" s="41" t="n">
        <f aca="false">U15+V15</f>
        <v>36</v>
      </c>
      <c r="X15" s="42" t="n">
        <f aca="false">U15/W15</f>
        <v>0.333333333333333</v>
      </c>
      <c r="Y15" s="42" t="n">
        <f aca="false">V15/W15</f>
        <v>0.666666666666667</v>
      </c>
      <c r="Z15" s="35" t="str">
        <f aca="false">IF(W15&gt;=150, "High Demand", IF(W15&gt;=50, "Moderate Demand", "Low Demand"))</f>
        <v>Low Demand</v>
      </c>
      <c r="AA15" s="39" t="str">
        <f aca="false">TEXT(G15, "00") &amp; ":00"</f>
        <v>10:00</v>
      </c>
      <c r="AB15" s="37" t="n">
        <f aca="false">YEAR(B15)</f>
        <v>2011</v>
      </c>
      <c r="AC15" s="35" t="str">
        <f aca="false">TEXT(B15, "mmmm")</f>
        <v>January</v>
      </c>
      <c r="AD15" s="37" t="n">
        <f aca="false">LEN(TEXT(B15, "YYYY-MM-DD"))</f>
        <v>10</v>
      </c>
      <c r="AE15" s="39" t="str">
        <f aca="false">LEFT(TEXT(B15, "YYYY-MM-DD"), 4)</f>
        <v>2011</v>
      </c>
      <c r="AF15" s="39" t="str">
        <f aca="false">RIGHT(TEXT(B15, "YYYY-MM-DD"), 2)</f>
        <v>01</v>
      </c>
    </row>
    <row r="16" customFormat="false" ht="15" hidden="false" customHeight="false" outlineLevel="0" collapsed="false">
      <c r="A16" s="43" t="n">
        <v>12</v>
      </c>
      <c r="B16" s="44" t="s">
        <v>77</v>
      </c>
      <c r="C16" s="43" t="n">
        <v>1</v>
      </c>
      <c r="D16" s="33" t="str">
        <f aca="false">VLOOKUP(C16, Lookups_Metadata!$A$4:$B$7, 2, FALSE())</f>
        <v>Spring</v>
      </c>
      <c r="E16" s="43" t="n">
        <v>0</v>
      </c>
      <c r="F16" s="43" t="n">
        <v>1</v>
      </c>
      <c r="G16" s="43" t="n">
        <v>11</v>
      </c>
      <c r="H16" s="45" t="b">
        <f aca="false">FALSE()</f>
        <v>0</v>
      </c>
      <c r="I16" s="43" t="n">
        <v>6</v>
      </c>
      <c r="J16" s="33" t="str">
        <f aca="false">INDEX(Lookups_Metadata!$E$4:$E$10, MATCH(I16, Lookups_Metadata!$D$4:$D$10, 0))</f>
        <v>Saturday</v>
      </c>
      <c r="K16" s="33" t="str">
        <f aca="false">IF(H16=TRUE(), "Holiday", IF(OR(I16=0, I16=6), "Weekend", "Weekday"))</f>
        <v>Weekend</v>
      </c>
      <c r="L16" s="33" t="str">
        <f aca="false">IF(AND(K16="Weekday", OR(AND(G16&gt;=7, G16&lt;=9), AND(G16&gt;=17, G16&lt;=19))), "Peak Commute", "Off-Peak")</f>
        <v>Off-Peak</v>
      </c>
      <c r="M16" s="43" t="n">
        <v>1</v>
      </c>
      <c r="N16" s="33" t="str">
        <f aca="false">VLOOKUP(M16, Lookups_Metadata!$G$4:$H$7, 2, FALSE())</f>
        <v>Clear / Few Clouds</v>
      </c>
      <c r="O16" s="46" t="n">
        <v>0.36</v>
      </c>
      <c r="P16" s="46" t="n">
        <v>0.3333</v>
      </c>
      <c r="Q16" s="46" t="n">
        <f aca="false">IF(OR(P16="", ISBLANK(P16)), ROUND(0.9367*O16+0.0175, 4), P16)</f>
        <v>0.3333</v>
      </c>
      <c r="R16" s="33" t="str">
        <f aca="false">IF(OR(P16="", ISBLANK(P16)), "Imputed (Regression/Trend)", "Original")</f>
        <v>Original</v>
      </c>
      <c r="S16" s="46" t="n">
        <v>0.81</v>
      </c>
      <c r="T16" s="46" t="n">
        <v>0.2836</v>
      </c>
      <c r="U16" s="18" t="n">
        <v>26</v>
      </c>
      <c r="V16" s="18" t="n">
        <v>30</v>
      </c>
      <c r="W16" s="18" t="n">
        <f aca="false">U16+V16</f>
        <v>56</v>
      </c>
      <c r="X16" s="47" t="n">
        <f aca="false">U16/W16</f>
        <v>0.464285714285714</v>
      </c>
      <c r="Y16" s="47" t="n">
        <f aca="false">V16/W16</f>
        <v>0.535714285714286</v>
      </c>
      <c r="Z16" s="33" t="str">
        <f aca="false">IF(W16&gt;=150, "High Demand", IF(W16&gt;=50, "Moderate Demand", "Low Demand"))</f>
        <v>Moderate Demand</v>
      </c>
      <c r="AA16" s="45" t="str">
        <f aca="false">TEXT(G16, "00") &amp; ":00"</f>
        <v>11:00</v>
      </c>
      <c r="AB16" s="43" t="n">
        <f aca="false">YEAR(B16)</f>
        <v>2011</v>
      </c>
      <c r="AC16" s="33" t="str">
        <f aca="false">TEXT(B16, "mmmm")</f>
        <v>January</v>
      </c>
      <c r="AD16" s="43" t="n">
        <f aca="false">LEN(TEXT(B16, "YYYY-MM-DD"))</f>
        <v>10</v>
      </c>
      <c r="AE16" s="45" t="str">
        <f aca="false">LEFT(TEXT(B16, "YYYY-MM-DD"), 4)</f>
        <v>2011</v>
      </c>
      <c r="AF16" s="45" t="str">
        <f aca="false">RIGHT(TEXT(B16, "YYYY-MM-DD"), 2)</f>
        <v>01</v>
      </c>
    </row>
    <row r="17" customFormat="false" ht="15" hidden="false" customHeight="false" outlineLevel="0" collapsed="false">
      <c r="A17" s="37" t="n">
        <v>13</v>
      </c>
      <c r="B17" s="38" t="s">
        <v>77</v>
      </c>
      <c r="C17" s="37" t="n">
        <v>1</v>
      </c>
      <c r="D17" s="35" t="str">
        <f aca="false">VLOOKUP(C17, Lookups_Metadata!$A$4:$B$7, 2, FALSE())</f>
        <v>Spring</v>
      </c>
      <c r="E17" s="37" t="n">
        <v>0</v>
      </c>
      <c r="F17" s="37" t="n">
        <v>1</v>
      </c>
      <c r="G17" s="37" t="n">
        <v>12</v>
      </c>
      <c r="H17" s="39" t="b">
        <f aca="false">FALSE()</f>
        <v>0</v>
      </c>
      <c r="I17" s="37" t="n">
        <v>6</v>
      </c>
      <c r="J17" s="35" t="str">
        <f aca="false">INDEX(Lookups_Metadata!$E$4:$E$10, MATCH(I17, Lookups_Metadata!$D$4:$D$10, 0))</f>
        <v>Saturday</v>
      </c>
      <c r="K17" s="35" t="str">
        <f aca="false">IF(H17=TRUE(), "Holiday", IF(OR(I17=0, I17=6), "Weekend", "Weekday"))</f>
        <v>Weekend</v>
      </c>
      <c r="L17" s="35" t="str">
        <f aca="false">IF(AND(K17="Weekday", OR(AND(G17&gt;=7, G17&lt;=9), AND(G17&gt;=17, G17&lt;=19))), "Peak Commute", "Off-Peak")</f>
        <v>Off-Peak</v>
      </c>
      <c r="M17" s="37" t="n">
        <v>1</v>
      </c>
      <c r="N17" s="35" t="str">
        <f aca="false">VLOOKUP(M17, Lookups_Metadata!$G$4:$H$7, 2, FALSE())</f>
        <v>Clear / Few Clouds</v>
      </c>
      <c r="O17" s="40" t="n">
        <v>0.42</v>
      </c>
      <c r="P17" s="40" t="n">
        <v>0.4242</v>
      </c>
      <c r="Q17" s="40" t="n">
        <f aca="false">IF(OR(P17="", ISBLANK(P17)), ROUND(0.9367*O17+0.0175, 4), P17)</f>
        <v>0.4242</v>
      </c>
      <c r="R17" s="35" t="str">
        <f aca="false">IF(OR(P17="", ISBLANK(P17)), "Imputed (Regression/Trend)", "Original")</f>
        <v>Original</v>
      </c>
      <c r="S17" s="40" t="n">
        <v>0.77</v>
      </c>
      <c r="T17" s="40" t="n">
        <v>0.2836</v>
      </c>
      <c r="U17" s="41" t="n">
        <v>29</v>
      </c>
      <c r="V17" s="41" t="n">
        <v>55</v>
      </c>
      <c r="W17" s="41" t="n">
        <f aca="false">U17+V17</f>
        <v>84</v>
      </c>
      <c r="X17" s="42" t="n">
        <f aca="false">U17/W17</f>
        <v>0.345238095238095</v>
      </c>
      <c r="Y17" s="42" t="n">
        <f aca="false">V17/W17</f>
        <v>0.654761904761905</v>
      </c>
      <c r="Z17" s="35" t="str">
        <f aca="false">IF(W17&gt;=150, "High Demand", IF(W17&gt;=50, "Moderate Demand", "Low Demand"))</f>
        <v>Moderate Demand</v>
      </c>
      <c r="AA17" s="39" t="str">
        <f aca="false">TEXT(G17, "00") &amp; ":00"</f>
        <v>12:00</v>
      </c>
      <c r="AB17" s="37" t="n">
        <f aca="false">YEAR(B17)</f>
        <v>2011</v>
      </c>
      <c r="AC17" s="35" t="str">
        <f aca="false">TEXT(B17, "mmmm")</f>
        <v>January</v>
      </c>
      <c r="AD17" s="37" t="n">
        <f aca="false">LEN(TEXT(B17, "YYYY-MM-DD"))</f>
        <v>10</v>
      </c>
      <c r="AE17" s="39" t="str">
        <f aca="false">LEFT(TEXT(B17, "YYYY-MM-DD"), 4)</f>
        <v>2011</v>
      </c>
      <c r="AF17" s="39" t="str">
        <f aca="false">RIGHT(TEXT(B17, "YYYY-MM-DD"), 2)</f>
        <v>01</v>
      </c>
    </row>
    <row r="18" customFormat="false" ht="15" hidden="false" customHeight="false" outlineLevel="0" collapsed="false">
      <c r="A18" s="43" t="n">
        <v>14</v>
      </c>
      <c r="B18" s="44" t="s">
        <v>77</v>
      </c>
      <c r="C18" s="43" t="n">
        <v>1</v>
      </c>
      <c r="D18" s="33" t="str">
        <f aca="false">VLOOKUP(C18, Lookups_Metadata!$A$4:$B$7, 2, FALSE())</f>
        <v>Spring</v>
      </c>
      <c r="E18" s="43" t="n">
        <v>0</v>
      </c>
      <c r="F18" s="43" t="n">
        <v>1</v>
      </c>
      <c r="G18" s="43" t="n">
        <v>13</v>
      </c>
      <c r="H18" s="45" t="b">
        <f aca="false">FALSE()</f>
        <v>0</v>
      </c>
      <c r="I18" s="43" t="n">
        <v>6</v>
      </c>
      <c r="J18" s="33" t="str">
        <f aca="false">INDEX(Lookups_Metadata!$E$4:$E$10, MATCH(I18, Lookups_Metadata!$D$4:$D$10, 0))</f>
        <v>Saturday</v>
      </c>
      <c r="K18" s="33" t="str">
        <f aca="false">IF(H18=TRUE(), "Holiday", IF(OR(I18=0, I18=6), "Weekend", "Weekday"))</f>
        <v>Weekend</v>
      </c>
      <c r="L18" s="33" t="str">
        <f aca="false">IF(AND(K18="Weekday", OR(AND(G18&gt;=7, G18&lt;=9), AND(G18&gt;=17, G18&lt;=19))), "Peak Commute", "Off-Peak")</f>
        <v>Off-Peak</v>
      </c>
      <c r="M18" s="43" t="n">
        <v>2</v>
      </c>
      <c r="N18" s="33" t="str">
        <f aca="false">VLOOKUP(M18, Lookups_Metadata!$G$4:$H$7, 2, FALSE())</f>
        <v>Mist / Cloudy</v>
      </c>
      <c r="O18" s="46" t="n">
        <v>0.46</v>
      </c>
      <c r="P18" s="46" t="n">
        <v>0.4545</v>
      </c>
      <c r="Q18" s="46" t="n">
        <f aca="false">IF(OR(P18="", ISBLANK(P18)), ROUND(0.9367*O18+0.0175, 4), P18)</f>
        <v>0.4545</v>
      </c>
      <c r="R18" s="33" t="str">
        <f aca="false">IF(OR(P18="", ISBLANK(P18)), "Imputed (Regression/Trend)", "Original")</f>
        <v>Original</v>
      </c>
      <c r="S18" s="46" t="n">
        <v>0.72</v>
      </c>
      <c r="T18" s="46" t="n">
        <v>0.2985</v>
      </c>
      <c r="U18" s="18" t="n">
        <v>47</v>
      </c>
      <c r="V18" s="18" t="n">
        <v>47</v>
      </c>
      <c r="W18" s="18" t="n">
        <f aca="false">U18+V18</f>
        <v>94</v>
      </c>
      <c r="X18" s="47" t="n">
        <f aca="false">U18/W18</f>
        <v>0.5</v>
      </c>
      <c r="Y18" s="47" t="n">
        <f aca="false">V18/W18</f>
        <v>0.5</v>
      </c>
      <c r="Z18" s="33" t="str">
        <f aca="false">IF(W18&gt;=150, "High Demand", IF(W18&gt;=50, "Moderate Demand", "Low Demand"))</f>
        <v>Moderate Demand</v>
      </c>
      <c r="AA18" s="45" t="str">
        <f aca="false">TEXT(G18, "00") &amp; ":00"</f>
        <v>13:00</v>
      </c>
      <c r="AB18" s="43" t="n">
        <f aca="false">YEAR(B18)</f>
        <v>2011</v>
      </c>
      <c r="AC18" s="33" t="str">
        <f aca="false">TEXT(B18, "mmmm")</f>
        <v>January</v>
      </c>
      <c r="AD18" s="43" t="n">
        <f aca="false">LEN(TEXT(B18, "YYYY-MM-DD"))</f>
        <v>10</v>
      </c>
      <c r="AE18" s="45" t="str">
        <f aca="false">LEFT(TEXT(B18, "YYYY-MM-DD"), 4)</f>
        <v>2011</v>
      </c>
      <c r="AF18" s="45" t="str">
        <f aca="false">RIGHT(TEXT(B18, "YYYY-MM-DD"), 2)</f>
        <v>01</v>
      </c>
    </row>
    <row r="19" customFormat="false" ht="15" hidden="false" customHeight="false" outlineLevel="0" collapsed="false">
      <c r="A19" s="37" t="n">
        <v>15</v>
      </c>
      <c r="B19" s="38" t="s">
        <v>77</v>
      </c>
      <c r="C19" s="37" t="n">
        <v>1</v>
      </c>
      <c r="D19" s="35" t="str">
        <f aca="false">VLOOKUP(C19, Lookups_Metadata!$A$4:$B$7, 2, FALSE())</f>
        <v>Spring</v>
      </c>
      <c r="E19" s="37" t="n">
        <v>0</v>
      </c>
      <c r="F19" s="37" t="n">
        <v>1</v>
      </c>
      <c r="G19" s="37" t="n">
        <v>14</v>
      </c>
      <c r="H19" s="39" t="b">
        <f aca="false">FALSE()</f>
        <v>0</v>
      </c>
      <c r="I19" s="37" t="n">
        <v>6</v>
      </c>
      <c r="J19" s="35" t="str">
        <f aca="false">INDEX(Lookups_Metadata!$E$4:$E$10, MATCH(I19, Lookups_Metadata!$D$4:$D$10, 0))</f>
        <v>Saturday</v>
      </c>
      <c r="K19" s="35" t="str">
        <f aca="false">IF(H19=TRUE(), "Holiday", IF(OR(I19=0, I19=6), "Weekend", "Weekday"))</f>
        <v>Weekend</v>
      </c>
      <c r="L19" s="35" t="str">
        <f aca="false">IF(AND(K19="Weekday", OR(AND(G19&gt;=7, G19&lt;=9), AND(G19&gt;=17, G19&lt;=19))), "Peak Commute", "Off-Peak")</f>
        <v>Off-Peak</v>
      </c>
      <c r="M19" s="37" t="n">
        <v>2</v>
      </c>
      <c r="N19" s="35" t="str">
        <f aca="false">VLOOKUP(M19, Lookups_Metadata!$G$4:$H$7, 2, FALSE())</f>
        <v>Mist / Cloudy</v>
      </c>
      <c r="O19" s="40" t="n">
        <v>0.46</v>
      </c>
      <c r="P19" s="40" t="n">
        <v>0.4545</v>
      </c>
      <c r="Q19" s="40" t="n">
        <f aca="false">IF(OR(P19="", ISBLANK(P19)), ROUND(0.9367*O19+0.0175, 4), P19)</f>
        <v>0.4545</v>
      </c>
      <c r="R19" s="35" t="str">
        <f aca="false">IF(OR(P19="", ISBLANK(P19)), "Imputed (Regression/Trend)", "Original")</f>
        <v>Original</v>
      </c>
      <c r="S19" s="40" t="n">
        <v>0.72</v>
      </c>
      <c r="T19" s="40" t="n">
        <v>0.2836</v>
      </c>
      <c r="U19" s="41" t="n">
        <v>35</v>
      </c>
      <c r="V19" s="41" t="n">
        <v>71</v>
      </c>
      <c r="W19" s="41" t="n">
        <f aca="false">U19+V19</f>
        <v>106</v>
      </c>
      <c r="X19" s="42" t="n">
        <f aca="false">U19/W19</f>
        <v>0.330188679245283</v>
      </c>
      <c r="Y19" s="42" t="n">
        <f aca="false">V19/W19</f>
        <v>0.669811320754717</v>
      </c>
      <c r="Z19" s="35" t="str">
        <f aca="false">IF(W19&gt;=150, "High Demand", IF(W19&gt;=50, "Moderate Demand", "Low Demand"))</f>
        <v>Moderate Demand</v>
      </c>
      <c r="AA19" s="39" t="str">
        <f aca="false">TEXT(G19, "00") &amp; ":00"</f>
        <v>14:00</v>
      </c>
      <c r="AB19" s="37" t="n">
        <f aca="false">YEAR(B19)</f>
        <v>2011</v>
      </c>
      <c r="AC19" s="35" t="str">
        <f aca="false">TEXT(B19, "mmmm")</f>
        <v>January</v>
      </c>
      <c r="AD19" s="37" t="n">
        <f aca="false">LEN(TEXT(B19, "YYYY-MM-DD"))</f>
        <v>10</v>
      </c>
      <c r="AE19" s="39" t="str">
        <f aca="false">LEFT(TEXT(B19, "YYYY-MM-DD"), 4)</f>
        <v>2011</v>
      </c>
      <c r="AF19" s="39" t="str">
        <f aca="false">RIGHT(TEXT(B19, "YYYY-MM-DD"), 2)</f>
        <v>01</v>
      </c>
    </row>
    <row r="20" customFormat="false" ht="15" hidden="false" customHeight="false" outlineLevel="0" collapsed="false">
      <c r="A20" s="43" t="n">
        <v>16</v>
      </c>
      <c r="B20" s="44" t="s">
        <v>77</v>
      </c>
      <c r="C20" s="43" t="n">
        <v>1</v>
      </c>
      <c r="D20" s="33" t="str">
        <f aca="false">VLOOKUP(C20, Lookups_Metadata!$A$4:$B$7, 2, FALSE())</f>
        <v>Spring</v>
      </c>
      <c r="E20" s="43" t="n">
        <v>0</v>
      </c>
      <c r="F20" s="43" t="n">
        <v>1</v>
      </c>
      <c r="G20" s="43" t="n">
        <v>15</v>
      </c>
      <c r="H20" s="45" t="b">
        <f aca="false">FALSE()</f>
        <v>0</v>
      </c>
      <c r="I20" s="43" t="n">
        <v>6</v>
      </c>
      <c r="J20" s="33" t="str">
        <f aca="false">INDEX(Lookups_Metadata!$E$4:$E$10, MATCH(I20, Lookups_Metadata!$D$4:$D$10, 0))</f>
        <v>Saturday</v>
      </c>
      <c r="K20" s="33" t="str">
        <f aca="false">IF(H20=TRUE(), "Holiday", IF(OR(I20=0, I20=6), "Weekend", "Weekday"))</f>
        <v>Weekend</v>
      </c>
      <c r="L20" s="33" t="str">
        <f aca="false">IF(AND(K20="Weekday", OR(AND(G20&gt;=7, G20&lt;=9), AND(G20&gt;=17, G20&lt;=19))), "Peak Commute", "Off-Peak")</f>
        <v>Off-Peak</v>
      </c>
      <c r="M20" s="43" t="n">
        <v>2</v>
      </c>
      <c r="N20" s="33" t="str">
        <f aca="false">VLOOKUP(M20, Lookups_Metadata!$G$4:$H$7, 2, FALSE())</f>
        <v>Mist / Cloudy</v>
      </c>
      <c r="O20" s="46" t="n">
        <v>0.44</v>
      </c>
      <c r="P20" s="46" t="n">
        <v>0.4394</v>
      </c>
      <c r="Q20" s="46" t="n">
        <f aca="false">IF(OR(P20="", ISBLANK(P20)), ROUND(0.9367*O20+0.0175, 4), P20)</f>
        <v>0.4394</v>
      </c>
      <c r="R20" s="33" t="str">
        <f aca="false">IF(OR(P20="", ISBLANK(P20)), "Imputed (Regression/Trend)", "Original")</f>
        <v>Original</v>
      </c>
      <c r="S20" s="46" t="n">
        <v>0.77</v>
      </c>
      <c r="T20" s="46" t="n">
        <v>0.2985</v>
      </c>
      <c r="U20" s="18" t="n">
        <v>40</v>
      </c>
      <c r="V20" s="18" t="n">
        <v>70</v>
      </c>
      <c r="W20" s="18" t="n">
        <f aca="false">U20+V20</f>
        <v>110</v>
      </c>
      <c r="X20" s="47" t="n">
        <f aca="false">U20/W20</f>
        <v>0.363636363636364</v>
      </c>
      <c r="Y20" s="47" t="n">
        <f aca="false">V20/W20</f>
        <v>0.636363636363636</v>
      </c>
      <c r="Z20" s="33" t="str">
        <f aca="false">IF(W20&gt;=150, "High Demand", IF(W20&gt;=50, "Moderate Demand", "Low Demand"))</f>
        <v>Moderate Demand</v>
      </c>
      <c r="AA20" s="45" t="str">
        <f aca="false">TEXT(G20, "00") &amp; ":00"</f>
        <v>15:00</v>
      </c>
      <c r="AB20" s="43" t="n">
        <f aca="false">YEAR(B20)</f>
        <v>2011</v>
      </c>
      <c r="AC20" s="33" t="str">
        <f aca="false">TEXT(B20, "mmmm")</f>
        <v>January</v>
      </c>
      <c r="AD20" s="43" t="n">
        <f aca="false">LEN(TEXT(B20, "YYYY-MM-DD"))</f>
        <v>10</v>
      </c>
      <c r="AE20" s="45" t="str">
        <f aca="false">LEFT(TEXT(B20, "YYYY-MM-DD"), 4)</f>
        <v>2011</v>
      </c>
      <c r="AF20" s="45" t="str">
        <f aca="false">RIGHT(TEXT(B20, "YYYY-MM-DD"), 2)</f>
        <v>01</v>
      </c>
    </row>
    <row r="21" customFormat="false" ht="15" hidden="false" customHeight="false" outlineLevel="0" collapsed="false">
      <c r="A21" s="37" t="n">
        <v>17</v>
      </c>
      <c r="B21" s="38" t="s">
        <v>77</v>
      </c>
      <c r="C21" s="37" t="n">
        <v>1</v>
      </c>
      <c r="D21" s="35" t="str">
        <f aca="false">VLOOKUP(C21, Lookups_Metadata!$A$4:$B$7, 2, FALSE())</f>
        <v>Spring</v>
      </c>
      <c r="E21" s="37" t="n">
        <v>0</v>
      </c>
      <c r="F21" s="37" t="n">
        <v>1</v>
      </c>
      <c r="G21" s="37" t="n">
        <v>16</v>
      </c>
      <c r="H21" s="39" t="b">
        <f aca="false">FALSE()</f>
        <v>0</v>
      </c>
      <c r="I21" s="37" t="n">
        <v>6</v>
      </c>
      <c r="J21" s="35" t="str">
        <f aca="false">INDEX(Lookups_Metadata!$E$4:$E$10, MATCH(I21, Lookups_Metadata!$D$4:$D$10, 0))</f>
        <v>Saturday</v>
      </c>
      <c r="K21" s="35" t="str">
        <f aca="false">IF(H21=TRUE(), "Holiday", IF(OR(I21=0, I21=6), "Weekend", "Weekday"))</f>
        <v>Weekend</v>
      </c>
      <c r="L21" s="35" t="str">
        <f aca="false">IF(AND(K21="Weekday", OR(AND(G21&gt;=7, G21&lt;=9), AND(G21&gt;=17, G21&lt;=19))), "Peak Commute", "Off-Peak")</f>
        <v>Off-Peak</v>
      </c>
      <c r="M21" s="37" t="n">
        <v>2</v>
      </c>
      <c r="N21" s="35" t="str">
        <f aca="false">VLOOKUP(M21, Lookups_Metadata!$G$4:$H$7, 2, FALSE())</f>
        <v>Mist / Cloudy</v>
      </c>
      <c r="O21" s="40" t="n">
        <v>0.42</v>
      </c>
      <c r="P21" s="40" t="n">
        <v>0.4242</v>
      </c>
      <c r="Q21" s="40" t="n">
        <f aca="false">IF(OR(P21="", ISBLANK(P21)), ROUND(0.9367*O21+0.0175, 4), P21)</f>
        <v>0.4242</v>
      </c>
      <c r="R21" s="35" t="str">
        <f aca="false">IF(OR(P21="", ISBLANK(P21)), "Imputed (Regression/Trend)", "Original")</f>
        <v>Original</v>
      </c>
      <c r="S21" s="40" t="n">
        <v>0.82</v>
      </c>
      <c r="T21" s="40" t="n">
        <v>0.2985</v>
      </c>
      <c r="U21" s="41" t="n">
        <v>41</v>
      </c>
      <c r="V21" s="41" t="n">
        <v>52</v>
      </c>
      <c r="W21" s="41" t="n">
        <f aca="false">U21+V21</f>
        <v>93</v>
      </c>
      <c r="X21" s="42" t="n">
        <f aca="false">U21/W21</f>
        <v>0.440860215053763</v>
      </c>
      <c r="Y21" s="42" t="n">
        <f aca="false">V21/W21</f>
        <v>0.559139784946237</v>
      </c>
      <c r="Z21" s="35" t="str">
        <f aca="false">IF(W21&gt;=150, "High Demand", IF(W21&gt;=50, "Moderate Demand", "Low Demand"))</f>
        <v>Moderate Demand</v>
      </c>
      <c r="AA21" s="39" t="str">
        <f aca="false">TEXT(G21, "00") &amp; ":00"</f>
        <v>16:00</v>
      </c>
      <c r="AB21" s="37" t="n">
        <f aca="false">YEAR(B21)</f>
        <v>2011</v>
      </c>
      <c r="AC21" s="35" t="str">
        <f aca="false">TEXT(B21, "mmmm")</f>
        <v>January</v>
      </c>
      <c r="AD21" s="37" t="n">
        <f aca="false">LEN(TEXT(B21, "YYYY-MM-DD"))</f>
        <v>10</v>
      </c>
      <c r="AE21" s="39" t="str">
        <f aca="false">LEFT(TEXT(B21, "YYYY-MM-DD"), 4)</f>
        <v>2011</v>
      </c>
      <c r="AF21" s="39" t="str">
        <f aca="false">RIGHT(TEXT(B21, "YYYY-MM-DD"), 2)</f>
        <v>01</v>
      </c>
    </row>
    <row r="22" customFormat="false" ht="15" hidden="false" customHeight="false" outlineLevel="0" collapsed="false">
      <c r="A22" s="43" t="n">
        <v>18</v>
      </c>
      <c r="B22" s="44" t="s">
        <v>77</v>
      </c>
      <c r="C22" s="43" t="n">
        <v>1</v>
      </c>
      <c r="D22" s="33" t="str">
        <f aca="false">VLOOKUP(C22, Lookups_Metadata!$A$4:$B$7, 2, FALSE())</f>
        <v>Spring</v>
      </c>
      <c r="E22" s="43" t="n">
        <v>0</v>
      </c>
      <c r="F22" s="43" t="n">
        <v>1</v>
      </c>
      <c r="G22" s="43" t="n">
        <v>17</v>
      </c>
      <c r="H22" s="45" t="b">
        <f aca="false">FALSE()</f>
        <v>0</v>
      </c>
      <c r="I22" s="43" t="n">
        <v>6</v>
      </c>
      <c r="J22" s="33" t="str">
        <f aca="false">INDEX(Lookups_Metadata!$E$4:$E$10, MATCH(I22, Lookups_Metadata!$D$4:$D$10, 0))</f>
        <v>Saturday</v>
      </c>
      <c r="K22" s="33" t="str">
        <f aca="false">IF(H22=TRUE(), "Holiday", IF(OR(I22=0, I22=6), "Weekend", "Weekday"))</f>
        <v>Weekend</v>
      </c>
      <c r="L22" s="33" t="str">
        <f aca="false">IF(AND(K22="Weekday", OR(AND(G22&gt;=7, G22&lt;=9), AND(G22&gt;=17, G22&lt;=19))), "Peak Commute", "Off-Peak")</f>
        <v>Off-Peak</v>
      </c>
      <c r="M22" s="43" t="n">
        <v>2</v>
      </c>
      <c r="N22" s="33" t="str">
        <f aca="false">VLOOKUP(M22, Lookups_Metadata!$G$4:$H$7, 2, FALSE())</f>
        <v>Mist / Cloudy</v>
      </c>
      <c r="O22" s="46" t="n">
        <v>0.44</v>
      </c>
      <c r="P22" s="46"/>
      <c r="Q22" s="46" t="n">
        <f aca="false">IF(OR(P22="", ISBLANK(P22)), ROUND(0.9367*O22+0.0175, 4), P22)</f>
        <v>0.4296</v>
      </c>
      <c r="R22" s="33" t="str">
        <f aca="false">IF(OR(P22="", ISBLANK(P22)), "Imputed (Regression/Trend)", "Original")</f>
        <v>Imputed (Regression/Trend)</v>
      </c>
      <c r="S22" s="46" t="n">
        <v>0.82</v>
      </c>
      <c r="T22" s="46" t="n">
        <v>0.2836</v>
      </c>
      <c r="U22" s="18" t="n">
        <v>15</v>
      </c>
      <c r="V22" s="18" t="n">
        <v>52</v>
      </c>
      <c r="W22" s="18" t="n">
        <f aca="false">U22+V22</f>
        <v>67</v>
      </c>
      <c r="X22" s="47" t="n">
        <f aca="false">U22/W22</f>
        <v>0.223880597014925</v>
      </c>
      <c r="Y22" s="47" t="n">
        <f aca="false">V22/W22</f>
        <v>0.776119402985075</v>
      </c>
      <c r="Z22" s="33" t="str">
        <f aca="false">IF(W22&gt;=150, "High Demand", IF(W22&gt;=50, "Moderate Demand", "Low Demand"))</f>
        <v>Moderate Demand</v>
      </c>
      <c r="AA22" s="45" t="str">
        <f aca="false">TEXT(G22, "00") &amp; ":00"</f>
        <v>17:00</v>
      </c>
      <c r="AB22" s="43" t="n">
        <f aca="false">YEAR(B22)</f>
        <v>2011</v>
      </c>
      <c r="AC22" s="33" t="str">
        <f aca="false">TEXT(B22, "mmmm")</f>
        <v>January</v>
      </c>
      <c r="AD22" s="43" t="n">
        <f aca="false">LEN(TEXT(B22, "YYYY-MM-DD"))</f>
        <v>10</v>
      </c>
      <c r="AE22" s="45" t="str">
        <f aca="false">LEFT(TEXT(B22, "YYYY-MM-DD"), 4)</f>
        <v>2011</v>
      </c>
      <c r="AF22" s="45" t="str">
        <f aca="false">RIGHT(TEXT(B22, "YYYY-MM-DD"), 2)</f>
        <v>01</v>
      </c>
    </row>
    <row r="23" customFormat="false" ht="15" hidden="false" customHeight="false" outlineLevel="0" collapsed="false">
      <c r="A23" s="37" t="n">
        <v>19</v>
      </c>
      <c r="B23" s="38" t="s">
        <v>77</v>
      </c>
      <c r="C23" s="37" t="n">
        <v>1</v>
      </c>
      <c r="D23" s="35" t="str">
        <f aca="false">VLOOKUP(C23, Lookups_Metadata!$A$4:$B$7, 2, FALSE())</f>
        <v>Spring</v>
      </c>
      <c r="E23" s="37" t="n">
        <v>0</v>
      </c>
      <c r="F23" s="37" t="n">
        <v>1</v>
      </c>
      <c r="G23" s="37" t="n">
        <v>18</v>
      </c>
      <c r="H23" s="39" t="b">
        <f aca="false">FALSE()</f>
        <v>0</v>
      </c>
      <c r="I23" s="37" t="n">
        <v>6</v>
      </c>
      <c r="J23" s="35" t="str">
        <f aca="false">INDEX(Lookups_Metadata!$E$4:$E$10, MATCH(I23, Lookups_Metadata!$D$4:$D$10, 0))</f>
        <v>Saturday</v>
      </c>
      <c r="K23" s="35" t="str">
        <f aca="false">IF(H23=TRUE(), "Holiday", IF(OR(I23=0, I23=6), "Weekend", "Weekday"))</f>
        <v>Weekend</v>
      </c>
      <c r="L23" s="35" t="str">
        <f aca="false">IF(AND(K23="Weekday", OR(AND(G23&gt;=7, G23&lt;=9), AND(G23&gt;=17, G23&lt;=19))), "Peak Commute", "Off-Peak")</f>
        <v>Off-Peak</v>
      </c>
      <c r="M23" s="37" t="n">
        <v>3</v>
      </c>
      <c r="N23" s="35" t="str">
        <f aca="false">VLOOKUP(M23, Lookups_Metadata!$G$4:$H$7, 2, FALSE())</f>
        <v>Light Snow / Light Rain</v>
      </c>
      <c r="O23" s="40" t="n">
        <v>0.42</v>
      </c>
      <c r="P23" s="40" t="n">
        <v>0.4242</v>
      </c>
      <c r="Q23" s="40" t="n">
        <f aca="false">IF(OR(P23="", ISBLANK(P23)), ROUND(0.9367*O23+0.0175, 4), P23)</f>
        <v>0.4242</v>
      </c>
      <c r="R23" s="35" t="str">
        <f aca="false">IF(OR(P23="", ISBLANK(P23)), "Imputed (Regression/Trend)", "Original")</f>
        <v>Original</v>
      </c>
      <c r="S23" s="40" t="n">
        <v>0.88</v>
      </c>
      <c r="T23" s="40" t="n">
        <v>0.2537</v>
      </c>
      <c r="U23" s="41" t="n">
        <v>9</v>
      </c>
      <c r="V23" s="41" t="n">
        <v>26</v>
      </c>
      <c r="W23" s="41" t="n">
        <f aca="false">U23+V23</f>
        <v>35</v>
      </c>
      <c r="X23" s="42" t="n">
        <f aca="false">U23/W23</f>
        <v>0.257142857142857</v>
      </c>
      <c r="Y23" s="42" t="n">
        <f aca="false">V23/W23</f>
        <v>0.742857142857143</v>
      </c>
      <c r="Z23" s="35" t="str">
        <f aca="false">IF(W23&gt;=150, "High Demand", IF(W23&gt;=50, "Moderate Demand", "Low Demand"))</f>
        <v>Low Demand</v>
      </c>
      <c r="AA23" s="39" t="str">
        <f aca="false">TEXT(G23, "00") &amp; ":00"</f>
        <v>18:00</v>
      </c>
      <c r="AB23" s="37" t="n">
        <f aca="false">YEAR(B23)</f>
        <v>2011</v>
      </c>
      <c r="AC23" s="35" t="str">
        <f aca="false">TEXT(B23, "mmmm")</f>
        <v>January</v>
      </c>
      <c r="AD23" s="37" t="n">
        <f aca="false">LEN(TEXT(B23, "YYYY-MM-DD"))</f>
        <v>10</v>
      </c>
      <c r="AE23" s="39" t="str">
        <f aca="false">LEFT(TEXT(B23, "YYYY-MM-DD"), 4)</f>
        <v>2011</v>
      </c>
      <c r="AF23" s="39" t="str">
        <f aca="false">RIGHT(TEXT(B23, "YYYY-MM-DD"), 2)</f>
        <v>01</v>
      </c>
    </row>
    <row r="24" customFormat="false" ht="15" hidden="false" customHeight="false" outlineLevel="0" collapsed="false">
      <c r="A24" s="43" t="n">
        <v>20</v>
      </c>
      <c r="B24" s="44" t="s">
        <v>77</v>
      </c>
      <c r="C24" s="43" t="n">
        <v>1</v>
      </c>
      <c r="D24" s="33" t="str">
        <f aca="false">VLOOKUP(C24, Lookups_Metadata!$A$4:$B$7, 2, FALSE())</f>
        <v>Spring</v>
      </c>
      <c r="E24" s="43" t="n">
        <v>0</v>
      </c>
      <c r="F24" s="43" t="n">
        <v>1</v>
      </c>
      <c r="G24" s="43" t="n">
        <v>19</v>
      </c>
      <c r="H24" s="45" t="b">
        <f aca="false">FALSE()</f>
        <v>0</v>
      </c>
      <c r="I24" s="43" t="n">
        <v>6</v>
      </c>
      <c r="J24" s="33" t="str">
        <f aca="false">INDEX(Lookups_Metadata!$E$4:$E$10, MATCH(I24, Lookups_Metadata!$D$4:$D$10, 0))</f>
        <v>Saturday</v>
      </c>
      <c r="K24" s="33" t="str">
        <f aca="false">IF(H24=TRUE(), "Holiday", IF(OR(I24=0, I24=6), "Weekend", "Weekday"))</f>
        <v>Weekend</v>
      </c>
      <c r="L24" s="33" t="str">
        <f aca="false">IF(AND(K24="Weekday", OR(AND(G24&gt;=7, G24&lt;=9), AND(G24&gt;=17, G24&lt;=19))), "Peak Commute", "Off-Peak")</f>
        <v>Off-Peak</v>
      </c>
      <c r="M24" s="43" t="n">
        <v>3</v>
      </c>
      <c r="N24" s="33" t="str">
        <f aca="false">VLOOKUP(M24, Lookups_Metadata!$G$4:$H$7, 2, FALSE())</f>
        <v>Light Snow / Light Rain</v>
      </c>
      <c r="O24" s="46" t="n">
        <v>0.42</v>
      </c>
      <c r="P24" s="46" t="n">
        <v>0.4242</v>
      </c>
      <c r="Q24" s="46" t="n">
        <f aca="false">IF(OR(P24="", ISBLANK(P24)), ROUND(0.9367*O24+0.0175, 4), P24)</f>
        <v>0.4242</v>
      </c>
      <c r="R24" s="33" t="str">
        <f aca="false">IF(OR(P24="", ISBLANK(P24)), "Imputed (Regression/Trend)", "Original")</f>
        <v>Original</v>
      </c>
      <c r="S24" s="46" t="n">
        <v>0.88</v>
      </c>
      <c r="T24" s="46" t="n">
        <v>0.2537</v>
      </c>
      <c r="U24" s="18" t="n">
        <v>6</v>
      </c>
      <c r="V24" s="18" t="n">
        <v>31</v>
      </c>
      <c r="W24" s="18" t="n">
        <f aca="false">U24+V24</f>
        <v>37</v>
      </c>
      <c r="X24" s="47" t="n">
        <f aca="false">U24/W24</f>
        <v>0.162162162162162</v>
      </c>
      <c r="Y24" s="47" t="n">
        <f aca="false">V24/W24</f>
        <v>0.837837837837838</v>
      </c>
      <c r="Z24" s="33" t="str">
        <f aca="false">IF(W24&gt;=150, "High Demand", IF(W24&gt;=50, "Moderate Demand", "Low Demand"))</f>
        <v>Low Demand</v>
      </c>
      <c r="AA24" s="45" t="str">
        <f aca="false">TEXT(G24, "00") &amp; ":00"</f>
        <v>19:00</v>
      </c>
      <c r="AB24" s="43" t="n">
        <f aca="false">YEAR(B24)</f>
        <v>2011</v>
      </c>
      <c r="AC24" s="33" t="str">
        <f aca="false">TEXT(B24, "mmmm")</f>
        <v>January</v>
      </c>
      <c r="AD24" s="43" t="n">
        <f aca="false">LEN(TEXT(B24, "YYYY-MM-DD"))</f>
        <v>10</v>
      </c>
      <c r="AE24" s="45" t="str">
        <f aca="false">LEFT(TEXT(B24, "YYYY-MM-DD"), 4)</f>
        <v>2011</v>
      </c>
      <c r="AF24" s="45" t="str">
        <f aca="false">RIGHT(TEXT(B24, "YYYY-MM-DD"), 2)</f>
        <v>01</v>
      </c>
    </row>
    <row r="25" customFormat="false" ht="15" hidden="false" customHeight="false" outlineLevel="0" collapsed="false">
      <c r="A25" s="37" t="n">
        <v>21</v>
      </c>
      <c r="B25" s="38" t="s">
        <v>77</v>
      </c>
      <c r="C25" s="37" t="n">
        <v>1</v>
      </c>
      <c r="D25" s="35" t="str">
        <f aca="false">VLOOKUP(C25, Lookups_Metadata!$A$4:$B$7, 2, FALSE())</f>
        <v>Spring</v>
      </c>
      <c r="E25" s="37" t="n">
        <v>0</v>
      </c>
      <c r="F25" s="37" t="n">
        <v>1</v>
      </c>
      <c r="G25" s="37" t="n">
        <v>20</v>
      </c>
      <c r="H25" s="39" t="b">
        <f aca="false">FALSE()</f>
        <v>0</v>
      </c>
      <c r="I25" s="37" t="n">
        <v>6</v>
      </c>
      <c r="J25" s="35" t="str">
        <f aca="false">INDEX(Lookups_Metadata!$E$4:$E$10, MATCH(I25, Lookups_Metadata!$D$4:$D$10, 0))</f>
        <v>Saturday</v>
      </c>
      <c r="K25" s="35" t="str">
        <f aca="false">IF(H25=TRUE(), "Holiday", IF(OR(I25=0, I25=6), "Weekend", "Weekday"))</f>
        <v>Weekend</v>
      </c>
      <c r="L25" s="35" t="str">
        <f aca="false">IF(AND(K25="Weekday", OR(AND(G25&gt;=7, G25&lt;=9), AND(G25&gt;=17, G25&lt;=19))), "Peak Commute", "Off-Peak")</f>
        <v>Off-Peak</v>
      </c>
      <c r="M25" s="37" t="n">
        <v>2</v>
      </c>
      <c r="N25" s="35" t="str">
        <f aca="false">VLOOKUP(M25, Lookups_Metadata!$G$4:$H$7, 2, FALSE())</f>
        <v>Mist / Cloudy</v>
      </c>
      <c r="O25" s="40" t="n">
        <v>0.4</v>
      </c>
      <c r="P25" s="40" t="n">
        <v>0.4091</v>
      </c>
      <c r="Q25" s="40" t="n">
        <f aca="false">IF(OR(P25="", ISBLANK(P25)), ROUND(0.9367*O25+0.0175, 4), P25)</f>
        <v>0.4091</v>
      </c>
      <c r="R25" s="35" t="str">
        <f aca="false">IF(OR(P25="", ISBLANK(P25)), "Imputed (Regression/Trend)", "Original")</f>
        <v>Original</v>
      </c>
      <c r="S25" s="40" t="n">
        <v>0.87</v>
      </c>
      <c r="T25" s="40" t="n">
        <v>0.2537</v>
      </c>
      <c r="U25" s="41" t="n">
        <v>11</v>
      </c>
      <c r="V25" s="41" t="n">
        <v>25</v>
      </c>
      <c r="W25" s="41" t="n">
        <f aca="false">U25+V25</f>
        <v>36</v>
      </c>
      <c r="X25" s="42" t="n">
        <f aca="false">U25/W25</f>
        <v>0.305555555555556</v>
      </c>
      <c r="Y25" s="42" t="n">
        <f aca="false">V25/W25</f>
        <v>0.694444444444444</v>
      </c>
      <c r="Z25" s="35" t="str">
        <f aca="false">IF(W25&gt;=150, "High Demand", IF(W25&gt;=50, "Moderate Demand", "Low Demand"))</f>
        <v>Low Demand</v>
      </c>
      <c r="AA25" s="39" t="str">
        <f aca="false">TEXT(G25, "00") &amp; ":00"</f>
        <v>20:00</v>
      </c>
      <c r="AB25" s="37" t="n">
        <f aca="false">YEAR(B25)</f>
        <v>2011</v>
      </c>
      <c r="AC25" s="35" t="str">
        <f aca="false">TEXT(B25, "mmmm")</f>
        <v>January</v>
      </c>
      <c r="AD25" s="37" t="n">
        <f aca="false">LEN(TEXT(B25, "YYYY-MM-DD"))</f>
        <v>10</v>
      </c>
      <c r="AE25" s="39" t="str">
        <f aca="false">LEFT(TEXT(B25, "YYYY-MM-DD"), 4)</f>
        <v>2011</v>
      </c>
      <c r="AF25" s="39" t="str">
        <f aca="false">RIGHT(TEXT(B25, "YYYY-MM-DD"), 2)</f>
        <v>01</v>
      </c>
    </row>
    <row r="26" customFormat="false" ht="15" hidden="false" customHeight="false" outlineLevel="0" collapsed="false">
      <c r="A26" s="43" t="n">
        <v>22</v>
      </c>
      <c r="B26" s="44" t="s">
        <v>77</v>
      </c>
      <c r="C26" s="43" t="n">
        <v>1</v>
      </c>
      <c r="D26" s="33" t="str">
        <f aca="false">VLOOKUP(C26, Lookups_Metadata!$A$4:$B$7, 2, FALSE())</f>
        <v>Spring</v>
      </c>
      <c r="E26" s="43" t="n">
        <v>0</v>
      </c>
      <c r="F26" s="43" t="n">
        <v>1</v>
      </c>
      <c r="G26" s="43" t="n">
        <v>21</v>
      </c>
      <c r="H26" s="45" t="b">
        <f aca="false">FALSE()</f>
        <v>0</v>
      </c>
      <c r="I26" s="43" t="n">
        <v>6</v>
      </c>
      <c r="J26" s="33" t="str">
        <f aca="false">INDEX(Lookups_Metadata!$E$4:$E$10, MATCH(I26, Lookups_Metadata!$D$4:$D$10, 0))</f>
        <v>Saturday</v>
      </c>
      <c r="K26" s="33" t="str">
        <f aca="false">IF(H26=TRUE(), "Holiday", IF(OR(I26=0, I26=6), "Weekend", "Weekday"))</f>
        <v>Weekend</v>
      </c>
      <c r="L26" s="33" t="str">
        <f aca="false">IF(AND(K26="Weekday", OR(AND(G26&gt;=7, G26&lt;=9), AND(G26&gt;=17, G26&lt;=19))), "Peak Commute", "Off-Peak")</f>
        <v>Off-Peak</v>
      </c>
      <c r="M26" s="43" t="n">
        <v>2</v>
      </c>
      <c r="N26" s="33" t="str">
        <f aca="false">VLOOKUP(M26, Lookups_Metadata!$G$4:$H$7, 2, FALSE())</f>
        <v>Mist / Cloudy</v>
      </c>
      <c r="O26" s="46" t="n">
        <v>0.4</v>
      </c>
      <c r="P26" s="46" t="n">
        <v>0.4091</v>
      </c>
      <c r="Q26" s="46" t="n">
        <f aca="false">IF(OR(P26="", ISBLANK(P26)), ROUND(0.9367*O26+0.0175, 4), P26)</f>
        <v>0.4091</v>
      </c>
      <c r="R26" s="33" t="str">
        <f aca="false">IF(OR(P26="", ISBLANK(P26)), "Imputed (Regression/Trend)", "Original")</f>
        <v>Original</v>
      </c>
      <c r="S26" s="46" t="n">
        <v>0.87</v>
      </c>
      <c r="T26" s="46" t="n">
        <v>0.194</v>
      </c>
      <c r="U26" s="18" t="n">
        <v>3</v>
      </c>
      <c r="V26" s="18" t="n">
        <v>31</v>
      </c>
      <c r="W26" s="18" t="n">
        <f aca="false">U26+V26</f>
        <v>34</v>
      </c>
      <c r="X26" s="47" t="n">
        <f aca="false">U26/W26</f>
        <v>0.0882352941176471</v>
      </c>
      <c r="Y26" s="47" t="n">
        <f aca="false">V26/W26</f>
        <v>0.911764705882353</v>
      </c>
      <c r="Z26" s="33" t="str">
        <f aca="false">IF(W26&gt;=150, "High Demand", IF(W26&gt;=50, "Moderate Demand", "Low Demand"))</f>
        <v>Low Demand</v>
      </c>
      <c r="AA26" s="45" t="str">
        <f aca="false">TEXT(G26, "00") &amp; ":00"</f>
        <v>21:00</v>
      </c>
      <c r="AB26" s="43" t="n">
        <f aca="false">YEAR(B26)</f>
        <v>2011</v>
      </c>
      <c r="AC26" s="33" t="str">
        <f aca="false">TEXT(B26, "mmmm")</f>
        <v>January</v>
      </c>
      <c r="AD26" s="43" t="n">
        <f aca="false">LEN(TEXT(B26, "YYYY-MM-DD"))</f>
        <v>10</v>
      </c>
      <c r="AE26" s="45" t="str">
        <f aca="false">LEFT(TEXT(B26, "YYYY-MM-DD"), 4)</f>
        <v>2011</v>
      </c>
      <c r="AF26" s="45" t="str">
        <f aca="false">RIGHT(TEXT(B26, "YYYY-MM-DD"), 2)</f>
        <v>01</v>
      </c>
    </row>
    <row r="27" customFormat="false" ht="15" hidden="false" customHeight="false" outlineLevel="0" collapsed="false">
      <c r="A27" s="37" t="n">
        <v>23</v>
      </c>
      <c r="B27" s="38" t="s">
        <v>77</v>
      </c>
      <c r="C27" s="37" t="n">
        <v>1</v>
      </c>
      <c r="D27" s="35" t="str">
        <f aca="false">VLOOKUP(C27, Lookups_Metadata!$A$4:$B$7, 2, FALSE())</f>
        <v>Spring</v>
      </c>
      <c r="E27" s="37" t="n">
        <v>0</v>
      </c>
      <c r="F27" s="37" t="n">
        <v>1</v>
      </c>
      <c r="G27" s="37" t="n">
        <v>22</v>
      </c>
      <c r="H27" s="39" t="b">
        <f aca="false">FALSE()</f>
        <v>0</v>
      </c>
      <c r="I27" s="37" t="n">
        <v>6</v>
      </c>
      <c r="J27" s="35" t="str">
        <f aca="false">INDEX(Lookups_Metadata!$E$4:$E$10, MATCH(I27, Lookups_Metadata!$D$4:$D$10, 0))</f>
        <v>Saturday</v>
      </c>
      <c r="K27" s="35" t="str">
        <f aca="false">IF(H27=TRUE(), "Holiday", IF(OR(I27=0, I27=6), "Weekend", "Weekday"))</f>
        <v>Weekend</v>
      </c>
      <c r="L27" s="35" t="str">
        <f aca="false">IF(AND(K27="Weekday", OR(AND(G27&gt;=7, G27&lt;=9), AND(G27&gt;=17, G27&lt;=19))), "Peak Commute", "Off-Peak")</f>
        <v>Off-Peak</v>
      </c>
      <c r="M27" s="37" t="n">
        <v>2</v>
      </c>
      <c r="N27" s="35" t="str">
        <f aca="false">VLOOKUP(M27, Lookups_Metadata!$G$4:$H$7, 2, FALSE())</f>
        <v>Mist / Cloudy</v>
      </c>
      <c r="O27" s="40" t="n">
        <v>0.4</v>
      </c>
      <c r="P27" s="40" t="n">
        <v>0.4091</v>
      </c>
      <c r="Q27" s="40" t="n">
        <f aca="false">IF(OR(P27="", ISBLANK(P27)), ROUND(0.9367*O27+0.0175, 4), P27)</f>
        <v>0.4091</v>
      </c>
      <c r="R27" s="35" t="str">
        <f aca="false">IF(OR(P27="", ISBLANK(P27)), "Imputed (Regression/Trend)", "Original")</f>
        <v>Original</v>
      </c>
      <c r="S27" s="40" t="n">
        <v>0.94</v>
      </c>
      <c r="T27" s="40" t="n">
        <v>0.2239</v>
      </c>
      <c r="U27" s="41" t="n">
        <v>11</v>
      </c>
      <c r="V27" s="41" t="n">
        <v>17</v>
      </c>
      <c r="W27" s="41" t="n">
        <f aca="false">U27+V27</f>
        <v>28</v>
      </c>
      <c r="X27" s="42" t="n">
        <f aca="false">U27/W27</f>
        <v>0.392857142857143</v>
      </c>
      <c r="Y27" s="42" t="n">
        <f aca="false">V27/W27</f>
        <v>0.607142857142857</v>
      </c>
      <c r="Z27" s="35" t="str">
        <f aca="false">IF(W27&gt;=150, "High Demand", IF(W27&gt;=50, "Moderate Demand", "Low Demand"))</f>
        <v>Low Demand</v>
      </c>
      <c r="AA27" s="39" t="str">
        <f aca="false">TEXT(G27, "00") &amp; ":00"</f>
        <v>22:00</v>
      </c>
      <c r="AB27" s="37" t="n">
        <f aca="false">YEAR(B27)</f>
        <v>2011</v>
      </c>
      <c r="AC27" s="35" t="str">
        <f aca="false">TEXT(B27, "mmmm")</f>
        <v>January</v>
      </c>
      <c r="AD27" s="37" t="n">
        <f aca="false">LEN(TEXT(B27, "YYYY-MM-DD"))</f>
        <v>10</v>
      </c>
      <c r="AE27" s="39" t="str">
        <f aca="false">LEFT(TEXT(B27, "YYYY-MM-DD"), 4)</f>
        <v>2011</v>
      </c>
      <c r="AF27" s="39" t="str">
        <f aca="false">RIGHT(TEXT(B27, "YYYY-MM-DD"), 2)</f>
        <v>01</v>
      </c>
    </row>
    <row r="28" customFormat="false" ht="15" hidden="false" customHeight="false" outlineLevel="0" collapsed="false">
      <c r="A28" s="43" t="n">
        <v>24</v>
      </c>
      <c r="B28" s="44" t="s">
        <v>77</v>
      </c>
      <c r="C28" s="43" t="n">
        <v>1</v>
      </c>
      <c r="D28" s="33" t="str">
        <f aca="false">VLOOKUP(C28, Lookups_Metadata!$A$4:$B$7, 2, FALSE())</f>
        <v>Spring</v>
      </c>
      <c r="E28" s="43" t="n">
        <v>0</v>
      </c>
      <c r="F28" s="43" t="n">
        <v>1</v>
      </c>
      <c r="G28" s="43" t="n">
        <v>23</v>
      </c>
      <c r="H28" s="45" t="b">
        <f aca="false">FALSE()</f>
        <v>0</v>
      </c>
      <c r="I28" s="43" t="n">
        <v>6</v>
      </c>
      <c r="J28" s="33" t="str">
        <f aca="false">INDEX(Lookups_Metadata!$E$4:$E$10, MATCH(I28, Lookups_Metadata!$D$4:$D$10, 0))</f>
        <v>Saturday</v>
      </c>
      <c r="K28" s="33" t="str">
        <f aca="false">IF(H28=TRUE(), "Holiday", IF(OR(I28=0, I28=6), "Weekend", "Weekday"))</f>
        <v>Weekend</v>
      </c>
      <c r="L28" s="33" t="str">
        <f aca="false">IF(AND(K28="Weekday", OR(AND(G28&gt;=7, G28&lt;=9), AND(G28&gt;=17, G28&lt;=19))), "Peak Commute", "Off-Peak")</f>
        <v>Off-Peak</v>
      </c>
      <c r="M28" s="43" t="n">
        <v>2</v>
      </c>
      <c r="N28" s="33" t="str">
        <f aca="false">VLOOKUP(M28, Lookups_Metadata!$G$4:$H$7, 2, FALSE())</f>
        <v>Mist / Cloudy</v>
      </c>
      <c r="O28" s="46" t="n">
        <v>0.46</v>
      </c>
      <c r="P28" s="46"/>
      <c r="Q28" s="46" t="n">
        <f aca="false">IF(OR(P28="", ISBLANK(P28)), ROUND(0.9367*O28+0.0175, 4), P28)</f>
        <v>0.4484</v>
      </c>
      <c r="R28" s="33" t="str">
        <f aca="false">IF(OR(P28="", ISBLANK(P28)), "Imputed (Regression/Trend)", "Original")</f>
        <v>Imputed (Regression/Trend)</v>
      </c>
      <c r="S28" s="46" t="n">
        <v>0.88</v>
      </c>
      <c r="T28" s="46" t="n">
        <v>0.2985</v>
      </c>
      <c r="U28" s="18" t="n">
        <v>15</v>
      </c>
      <c r="V28" s="18" t="n">
        <v>24</v>
      </c>
      <c r="W28" s="18" t="n">
        <f aca="false">U28+V28</f>
        <v>39</v>
      </c>
      <c r="X28" s="47" t="n">
        <f aca="false">U28/W28</f>
        <v>0.384615384615385</v>
      </c>
      <c r="Y28" s="47" t="n">
        <f aca="false">V28/W28</f>
        <v>0.615384615384615</v>
      </c>
      <c r="Z28" s="33" t="str">
        <f aca="false">IF(W28&gt;=150, "High Demand", IF(W28&gt;=50, "Moderate Demand", "Low Demand"))</f>
        <v>Low Demand</v>
      </c>
      <c r="AA28" s="45" t="str">
        <f aca="false">TEXT(G28, "00") &amp; ":00"</f>
        <v>23:00</v>
      </c>
      <c r="AB28" s="43" t="n">
        <f aca="false">YEAR(B28)</f>
        <v>2011</v>
      </c>
      <c r="AC28" s="33" t="str">
        <f aca="false">TEXT(B28, "mmmm")</f>
        <v>January</v>
      </c>
      <c r="AD28" s="43" t="n">
        <f aca="false">LEN(TEXT(B28, "YYYY-MM-DD"))</f>
        <v>10</v>
      </c>
      <c r="AE28" s="45" t="str">
        <f aca="false">LEFT(TEXT(B28, "YYYY-MM-DD"), 4)</f>
        <v>2011</v>
      </c>
      <c r="AF28" s="45" t="str">
        <f aca="false">RIGHT(TEXT(B28, "YYYY-MM-DD"), 2)</f>
        <v>01</v>
      </c>
    </row>
    <row r="29" customFormat="false" ht="15" hidden="false" customHeight="false" outlineLevel="0" collapsed="false">
      <c r="A29" s="37" t="n">
        <v>25</v>
      </c>
      <c r="B29" s="38" t="s">
        <v>78</v>
      </c>
      <c r="C29" s="37" t="n">
        <v>1</v>
      </c>
      <c r="D29" s="35" t="str">
        <f aca="false">VLOOKUP(C29, Lookups_Metadata!$A$4:$B$7, 2, FALSE())</f>
        <v>Spring</v>
      </c>
      <c r="E29" s="37" t="n">
        <v>0</v>
      </c>
      <c r="F29" s="37" t="n">
        <v>1</v>
      </c>
      <c r="G29" s="37" t="n">
        <v>0</v>
      </c>
      <c r="H29" s="39" t="b">
        <f aca="false">FALSE()</f>
        <v>0</v>
      </c>
      <c r="I29" s="37" t="n">
        <v>0</v>
      </c>
      <c r="J29" s="35" t="str">
        <f aca="false">INDEX(Lookups_Metadata!$E$4:$E$10, MATCH(I29, Lookups_Metadata!$D$4:$D$10, 0))</f>
        <v>Sunday</v>
      </c>
      <c r="K29" s="35" t="str">
        <f aca="false">IF(H29=TRUE(), "Holiday", IF(OR(I29=0, I29=6), "Weekend", "Weekday"))</f>
        <v>Weekend</v>
      </c>
      <c r="L29" s="35" t="str">
        <f aca="false">IF(AND(K29="Weekday", OR(AND(G29&gt;=7, G29&lt;=9), AND(G29&gt;=17, G29&lt;=19))), "Peak Commute", "Off-Peak")</f>
        <v>Off-Peak</v>
      </c>
      <c r="M29" s="37" t="n">
        <v>2</v>
      </c>
      <c r="N29" s="35" t="str">
        <f aca="false">VLOOKUP(M29, Lookups_Metadata!$G$4:$H$7, 2, FALSE())</f>
        <v>Mist / Cloudy</v>
      </c>
      <c r="O29" s="40" t="n">
        <v>0.46</v>
      </c>
      <c r="P29" s="40" t="n">
        <v>0.4545</v>
      </c>
      <c r="Q29" s="40" t="n">
        <f aca="false">IF(OR(P29="", ISBLANK(P29)), ROUND(0.9367*O29+0.0175, 4), P29)</f>
        <v>0.4545</v>
      </c>
      <c r="R29" s="35" t="str">
        <f aca="false">IF(OR(P29="", ISBLANK(P29)), "Imputed (Regression/Trend)", "Original")</f>
        <v>Original</v>
      </c>
      <c r="S29" s="40" t="n">
        <v>0.88</v>
      </c>
      <c r="T29" s="40" t="n">
        <v>0.2985</v>
      </c>
      <c r="U29" s="41" t="n">
        <v>4</v>
      </c>
      <c r="V29" s="41" t="n">
        <v>13</v>
      </c>
      <c r="W29" s="41" t="n">
        <f aca="false">U29+V29</f>
        <v>17</v>
      </c>
      <c r="X29" s="42" t="n">
        <f aca="false">U29/W29</f>
        <v>0.235294117647059</v>
      </c>
      <c r="Y29" s="42" t="n">
        <f aca="false">V29/W29</f>
        <v>0.764705882352941</v>
      </c>
      <c r="Z29" s="35" t="str">
        <f aca="false">IF(W29&gt;=150, "High Demand", IF(W29&gt;=50, "Moderate Demand", "Low Demand"))</f>
        <v>Low Demand</v>
      </c>
      <c r="AA29" s="39" t="str">
        <f aca="false">TEXT(G29, "00") &amp; ":00"</f>
        <v>00:00</v>
      </c>
      <c r="AB29" s="37" t="n">
        <f aca="false">YEAR(B29)</f>
        <v>2011</v>
      </c>
      <c r="AC29" s="35" t="str">
        <f aca="false">TEXT(B29, "mmmm")</f>
        <v>January</v>
      </c>
      <c r="AD29" s="37" t="n">
        <f aca="false">LEN(TEXT(B29, "YYYY-MM-DD"))</f>
        <v>10</v>
      </c>
      <c r="AE29" s="39" t="str">
        <f aca="false">LEFT(TEXT(B29, "YYYY-MM-DD"), 4)</f>
        <v>2011</v>
      </c>
      <c r="AF29" s="39" t="str">
        <f aca="false">RIGHT(TEXT(B29, "YYYY-MM-DD"), 2)</f>
        <v>02</v>
      </c>
    </row>
    <row r="30" customFormat="false" ht="15" hidden="false" customHeight="false" outlineLevel="0" collapsed="false">
      <c r="A30" s="43" t="n">
        <v>26</v>
      </c>
      <c r="B30" s="44" t="s">
        <v>78</v>
      </c>
      <c r="C30" s="43" t="n">
        <v>1</v>
      </c>
      <c r="D30" s="33" t="str">
        <f aca="false">VLOOKUP(C30, Lookups_Metadata!$A$4:$B$7, 2, FALSE())</f>
        <v>Spring</v>
      </c>
      <c r="E30" s="43" t="n">
        <v>0</v>
      </c>
      <c r="F30" s="43" t="n">
        <v>1</v>
      </c>
      <c r="G30" s="43" t="n">
        <v>1</v>
      </c>
      <c r="H30" s="45" t="b">
        <f aca="false">FALSE()</f>
        <v>0</v>
      </c>
      <c r="I30" s="43" t="n">
        <v>0</v>
      </c>
      <c r="J30" s="33" t="str">
        <f aca="false">INDEX(Lookups_Metadata!$E$4:$E$10, MATCH(I30, Lookups_Metadata!$D$4:$D$10, 0))</f>
        <v>Sunday</v>
      </c>
      <c r="K30" s="33" t="str">
        <f aca="false">IF(H30=TRUE(), "Holiday", IF(OR(I30=0, I30=6), "Weekend", "Weekday"))</f>
        <v>Weekend</v>
      </c>
      <c r="L30" s="33" t="str">
        <f aca="false">IF(AND(K30="Weekday", OR(AND(G30&gt;=7, G30&lt;=9), AND(G30&gt;=17, G30&lt;=19))), "Peak Commute", "Off-Peak")</f>
        <v>Off-Peak</v>
      </c>
      <c r="M30" s="43" t="n">
        <v>2</v>
      </c>
      <c r="N30" s="33" t="str">
        <f aca="false">VLOOKUP(M30, Lookups_Metadata!$G$4:$H$7, 2, FALSE())</f>
        <v>Mist / Cloudy</v>
      </c>
      <c r="O30" s="46" t="n">
        <v>0.44</v>
      </c>
      <c r="P30" s="46" t="n">
        <v>0.4394</v>
      </c>
      <c r="Q30" s="46" t="n">
        <f aca="false">IF(OR(P30="", ISBLANK(P30)), ROUND(0.9367*O30+0.0175, 4), P30)</f>
        <v>0.4394</v>
      </c>
      <c r="R30" s="33" t="str">
        <f aca="false">IF(OR(P30="", ISBLANK(P30)), "Imputed (Regression/Trend)", "Original")</f>
        <v>Original</v>
      </c>
      <c r="S30" s="46" t="n">
        <v>0.94</v>
      </c>
      <c r="T30" s="46" t="n">
        <v>0.2537</v>
      </c>
      <c r="U30" s="18" t="n">
        <v>1</v>
      </c>
      <c r="V30" s="18" t="n">
        <v>16</v>
      </c>
      <c r="W30" s="18" t="n">
        <f aca="false">U30+V30</f>
        <v>17</v>
      </c>
      <c r="X30" s="47" t="n">
        <f aca="false">U30/W30</f>
        <v>0.0588235294117647</v>
      </c>
      <c r="Y30" s="47" t="n">
        <f aca="false">V30/W30</f>
        <v>0.941176470588235</v>
      </c>
      <c r="Z30" s="33" t="str">
        <f aca="false">IF(W30&gt;=150, "High Demand", IF(W30&gt;=50, "Moderate Demand", "Low Demand"))</f>
        <v>Low Demand</v>
      </c>
      <c r="AA30" s="45" t="str">
        <f aca="false">TEXT(G30, "00") &amp; ":00"</f>
        <v>01:00</v>
      </c>
      <c r="AB30" s="43" t="n">
        <f aca="false">YEAR(B30)</f>
        <v>2011</v>
      </c>
      <c r="AC30" s="33" t="str">
        <f aca="false">TEXT(B30, "mmmm")</f>
        <v>January</v>
      </c>
      <c r="AD30" s="43" t="n">
        <f aca="false">LEN(TEXT(B30, "YYYY-MM-DD"))</f>
        <v>10</v>
      </c>
      <c r="AE30" s="45" t="str">
        <f aca="false">LEFT(TEXT(B30, "YYYY-MM-DD"), 4)</f>
        <v>2011</v>
      </c>
      <c r="AF30" s="45" t="str">
        <f aca="false">RIGHT(TEXT(B30, "YYYY-MM-DD"), 2)</f>
        <v>02</v>
      </c>
    </row>
    <row r="31" customFormat="false" ht="15" hidden="false" customHeight="false" outlineLevel="0" collapsed="false">
      <c r="A31" s="37" t="n">
        <v>27</v>
      </c>
      <c r="B31" s="38" t="s">
        <v>78</v>
      </c>
      <c r="C31" s="37" t="n">
        <v>1</v>
      </c>
      <c r="D31" s="35" t="str">
        <f aca="false">VLOOKUP(C31, Lookups_Metadata!$A$4:$B$7, 2, FALSE())</f>
        <v>Spring</v>
      </c>
      <c r="E31" s="37" t="n">
        <v>0</v>
      </c>
      <c r="F31" s="37" t="n">
        <v>1</v>
      </c>
      <c r="G31" s="37" t="n">
        <v>2</v>
      </c>
      <c r="H31" s="39" t="b">
        <f aca="false">FALSE()</f>
        <v>0</v>
      </c>
      <c r="I31" s="37" t="n">
        <v>0</v>
      </c>
      <c r="J31" s="35" t="str">
        <f aca="false">INDEX(Lookups_Metadata!$E$4:$E$10, MATCH(I31, Lookups_Metadata!$D$4:$D$10, 0))</f>
        <v>Sunday</v>
      </c>
      <c r="K31" s="35" t="str">
        <f aca="false">IF(H31=TRUE(), "Holiday", IF(OR(I31=0, I31=6), "Weekend", "Weekday"))</f>
        <v>Weekend</v>
      </c>
      <c r="L31" s="35" t="str">
        <f aca="false">IF(AND(K31="Weekday", OR(AND(G31&gt;=7, G31&lt;=9), AND(G31&gt;=17, G31&lt;=19))), "Peak Commute", "Off-Peak")</f>
        <v>Off-Peak</v>
      </c>
      <c r="M31" s="37" t="n">
        <v>2</v>
      </c>
      <c r="N31" s="35" t="str">
        <f aca="false">VLOOKUP(M31, Lookups_Metadata!$G$4:$H$7, 2, FALSE())</f>
        <v>Mist / Cloudy</v>
      </c>
      <c r="O31" s="40" t="n">
        <v>0.42</v>
      </c>
      <c r="P31" s="40" t="n">
        <v>0.4242</v>
      </c>
      <c r="Q31" s="40" t="n">
        <f aca="false">IF(OR(P31="", ISBLANK(P31)), ROUND(0.9367*O31+0.0175, 4), P31)</f>
        <v>0.4242</v>
      </c>
      <c r="R31" s="35" t="str">
        <f aca="false">IF(OR(P31="", ISBLANK(P31)), "Imputed (Regression/Trend)", "Original")</f>
        <v>Original</v>
      </c>
      <c r="S31" s="40" t="n">
        <v>1</v>
      </c>
      <c r="T31" s="40" t="n">
        <v>0.2836</v>
      </c>
      <c r="U31" s="41" t="n">
        <v>1</v>
      </c>
      <c r="V31" s="41" t="n">
        <v>8</v>
      </c>
      <c r="W31" s="41" t="n">
        <f aca="false">U31+V31</f>
        <v>9</v>
      </c>
      <c r="X31" s="42" t="n">
        <f aca="false">U31/W31</f>
        <v>0.111111111111111</v>
      </c>
      <c r="Y31" s="42" t="n">
        <f aca="false">V31/W31</f>
        <v>0.888888888888889</v>
      </c>
      <c r="Z31" s="35" t="str">
        <f aca="false">IF(W31&gt;=150, "High Demand", IF(W31&gt;=50, "Moderate Demand", "Low Demand"))</f>
        <v>Low Demand</v>
      </c>
      <c r="AA31" s="39" t="str">
        <f aca="false">TEXT(G31, "00") &amp; ":00"</f>
        <v>02:00</v>
      </c>
      <c r="AB31" s="37" t="n">
        <f aca="false">YEAR(B31)</f>
        <v>2011</v>
      </c>
      <c r="AC31" s="35" t="str">
        <f aca="false">TEXT(B31, "mmmm")</f>
        <v>January</v>
      </c>
      <c r="AD31" s="37" t="n">
        <f aca="false">LEN(TEXT(B31, "YYYY-MM-DD"))</f>
        <v>10</v>
      </c>
      <c r="AE31" s="39" t="str">
        <f aca="false">LEFT(TEXT(B31, "YYYY-MM-DD"), 4)</f>
        <v>2011</v>
      </c>
      <c r="AF31" s="39" t="str">
        <f aca="false">RIGHT(TEXT(B31, "YYYY-MM-DD"), 2)</f>
        <v>02</v>
      </c>
    </row>
    <row r="32" customFormat="false" ht="15" hidden="false" customHeight="false" outlineLevel="0" collapsed="false">
      <c r="A32" s="43" t="n">
        <v>28</v>
      </c>
      <c r="B32" s="44" t="s">
        <v>78</v>
      </c>
      <c r="C32" s="43" t="n">
        <v>1</v>
      </c>
      <c r="D32" s="33" t="str">
        <f aca="false">VLOOKUP(C32, Lookups_Metadata!$A$4:$B$7, 2, FALSE())</f>
        <v>Spring</v>
      </c>
      <c r="E32" s="43" t="n">
        <v>0</v>
      </c>
      <c r="F32" s="43" t="n">
        <v>1</v>
      </c>
      <c r="G32" s="43" t="n">
        <v>3</v>
      </c>
      <c r="H32" s="45" t="b">
        <f aca="false">FALSE()</f>
        <v>0</v>
      </c>
      <c r="I32" s="43" t="n">
        <v>0</v>
      </c>
      <c r="J32" s="33" t="str">
        <f aca="false">INDEX(Lookups_Metadata!$E$4:$E$10, MATCH(I32, Lookups_Metadata!$D$4:$D$10, 0))</f>
        <v>Sunday</v>
      </c>
      <c r="K32" s="33" t="str">
        <f aca="false">IF(H32=TRUE(), "Holiday", IF(OR(I32=0, I32=6), "Weekend", "Weekday"))</f>
        <v>Weekend</v>
      </c>
      <c r="L32" s="33" t="str">
        <f aca="false">IF(AND(K32="Weekday", OR(AND(G32&gt;=7, G32&lt;=9), AND(G32&gt;=17, G32&lt;=19))), "Peak Commute", "Off-Peak")</f>
        <v>Off-Peak</v>
      </c>
      <c r="M32" s="43" t="n">
        <v>2</v>
      </c>
      <c r="N32" s="33" t="str">
        <f aca="false">VLOOKUP(M32, Lookups_Metadata!$G$4:$H$7, 2, FALSE())</f>
        <v>Mist / Cloudy</v>
      </c>
      <c r="O32" s="46" t="n">
        <v>0.46</v>
      </c>
      <c r="P32" s="46" t="n">
        <v>0.4545</v>
      </c>
      <c r="Q32" s="46" t="n">
        <f aca="false">IF(OR(P32="", ISBLANK(P32)), ROUND(0.9367*O32+0.0175, 4), P32)</f>
        <v>0.4545</v>
      </c>
      <c r="R32" s="33" t="str">
        <f aca="false">IF(OR(P32="", ISBLANK(P32)), "Imputed (Regression/Trend)", "Original")</f>
        <v>Original</v>
      </c>
      <c r="S32" s="46" t="n">
        <v>0.94</v>
      </c>
      <c r="T32" s="46" t="n">
        <v>0.194</v>
      </c>
      <c r="U32" s="18" t="n">
        <v>2</v>
      </c>
      <c r="V32" s="18" t="n">
        <v>4</v>
      </c>
      <c r="W32" s="18" t="n">
        <f aca="false">U32+V32</f>
        <v>6</v>
      </c>
      <c r="X32" s="47" t="n">
        <f aca="false">U32/W32</f>
        <v>0.333333333333333</v>
      </c>
      <c r="Y32" s="47" t="n">
        <f aca="false">V32/W32</f>
        <v>0.666666666666667</v>
      </c>
      <c r="Z32" s="33" t="str">
        <f aca="false">IF(W32&gt;=150, "High Demand", IF(W32&gt;=50, "Moderate Demand", "Low Demand"))</f>
        <v>Low Demand</v>
      </c>
      <c r="AA32" s="45" t="str">
        <f aca="false">TEXT(G32, "00") &amp; ":00"</f>
        <v>03:00</v>
      </c>
      <c r="AB32" s="43" t="n">
        <f aca="false">YEAR(B32)</f>
        <v>2011</v>
      </c>
      <c r="AC32" s="33" t="str">
        <f aca="false">TEXT(B32, "mmmm")</f>
        <v>January</v>
      </c>
      <c r="AD32" s="43" t="n">
        <f aca="false">LEN(TEXT(B32, "YYYY-MM-DD"))</f>
        <v>10</v>
      </c>
      <c r="AE32" s="45" t="str">
        <f aca="false">LEFT(TEXT(B32, "YYYY-MM-DD"), 4)</f>
        <v>2011</v>
      </c>
      <c r="AF32" s="45" t="str">
        <f aca="false">RIGHT(TEXT(B32, "YYYY-MM-DD"), 2)</f>
        <v>02</v>
      </c>
    </row>
    <row r="33" customFormat="false" ht="15" hidden="false" customHeight="false" outlineLevel="0" collapsed="false">
      <c r="A33" s="37" t="n">
        <v>29</v>
      </c>
      <c r="B33" s="38" t="s">
        <v>78</v>
      </c>
      <c r="C33" s="37" t="n">
        <v>1</v>
      </c>
      <c r="D33" s="35" t="str">
        <f aca="false">VLOOKUP(C33, Lookups_Metadata!$A$4:$B$7, 2, FALSE())</f>
        <v>Spring</v>
      </c>
      <c r="E33" s="37" t="n">
        <v>0</v>
      </c>
      <c r="F33" s="37" t="n">
        <v>1</v>
      </c>
      <c r="G33" s="37" t="n">
        <v>4</v>
      </c>
      <c r="H33" s="39" t="b">
        <f aca="false">FALSE()</f>
        <v>0</v>
      </c>
      <c r="I33" s="37" t="n">
        <v>0</v>
      </c>
      <c r="J33" s="35" t="str">
        <f aca="false">INDEX(Lookups_Metadata!$E$4:$E$10, MATCH(I33, Lookups_Metadata!$D$4:$D$10, 0))</f>
        <v>Sunday</v>
      </c>
      <c r="K33" s="35" t="str">
        <f aca="false">IF(H33=TRUE(), "Holiday", IF(OR(I33=0, I33=6), "Weekend", "Weekday"))</f>
        <v>Weekend</v>
      </c>
      <c r="L33" s="35" t="str">
        <f aca="false">IF(AND(K33="Weekday", OR(AND(G33&gt;=7, G33&lt;=9), AND(G33&gt;=17, G33&lt;=19))), "Peak Commute", "Off-Peak")</f>
        <v>Off-Peak</v>
      </c>
      <c r="M33" s="37" t="n">
        <v>2</v>
      </c>
      <c r="N33" s="35" t="str">
        <f aca="false">VLOOKUP(M33, Lookups_Metadata!$G$4:$H$7, 2, FALSE())</f>
        <v>Mist / Cloudy</v>
      </c>
      <c r="O33" s="40" t="n">
        <v>0.46</v>
      </c>
      <c r="P33" s="40"/>
      <c r="Q33" s="40" t="n">
        <f aca="false">IF(OR(P33="", ISBLANK(P33)), ROUND(0.9367*O33+0.0175, 4), P33)</f>
        <v>0.4484</v>
      </c>
      <c r="R33" s="35" t="str">
        <f aca="false">IF(OR(P33="", ISBLANK(P33)), "Imputed (Regression/Trend)", "Original")</f>
        <v>Imputed (Regression/Trend)</v>
      </c>
      <c r="S33" s="40" t="n">
        <v>0.94</v>
      </c>
      <c r="T33" s="40" t="n">
        <v>0.194</v>
      </c>
      <c r="U33" s="41" t="n">
        <v>2</v>
      </c>
      <c r="V33" s="41" t="n">
        <v>1</v>
      </c>
      <c r="W33" s="41" t="n">
        <f aca="false">U33+V33</f>
        <v>3</v>
      </c>
      <c r="X33" s="42" t="n">
        <f aca="false">U33/W33</f>
        <v>0.666666666666667</v>
      </c>
      <c r="Y33" s="42" t="n">
        <f aca="false">V33/W33</f>
        <v>0.333333333333333</v>
      </c>
      <c r="Z33" s="35" t="str">
        <f aca="false">IF(W33&gt;=150, "High Demand", IF(W33&gt;=50, "Moderate Demand", "Low Demand"))</f>
        <v>Low Demand</v>
      </c>
      <c r="AA33" s="39" t="str">
        <f aca="false">TEXT(G33, "00") &amp; ":00"</f>
        <v>04:00</v>
      </c>
      <c r="AB33" s="37" t="n">
        <f aca="false">YEAR(B33)</f>
        <v>2011</v>
      </c>
      <c r="AC33" s="35" t="str">
        <f aca="false">TEXT(B33, "mmmm")</f>
        <v>January</v>
      </c>
      <c r="AD33" s="37" t="n">
        <f aca="false">LEN(TEXT(B33, "YYYY-MM-DD"))</f>
        <v>10</v>
      </c>
      <c r="AE33" s="39" t="str">
        <f aca="false">LEFT(TEXT(B33, "YYYY-MM-DD"), 4)</f>
        <v>2011</v>
      </c>
      <c r="AF33" s="39" t="str">
        <f aca="false">RIGHT(TEXT(B33, "YYYY-MM-DD"), 2)</f>
        <v>02</v>
      </c>
    </row>
    <row r="34" customFormat="false" ht="15" hidden="false" customHeight="false" outlineLevel="0" collapsed="false">
      <c r="A34" s="43" t="n">
        <v>30</v>
      </c>
      <c r="B34" s="44" t="s">
        <v>78</v>
      </c>
      <c r="C34" s="43" t="n">
        <v>1</v>
      </c>
      <c r="D34" s="33" t="str">
        <f aca="false">VLOOKUP(C34, Lookups_Metadata!$A$4:$B$7, 2, FALSE())</f>
        <v>Spring</v>
      </c>
      <c r="E34" s="43" t="n">
        <v>0</v>
      </c>
      <c r="F34" s="43" t="n">
        <v>1</v>
      </c>
      <c r="G34" s="43" t="n">
        <v>6</v>
      </c>
      <c r="H34" s="45" t="b">
        <f aca="false">FALSE()</f>
        <v>0</v>
      </c>
      <c r="I34" s="43" t="n">
        <v>0</v>
      </c>
      <c r="J34" s="33" t="str">
        <f aca="false">INDEX(Lookups_Metadata!$E$4:$E$10, MATCH(I34, Lookups_Metadata!$D$4:$D$10, 0))</f>
        <v>Sunday</v>
      </c>
      <c r="K34" s="33" t="str">
        <f aca="false">IF(H34=TRUE(), "Holiday", IF(OR(I34=0, I34=6), "Weekend", "Weekday"))</f>
        <v>Weekend</v>
      </c>
      <c r="L34" s="33" t="str">
        <f aca="false">IF(AND(K34="Weekday", OR(AND(G34&gt;=7, G34&lt;=9), AND(G34&gt;=17, G34&lt;=19))), "Peak Commute", "Off-Peak")</f>
        <v>Off-Peak</v>
      </c>
      <c r="M34" s="43" t="n">
        <v>3</v>
      </c>
      <c r="N34" s="33" t="str">
        <f aca="false">VLOOKUP(M34, Lookups_Metadata!$G$4:$H$7, 2, FALSE())</f>
        <v>Light Snow / Light Rain</v>
      </c>
      <c r="O34" s="46" t="n">
        <v>0.42</v>
      </c>
      <c r="P34" s="46" t="n">
        <v>0.4242</v>
      </c>
      <c r="Q34" s="46" t="n">
        <f aca="false">IF(OR(P34="", ISBLANK(P34)), ROUND(0.9367*O34+0.0175, 4), P34)</f>
        <v>0.4242</v>
      </c>
      <c r="R34" s="33" t="str">
        <f aca="false">IF(OR(P34="", ISBLANK(P34)), "Imputed (Regression/Trend)", "Original")</f>
        <v>Original</v>
      </c>
      <c r="S34" s="46" t="n">
        <v>0.77</v>
      </c>
      <c r="T34" s="46" t="n">
        <v>0.2985</v>
      </c>
      <c r="U34" s="18" t="n">
        <v>0</v>
      </c>
      <c r="V34" s="18" t="n">
        <v>2</v>
      </c>
      <c r="W34" s="18" t="n">
        <f aca="false">U34+V34</f>
        <v>2</v>
      </c>
      <c r="X34" s="47" t="n">
        <f aca="false">U34/W34</f>
        <v>0</v>
      </c>
      <c r="Y34" s="47" t="n">
        <f aca="false">V34/W34</f>
        <v>1</v>
      </c>
      <c r="Z34" s="33" t="str">
        <f aca="false">IF(W34&gt;=150, "High Demand", IF(W34&gt;=50, "Moderate Demand", "Low Demand"))</f>
        <v>Low Demand</v>
      </c>
      <c r="AA34" s="45" t="str">
        <f aca="false">TEXT(G34, "00") &amp; ":00"</f>
        <v>06:00</v>
      </c>
      <c r="AB34" s="43" t="n">
        <f aca="false">YEAR(B34)</f>
        <v>2011</v>
      </c>
      <c r="AC34" s="33" t="str">
        <f aca="false">TEXT(B34, "mmmm")</f>
        <v>January</v>
      </c>
      <c r="AD34" s="43" t="n">
        <f aca="false">LEN(TEXT(B34, "YYYY-MM-DD"))</f>
        <v>10</v>
      </c>
      <c r="AE34" s="45" t="str">
        <f aca="false">LEFT(TEXT(B34, "YYYY-MM-DD"), 4)</f>
        <v>2011</v>
      </c>
      <c r="AF34" s="45" t="str">
        <f aca="false">RIGHT(TEXT(B34, "YYYY-MM-DD"), 2)</f>
        <v>02</v>
      </c>
    </row>
    <row r="35" customFormat="false" ht="15" hidden="false" customHeight="false" outlineLevel="0" collapsed="false">
      <c r="A35" s="37" t="n">
        <v>31</v>
      </c>
      <c r="B35" s="38" t="s">
        <v>78</v>
      </c>
      <c r="C35" s="37" t="n">
        <v>1</v>
      </c>
      <c r="D35" s="35" t="str">
        <f aca="false">VLOOKUP(C35, Lookups_Metadata!$A$4:$B$7, 2, FALSE())</f>
        <v>Spring</v>
      </c>
      <c r="E35" s="37" t="n">
        <v>0</v>
      </c>
      <c r="F35" s="37" t="n">
        <v>1</v>
      </c>
      <c r="G35" s="37" t="n">
        <v>7</v>
      </c>
      <c r="H35" s="39" t="b">
        <f aca="false">FALSE()</f>
        <v>0</v>
      </c>
      <c r="I35" s="37" t="n">
        <v>0</v>
      </c>
      <c r="J35" s="35" t="str">
        <f aca="false">INDEX(Lookups_Metadata!$E$4:$E$10, MATCH(I35, Lookups_Metadata!$D$4:$D$10, 0))</f>
        <v>Sunday</v>
      </c>
      <c r="K35" s="35" t="str">
        <f aca="false">IF(H35=TRUE(), "Holiday", IF(OR(I35=0, I35=6), "Weekend", "Weekday"))</f>
        <v>Weekend</v>
      </c>
      <c r="L35" s="35" t="str">
        <f aca="false">IF(AND(K35="Weekday", OR(AND(G35&gt;=7, G35&lt;=9), AND(G35&gt;=17, G35&lt;=19))), "Peak Commute", "Off-Peak")</f>
        <v>Off-Peak</v>
      </c>
      <c r="M35" s="37" t="n">
        <v>2</v>
      </c>
      <c r="N35" s="35" t="str">
        <f aca="false">VLOOKUP(M35, Lookups_Metadata!$G$4:$H$7, 2, FALSE())</f>
        <v>Mist / Cloudy</v>
      </c>
      <c r="O35" s="40" t="n">
        <v>0.4</v>
      </c>
      <c r="P35" s="40" t="n">
        <v>0.4091</v>
      </c>
      <c r="Q35" s="40" t="n">
        <f aca="false">IF(OR(P35="", ISBLANK(P35)), ROUND(0.9367*O35+0.0175, 4), P35)</f>
        <v>0.4091</v>
      </c>
      <c r="R35" s="35" t="str">
        <f aca="false">IF(OR(P35="", ISBLANK(P35)), "Imputed (Regression/Trend)", "Original")</f>
        <v>Original</v>
      </c>
      <c r="S35" s="40" t="n">
        <v>0.76</v>
      </c>
      <c r="T35" s="40" t="n">
        <v>0.194</v>
      </c>
      <c r="U35" s="41" t="n">
        <v>0</v>
      </c>
      <c r="V35" s="41" t="n">
        <v>1</v>
      </c>
      <c r="W35" s="41" t="n">
        <f aca="false">U35+V35</f>
        <v>1</v>
      </c>
      <c r="X35" s="42" t="n">
        <f aca="false">U35/W35</f>
        <v>0</v>
      </c>
      <c r="Y35" s="42" t="n">
        <f aca="false">V35/W35</f>
        <v>1</v>
      </c>
      <c r="Z35" s="35" t="str">
        <f aca="false">IF(W35&gt;=150, "High Demand", IF(W35&gt;=50, "Moderate Demand", "Low Demand"))</f>
        <v>Low Demand</v>
      </c>
      <c r="AA35" s="39" t="str">
        <f aca="false">TEXT(G35, "00") &amp; ":00"</f>
        <v>07:00</v>
      </c>
      <c r="AB35" s="37" t="n">
        <f aca="false">YEAR(B35)</f>
        <v>2011</v>
      </c>
      <c r="AC35" s="35" t="str">
        <f aca="false">TEXT(B35, "mmmm")</f>
        <v>January</v>
      </c>
      <c r="AD35" s="37" t="n">
        <f aca="false">LEN(TEXT(B35, "YYYY-MM-DD"))</f>
        <v>10</v>
      </c>
      <c r="AE35" s="39" t="str">
        <f aca="false">LEFT(TEXT(B35, "YYYY-MM-DD"), 4)</f>
        <v>2011</v>
      </c>
      <c r="AF35" s="39" t="str">
        <f aca="false">RIGHT(TEXT(B35, "YYYY-MM-DD"), 2)</f>
        <v>02</v>
      </c>
    </row>
    <row r="36" customFormat="false" ht="15" hidden="false" customHeight="false" outlineLevel="0" collapsed="false">
      <c r="A36" s="43" t="n">
        <v>32</v>
      </c>
      <c r="B36" s="44" t="s">
        <v>78</v>
      </c>
      <c r="C36" s="43" t="n">
        <v>1</v>
      </c>
      <c r="D36" s="33" t="str">
        <f aca="false">VLOOKUP(C36, Lookups_Metadata!$A$4:$B$7, 2, FALSE())</f>
        <v>Spring</v>
      </c>
      <c r="E36" s="43" t="n">
        <v>0</v>
      </c>
      <c r="F36" s="43" t="n">
        <v>1</v>
      </c>
      <c r="G36" s="43" t="n">
        <v>8</v>
      </c>
      <c r="H36" s="45" t="b">
        <f aca="false">FALSE()</f>
        <v>0</v>
      </c>
      <c r="I36" s="43" t="n">
        <v>0</v>
      </c>
      <c r="J36" s="33" t="str">
        <f aca="false">INDEX(Lookups_Metadata!$E$4:$E$10, MATCH(I36, Lookups_Metadata!$D$4:$D$10, 0))</f>
        <v>Sunday</v>
      </c>
      <c r="K36" s="33" t="str">
        <f aca="false">IF(H36=TRUE(), "Holiday", IF(OR(I36=0, I36=6), "Weekend", "Weekday"))</f>
        <v>Weekend</v>
      </c>
      <c r="L36" s="33" t="str">
        <f aca="false">IF(AND(K36="Weekday", OR(AND(G36&gt;=7, G36&lt;=9), AND(G36&gt;=17, G36&lt;=19))), "Peak Commute", "Off-Peak")</f>
        <v>Off-Peak</v>
      </c>
      <c r="M36" s="43" t="n">
        <v>3</v>
      </c>
      <c r="N36" s="33" t="str">
        <f aca="false">VLOOKUP(M36, Lookups_Metadata!$G$4:$H$7, 2, FALSE())</f>
        <v>Light Snow / Light Rain</v>
      </c>
      <c r="O36" s="46" t="n">
        <v>0.4</v>
      </c>
      <c r="P36" s="46" t="n">
        <v>0.4091</v>
      </c>
      <c r="Q36" s="46" t="n">
        <f aca="false">IF(OR(P36="", ISBLANK(P36)), ROUND(0.9367*O36+0.0175, 4), P36)</f>
        <v>0.4091</v>
      </c>
      <c r="R36" s="33" t="str">
        <f aca="false">IF(OR(P36="", ISBLANK(P36)), "Imputed (Regression/Trend)", "Original")</f>
        <v>Original</v>
      </c>
      <c r="S36" s="46" t="n">
        <v>0.71</v>
      </c>
      <c r="T36" s="46" t="n">
        <v>0.2239</v>
      </c>
      <c r="U36" s="18" t="n">
        <v>0</v>
      </c>
      <c r="V36" s="18" t="n">
        <v>8</v>
      </c>
      <c r="W36" s="18" t="n">
        <f aca="false">U36+V36</f>
        <v>8</v>
      </c>
      <c r="X36" s="47" t="n">
        <f aca="false">U36/W36</f>
        <v>0</v>
      </c>
      <c r="Y36" s="47" t="n">
        <f aca="false">V36/W36</f>
        <v>1</v>
      </c>
      <c r="Z36" s="33" t="str">
        <f aca="false">IF(W36&gt;=150, "High Demand", IF(W36&gt;=50, "Moderate Demand", "Low Demand"))</f>
        <v>Low Demand</v>
      </c>
      <c r="AA36" s="45" t="str">
        <f aca="false">TEXT(G36, "00") &amp; ":00"</f>
        <v>08:00</v>
      </c>
      <c r="AB36" s="43" t="n">
        <f aca="false">YEAR(B36)</f>
        <v>2011</v>
      </c>
      <c r="AC36" s="33" t="str">
        <f aca="false">TEXT(B36, "mmmm")</f>
        <v>January</v>
      </c>
      <c r="AD36" s="43" t="n">
        <f aca="false">LEN(TEXT(B36, "YYYY-MM-DD"))</f>
        <v>10</v>
      </c>
      <c r="AE36" s="45" t="str">
        <f aca="false">LEFT(TEXT(B36, "YYYY-MM-DD"), 4)</f>
        <v>2011</v>
      </c>
      <c r="AF36" s="45" t="str">
        <f aca="false">RIGHT(TEXT(B36, "YYYY-MM-DD"), 2)</f>
        <v>02</v>
      </c>
    </row>
    <row r="37" customFormat="false" ht="15" hidden="false" customHeight="false" outlineLevel="0" collapsed="false">
      <c r="A37" s="37" t="n">
        <v>33</v>
      </c>
      <c r="B37" s="38" t="s">
        <v>78</v>
      </c>
      <c r="C37" s="37" t="n">
        <v>1</v>
      </c>
      <c r="D37" s="35" t="str">
        <f aca="false">VLOOKUP(C37, Lookups_Metadata!$A$4:$B$7, 2, FALSE())</f>
        <v>Spring</v>
      </c>
      <c r="E37" s="37" t="n">
        <v>0</v>
      </c>
      <c r="F37" s="37" t="n">
        <v>1</v>
      </c>
      <c r="G37" s="37" t="n">
        <v>9</v>
      </c>
      <c r="H37" s="39" t="b">
        <f aca="false">FALSE()</f>
        <v>0</v>
      </c>
      <c r="I37" s="37" t="n">
        <v>0</v>
      </c>
      <c r="J37" s="35" t="str">
        <f aca="false">INDEX(Lookups_Metadata!$E$4:$E$10, MATCH(I37, Lookups_Metadata!$D$4:$D$10, 0))</f>
        <v>Sunday</v>
      </c>
      <c r="K37" s="35" t="str">
        <f aca="false">IF(H37=TRUE(), "Holiday", IF(OR(I37=0, I37=6), "Weekend", "Weekday"))</f>
        <v>Weekend</v>
      </c>
      <c r="L37" s="35" t="str">
        <f aca="false">IF(AND(K37="Weekday", OR(AND(G37&gt;=7, G37&lt;=9), AND(G37&gt;=17, G37&lt;=19))), "Peak Commute", "Off-Peak")</f>
        <v>Off-Peak</v>
      </c>
      <c r="M37" s="37" t="n">
        <v>2</v>
      </c>
      <c r="N37" s="35" t="str">
        <f aca="false">VLOOKUP(M37, Lookups_Metadata!$G$4:$H$7, 2, FALSE())</f>
        <v>Mist / Cloudy</v>
      </c>
      <c r="O37" s="40" t="n">
        <v>0.38</v>
      </c>
      <c r="P37" s="40"/>
      <c r="Q37" s="40" t="n">
        <f aca="false">IF(OR(P37="", ISBLANK(P37)), ROUND(0.9367*O37+0.0175, 4), P37)</f>
        <v>0.3734</v>
      </c>
      <c r="R37" s="35" t="str">
        <f aca="false">IF(OR(P37="", ISBLANK(P37)), "Imputed (Regression/Trend)", "Original")</f>
        <v>Imputed (Regression/Trend)</v>
      </c>
      <c r="S37" s="40" t="n">
        <v>0.76</v>
      </c>
      <c r="T37" s="40" t="n">
        <v>0.2239</v>
      </c>
      <c r="U37" s="41" t="n">
        <v>1</v>
      </c>
      <c r="V37" s="41" t="n">
        <v>19</v>
      </c>
      <c r="W37" s="41" t="n">
        <f aca="false">U37+V37</f>
        <v>20</v>
      </c>
      <c r="X37" s="42" t="n">
        <f aca="false">U37/W37</f>
        <v>0.05</v>
      </c>
      <c r="Y37" s="42" t="n">
        <f aca="false">V37/W37</f>
        <v>0.95</v>
      </c>
      <c r="Z37" s="35" t="str">
        <f aca="false">IF(W37&gt;=150, "High Demand", IF(W37&gt;=50, "Moderate Demand", "Low Demand"))</f>
        <v>Low Demand</v>
      </c>
      <c r="AA37" s="39" t="str">
        <f aca="false">TEXT(G37, "00") &amp; ":00"</f>
        <v>09:00</v>
      </c>
      <c r="AB37" s="37" t="n">
        <f aca="false">YEAR(B37)</f>
        <v>2011</v>
      </c>
      <c r="AC37" s="35" t="str">
        <f aca="false">TEXT(B37, "mmmm")</f>
        <v>January</v>
      </c>
      <c r="AD37" s="37" t="n">
        <f aca="false">LEN(TEXT(B37, "YYYY-MM-DD"))</f>
        <v>10</v>
      </c>
      <c r="AE37" s="39" t="str">
        <f aca="false">LEFT(TEXT(B37, "YYYY-MM-DD"), 4)</f>
        <v>2011</v>
      </c>
      <c r="AF37" s="39" t="str">
        <f aca="false">RIGHT(TEXT(B37, "YYYY-MM-DD"), 2)</f>
        <v>02</v>
      </c>
    </row>
    <row r="38" customFormat="false" ht="15" hidden="false" customHeight="false" outlineLevel="0" collapsed="false">
      <c r="A38" s="43" t="n">
        <v>34</v>
      </c>
      <c r="B38" s="44" t="s">
        <v>78</v>
      </c>
      <c r="C38" s="43" t="n">
        <v>1</v>
      </c>
      <c r="D38" s="33" t="str">
        <f aca="false">VLOOKUP(C38, Lookups_Metadata!$A$4:$B$7, 2, FALSE())</f>
        <v>Spring</v>
      </c>
      <c r="E38" s="43" t="n">
        <v>0</v>
      </c>
      <c r="F38" s="43" t="n">
        <v>1</v>
      </c>
      <c r="G38" s="43" t="n">
        <v>10</v>
      </c>
      <c r="H38" s="45" t="b">
        <f aca="false">FALSE()</f>
        <v>0</v>
      </c>
      <c r="I38" s="43" t="n">
        <v>0</v>
      </c>
      <c r="J38" s="33" t="str">
        <f aca="false">INDEX(Lookups_Metadata!$E$4:$E$10, MATCH(I38, Lookups_Metadata!$D$4:$D$10, 0))</f>
        <v>Sunday</v>
      </c>
      <c r="K38" s="33" t="str">
        <f aca="false">IF(H38=TRUE(), "Holiday", IF(OR(I38=0, I38=6), "Weekend", "Weekday"))</f>
        <v>Weekend</v>
      </c>
      <c r="L38" s="33" t="str">
        <f aca="false">IF(AND(K38="Weekday", OR(AND(G38&gt;=7, G38&lt;=9), AND(G38&gt;=17, G38&lt;=19))), "Peak Commute", "Off-Peak")</f>
        <v>Off-Peak</v>
      </c>
      <c r="M38" s="43" t="n">
        <v>2</v>
      </c>
      <c r="N38" s="33" t="str">
        <f aca="false">VLOOKUP(M38, Lookups_Metadata!$G$4:$H$7, 2, FALSE())</f>
        <v>Mist / Cloudy</v>
      </c>
      <c r="O38" s="46" t="n">
        <v>0.36</v>
      </c>
      <c r="P38" s="46" t="n">
        <v>0.3485</v>
      </c>
      <c r="Q38" s="46" t="n">
        <f aca="false">IF(OR(P38="", ISBLANK(P38)), ROUND(0.9367*O38+0.0175, 4), P38)</f>
        <v>0.3485</v>
      </c>
      <c r="R38" s="33" t="str">
        <f aca="false">IF(OR(P38="", ISBLANK(P38)), "Imputed (Regression/Trend)", "Original")</f>
        <v>Original</v>
      </c>
      <c r="S38" s="46" t="n">
        <v>0.81</v>
      </c>
      <c r="T38" s="46" t="n">
        <v>0.2239</v>
      </c>
      <c r="U38" s="18" t="n">
        <v>7</v>
      </c>
      <c r="V38" s="18" t="n">
        <v>46</v>
      </c>
      <c r="W38" s="18" t="n">
        <f aca="false">U38+V38</f>
        <v>53</v>
      </c>
      <c r="X38" s="47" t="n">
        <f aca="false">U38/W38</f>
        <v>0.132075471698113</v>
      </c>
      <c r="Y38" s="47" t="n">
        <f aca="false">V38/W38</f>
        <v>0.867924528301887</v>
      </c>
      <c r="Z38" s="33" t="str">
        <f aca="false">IF(W38&gt;=150, "High Demand", IF(W38&gt;=50, "Moderate Demand", "Low Demand"))</f>
        <v>Moderate Demand</v>
      </c>
      <c r="AA38" s="45" t="str">
        <f aca="false">TEXT(G38, "00") &amp; ":00"</f>
        <v>10:00</v>
      </c>
      <c r="AB38" s="43" t="n">
        <f aca="false">YEAR(B38)</f>
        <v>2011</v>
      </c>
      <c r="AC38" s="33" t="str">
        <f aca="false">TEXT(B38, "mmmm")</f>
        <v>January</v>
      </c>
      <c r="AD38" s="43" t="n">
        <f aca="false">LEN(TEXT(B38, "YYYY-MM-DD"))</f>
        <v>10</v>
      </c>
      <c r="AE38" s="45" t="str">
        <f aca="false">LEFT(TEXT(B38, "YYYY-MM-DD"), 4)</f>
        <v>2011</v>
      </c>
      <c r="AF38" s="45" t="str">
        <f aca="false">RIGHT(TEXT(B38, "YYYY-MM-DD"), 2)</f>
        <v>02</v>
      </c>
    </row>
    <row r="39" customFormat="false" ht="15" hidden="false" customHeight="false" outlineLevel="0" collapsed="false">
      <c r="A39" s="37" t="n">
        <v>35</v>
      </c>
      <c r="B39" s="38" t="s">
        <v>78</v>
      </c>
      <c r="C39" s="37" t="n">
        <v>1</v>
      </c>
      <c r="D39" s="35" t="str">
        <f aca="false">VLOOKUP(C39, Lookups_Metadata!$A$4:$B$7, 2, FALSE())</f>
        <v>Spring</v>
      </c>
      <c r="E39" s="37" t="n">
        <v>0</v>
      </c>
      <c r="F39" s="37" t="n">
        <v>1</v>
      </c>
      <c r="G39" s="37" t="n">
        <v>11</v>
      </c>
      <c r="H39" s="39" t="b">
        <f aca="false">FALSE()</f>
        <v>0</v>
      </c>
      <c r="I39" s="37" t="n">
        <v>0</v>
      </c>
      <c r="J39" s="35" t="str">
        <f aca="false">INDEX(Lookups_Metadata!$E$4:$E$10, MATCH(I39, Lookups_Metadata!$D$4:$D$10, 0))</f>
        <v>Sunday</v>
      </c>
      <c r="K39" s="35" t="str">
        <f aca="false">IF(H39=TRUE(), "Holiday", IF(OR(I39=0, I39=6), "Weekend", "Weekday"))</f>
        <v>Weekend</v>
      </c>
      <c r="L39" s="35" t="str">
        <f aca="false">IF(AND(K39="Weekday", OR(AND(G39&gt;=7, G39&lt;=9), AND(G39&gt;=17, G39&lt;=19))), "Peak Commute", "Off-Peak")</f>
        <v>Off-Peak</v>
      </c>
      <c r="M39" s="37" t="n">
        <v>2</v>
      </c>
      <c r="N39" s="35" t="str">
        <f aca="false">VLOOKUP(M39, Lookups_Metadata!$G$4:$H$7, 2, FALSE())</f>
        <v>Mist / Cloudy</v>
      </c>
      <c r="O39" s="40" t="n">
        <v>0.36</v>
      </c>
      <c r="P39" s="40" t="n">
        <v>0.3333</v>
      </c>
      <c r="Q39" s="40" t="n">
        <f aca="false">IF(OR(P39="", ISBLANK(P39)), ROUND(0.9367*O39+0.0175, 4), P39)</f>
        <v>0.3333</v>
      </c>
      <c r="R39" s="35" t="str">
        <f aca="false">IF(OR(P39="", ISBLANK(P39)), "Imputed (Regression/Trend)", "Original")</f>
        <v>Original</v>
      </c>
      <c r="S39" s="40" t="n">
        <v>0.71</v>
      </c>
      <c r="T39" s="40" t="n">
        <v>0.2537</v>
      </c>
      <c r="U39" s="41" t="n">
        <v>16</v>
      </c>
      <c r="V39" s="41" t="n">
        <v>54</v>
      </c>
      <c r="W39" s="41" t="n">
        <f aca="false">U39+V39</f>
        <v>70</v>
      </c>
      <c r="X39" s="42" t="n">
        <f aca="false">U39/W39</f>
        <v>0.228571428571429</v>
      </c>
      <c r="Y39" s="42" t="n">
        <f aca="false">V39/W39</f>
        <v>0.771428571428572</v>
      </c>
      <c r="Z39" s="35" t="str">
        <f aca="false">IF(W39&gt;=150, "High Demand", IF(W39&gt;=50, "Moderate Demand", "Low Demand"))</f>
        <v>Moderate Demand</v>
      </c>
      <c r="AA39" s="39" t="str">
        <f aca="false">TEXT(G39, "00") &amp; ":00"</f>
        <v>11:00</v>
      </c>
      <c r="AB39" s="37" t="n">
        <f aca="false">YEAR(B39)</f>
        <v>2011</v>
      </c>
      <c r="AC39" s="35" t="str">
        <f aca="false">TEXT(B39, "mmmm")</f>
        <v>January</v>
      </c>
      <c r="AD39" s="37" t="n">
        <f aca="false">LEN(TEXT(B39, "YYYY-MM-DD"))</f>
        <v>10</v>
      </c>
      <c r="AE39" s="39" t="str">
        <f aca="false">LEFT(TEXT(B39, "YYYY-MM-DD"), 4)</f>
        <v>2011</v>
      </c>
      <c r="AF39" s="39" t="str">
        <f aca="false">RIGHT(TEXT(B39, "YYYY-MM-DD"), 2)</f>
        <v>02</v>
      </c>
    </row>
    <row r="40" customFormat="false" ht="15" hidden="false" customHeight="false" outlineLevel="0" collapsed="false">
      <c r="A40" s="43" t="n">
        <v>36</v>
      </c>
      <c r="B40" s="44" t="s">
        <v>78</v>
      </c>
      <c r="C40" s="43" t="n">
        <v>1</v>
      </c>
      <c r="D40" s="33" t="str">
        <f aca="false">VLOOKUP(C40, Lookups_Metadata!$A$4:$B$7, 2, FALSE())</f>
        <v>Spring</v>
      </c>
      <c r="E40" s="43" t="n">
        <v>0</v>
      </c>
      <c r="F40" s="43" t="n">
        <v>1</v>
      </c>
      <c r="G40" s="43" t="n">
        <v>12</v>
      </c>
      <c r="H40" s="45" t="b">
        <f aca="false">FALSE()</f>
        <v>0</v>
      </c>
      <c r="I40" s="43" t="n">
        <v>0</v>
      </c>
      <c r="J40" s="33" t="str">
        <f aca="false">INDEX(Lookups_Metadata!$E$4:$E$10, MATCH(I40, Lookups_Metadata!$D$4:$D$10, 0))</f>
        <v>Sunday</v>
      </c>
      <c r="K40" s="33" t="str">
        <f aca="false">IF(H40=TRUE(), "Holiday", IF(OR(I40=0, I40=6), "Weekend", "Weekday"))</f>
        <v>Weekend</v>
      </c>
      <c r="L40" s="33" t="str">
        <f aca="false">IF(AND(K40="Weekday", OR(AND(G40&gt;=7, G40&lt;=9), AND(G40&gt;=17, G40&lt;=19))), "Peak Commute", "Off-Peak")</f>
        <v>Off-Peak</v>
      </c>
      <c r="M40" s="43" t="n">
        <v>2</v>
      </c>
      <c r="N40" s="33" t="str">
        <f aca="false">VLOOKUP(M40, Lookups_Metadata!$G$4:$H$7, 2, FALSE())</f>
        <v>Mist / Cloudy</v>
      </c>
      <c r="O40" s="46" t="n">
        <v>0.36</v>
      </c>
      <c r="P40" s="46" t="n">
        <v>0.3333</v>
      </c>
      <c r="Q40" s="46" t="n">
        <f aca="false">IF(OR(P40="", ISBLANK(P40)), ROUND(0.9367*O40+0.0175, 4), P40)</f>
        <v>0.3333</v>
      </c>
      <c r="R40" s="33" t="str">
        <f aca="false">IF(OR(P40="", ISBLANK(P40)), "Imputed (Regression/Trend)", "Original")</f>
        <v>Original</v>
      </c>
      <c r="S40" s="46" t="n">
        <v>0.66</v>
      </c>
      <c r="T40" s="46" t="n">
        <v>0.2985</v>
      </c>
      <c r="U40" s="18" t="n">
        <v>20</v>
      </c>
      <c r="V40" s="18" t="n">
        <v>73</v>
      </c>
      <c r="W40" s="18" t="n">
        <f aca="false">U40+V40</f>
        <v>93</v>
      </c>
      <c r="X40" s="47" t="n">
        <f aca="false">U40/W40</f>
        <v>0.21505376344086</v>
      </c>
      <c r="Y40" s="47" t="n">
        <f aca="false">V40/W40</f>
        <v>0.78494623655914</v>
      </c>
      <c r="Z40" s="33" t="str">
        <f aca="false">IF(W40&gt;=150, "High Demand", IF(W40&gt;=50, "Moderate Demand", "Low Demand"))</f>
        <v>Moderate Demand</v>
      </c>
      <c r="AA40" s="45" t="str">
        <f aca="false">TEXT(G40, "00") &amp; ":00"</f>
        <v>12:00</v>
      </c>
      <c r="AB40" s="43" t="n">
        <f aca="false">YEAR(B40)</f>
        <v>2011</v>
      </c>
      <c r="AC40" s="33" t="str">
        <f aca="false">TEXT(B40, "mmmm")</f>
        <v>January</v>
      </c>
      <c r="AD40" s="43" t="n">
        <f aca="false">LEN(TEXT(B40, "YYYY-MM-DD"))</f>
        <v>10</v>
      </c>
      <c r="AE40" s="45" t="str">
        <f aca="false">LEFT(TEXT(B40, "YYYY-MM-DD"), 4)</f>
        <v>2011</v>
      </c>
      <c r="AF40" s="45" t="str">
        <f aca="false">RIGHT(TEXT(B40, "YYYY-MM-DD"), 2)</f>
        <v>02</v>
      </c>
    </row>
    <row r="41" customFormat="false" ht="15" hidden="false" customHeight="false" outlineLevel="0" collapsed="false">
      <c r="A41" s="37" t="n">
        <v>37</v>
      </c>
      <c r="B41" s="38" t="s">
        <v>78</v>
      </c>
      <c r="C41" s="37" t="n">
        <v>1</v>
      </c>
      <c r="D41" s="35" t="str">
        <f aca="false">VLOOKUP(C41, Lookups_Metadata!$A$4:$B$7, 2, FALSE())</f>
        <v>Spring</v>
      </c>
      <c r="E41" s="37" t="n">
        <v>0</v>
      </c>
      <c r="F41" s="37" t="n">
        <v>1</v>
      </c>
      <c r="G41" s="37" t="n">
        <v>13</v>
      </c>
      <c r="H41" s="39" t="b">
        <f aca="false">FALSE()</f>
        <v>0</v>
      </c>
      <c r="I41" s="37" t="n">
        <v>0</v>
      </c>
      <c r="J41" s="35" t="str">
        <f aca="false">INDEX(Lookups_Metadata!$E$4:$E$10, MATCH(I41, Lookups_Metadata!$D$4:$D$10, 0))</f>
        <v>Sunday</v>
      </c>
      <c r="K41" s="35" t="str">
        <f aca="false">IF(H41=TRUE(), "Holiday", IF(OR(I41=0, I41=6), "Weekend", "Weekday"))</f>
        <v>Weekend</v>
      </c>
      <c r="L41" s="35" t="str">
        <f aca="false">IF(AND(K41="Weekday", OR(AND(G41&gt;=7, G41&lt;=9), AND(G41&gt;=17, G41&lt;=19))), "Peak Commute", "Off-Peak")</f>
        <v>Off-Peak</v>
      </c>
      <c r="M41" s="37" t="n">
        <v>2</v>
      </c>
      <c r="N41" s="35" t="str">
        <f aca="false">VLOOKUP(M41, Lookups_Metadata!$G$4:$H$7, 2, FALSE())</f>
        <v>Mist / Cloudy</v>
      </c>
      <c r="O41" s="40" t="n">
        <v>0.36</v>
      </c>
      <c r="P41" s="40" t="n">
        <v>0.3485</v>
      </c>
      <c r="Q41" s="40" t="n">
        <f aca="false">IF(OR(P41="", ISBLANK(P41)), ROUND(0.9367*O41+0.0175, 4), P41)</f>
        <v>0.3485</v>
      </c>
      <c r="R41" s="35" t="str">
        <f aca="false">IF(OR(P41="", ISBLANK(P41)), "Imputed (Regression/Trend)", "Original")</f>
        <v>Original</v>
      </c>
      <c r="S41" s="40" t="n">
        <v>0.66</v>
      </c>
      <c r="T41" s="40" t="n">
        <v>0.1343</v>
      </c>
      <c r="U41" s="41" t="n">
        <v>11</v>
      </c>
      <c r="V41" s="41" t="n">
        <v>64</v>
      </c>
      <c r="W41" s="41" t="n">
        <f aca="false">U41+V41</f>
        <v>75</v>
      </c>
      <c r="X41" s="42" t="n">
        <f aca="false">U41/W41</f>
        <v>0.146666666666667</v>
      </c>
      <c r="Y41" s="42" t="n">
        <f aca="false">V41/W41</f>
        <v>0.853333333333333</v>
      </c>
      <c r="Z41" s="35" t="str">
        <f aca="false">IF(W41&gt;=150, "High Demand", IF(W41&gt;=50, "Moderate Demand", "Low Demand"))</f>
        <v>Moderate Demand</v>
      </c>
      <c r="AA41" s="39" t="str">
        <f aca="false">TEXT(G41, "00") &amp; ":00"</f>
        <v>13:00</v>
      </c>
      <c r="AB41" s="37" t="n">
        <f aca="false">YEAR(B41)</f>
        <v>2011</v>
      </c>
      <c r="AC41" s="35" t="str">
        <f aca="false">TEXT(B41, "mmmm")</f>
        <v>January</v>
      </c>
      <c r="AD41" s="37" t="n">
        <f aca="false">LEN(TEXT(B41, "YYYY-MM-DD"))</f>
        <v>10</v>
      </c>
      <c r="AE41" s="39" t="str">
        <f aca="false">LEFT(TEXT(B41, "YYYY-MM-DD"), 4)</f>
        <v>2011</v>
      </c>
      <c r="AF41" s="39" t="str">
        <f aca="false">RIGHT(TEXT(B41, "YYYY-MM-DD"), 2)</f>
        <v>02</v>
      </c>
    </row>
    <row r="42" customFormat="false" ht="15" hidden="false" customHeight="false" outlineLevel="0" collapsed="false">
      <c r="A42" s="43" t="n">
        <v>38</v>
      </c>
      <c r="B42" s="44" t="s">
        <v>78</v>
      </c>
      <c r="C42" s="43" t="n">
        <v>1</v>
      </c>
      <c r="D42" s="33" t="str">
        <f aca="false">VLOOKUP(C42, Lookups_Metadata!$A$4:$B$7, 2, FALSE())</f>
        <v>Spring</v>
      </c>
      <c r="E42" s="43" t="n">
        <v>0</v>
      </c>
      <c r="F42" s="43" t="n">
        <v>1</v>
      </c>
      <c r="G42" s="43" t="n">
        <v>14</v>
      </c>
      <c r="H42" s="45" t="b">
        <f aca="false">FALSE()</f>
        <v>0</v>
      </c>
      <c r="I42" s="43" t="n">
        <v>0</v>
      </c>
      <c r="J42" s="33" t="str">
        <f aca="false">INDEX(Lookups_Metadata!$E$4:$E$10, MATCH(I42, Lookups_Metadata!$D$4:$D$10, 0))</f>
        <v>Sunday</v>
      </c>
      <c r="K42" s="33" t="str">
        <f aca="false">IF(H42=TRUE(), "Holiday", IF(OR(I42=0, I42=6), "Weekend", "Weekday"))</f>
        <v>Weekend</v>
      </c>
      <c r="L42" s="33" t="str">
        <f aca="false">IF(AND(K42="Weekday", OR(AND(G42&gt;=7, G42&lt;=9), AND(G42&gt;=17, G42&lt;=19))), "Peak Commute", "Off-Peak")</f>
        <v>Off-Peak</v>
      </c>
      <c r="M42" s="43" t="n">
        <v>3</v>
      </c>
      <c r="N42" s="33" t="str">
        <f aca="false">VLOOKUP(M42, Lookups_Metadata!$G$4:$H$7, 2, FALSE())</f>
        <v>Light Snow / Light Rain</v>
      </c>
      <c r="O42" s="46" t="n">
        <v>0.36</v>
      </c>
      <c r="P42" s="46"/>
      <c r="Q42" s="46" t="n">
        <f aca="false">IF(OR(P42="", ISBLANK(P42)), ROUND(0.9367*O42+0.0175, 4), P42)</f>
        <v>0.3547</v>
      </c>
      <c r="R42" s="33" t="str">
        <f aca="false">IF(OR(P42="", ISBLANK(P42)), "Imputed (Regression/Trend)", "Original")</f>
        <v>Imputed (Regression/Trend)</v>
      </c>
      <c r="S42" s="46" t="n">
        <v>0.76</v>
      </c>
      <c r="T42" s="46" t="n">
        <v>0.194</v>
      </c>
      <c r="U42" s="18" t="n">
        <v>4</v>
      </c>
      <c r="V42" s="18" t="n">
        <v>55</v>
      </c>
      <c r="W42" s="18" t="n">
        <f aca="false">U42+V42</f>
        <v>59</v>
      </c>
      <c r="X42" s="47" t="n">
        <f aca="false">U42/W42</f>
        <v>0.0677966101694915</v>
      </c>
      <c r="Y42" s="47" t="n">
        <f aca="false">V42/W42</f>
        <v>0.932203389830508</v>
      </c>
      <c r="Z42" s="33" t="str">
        <f aca="false">IF(W42&gt;=150, "High Demand", IF(W42&gt;=50, "Moderate Demand", "Low Demand"))</f>
        <v>Moderate Demand</v>
      </c>
      <c r="AA42" s="45" t="str">
        <f aca="false">TEXT(G42, "00") &amp; ":00"</f>
        <v>14:00</v>
      </c>
      <c r="AB42" s="43" t="n">
        <f aca="false">YEAR(B42)</f>
        <v>2011</v>
      </c>
      <c r="AC42" s="33" t="str">
        <f aca="false">TEXT(B42, "mmmm")</f>
        <v>January</v>
      </c>
      <c r="AD42" s="43" t="n">
        <f aca="false">LEN(TEXT(B42, "YYYY-MM-DD"))</f>
        <v>10</v>
      </c>
      <c r="AE42" s="45" t="str">
        <f aca="false">LEFT(TEXT(B42, "YYYY-MM-DD"), 4)</f>
        <v>2011</v>
      </c>
      <c r="AF42" s="45" t="str">
        <f aca="false">RIGHT(TEXT(B42, "YYYY-MM-DD"), 2)</f>
        <v>02</v>
      </c>
    </row>
    <row r="43" customFormat="false" ht="15" hidden="false" customHeight="false" outlineLevel="0" collapsed="false">
      <c r="A43" s="37" t="n">
        <v>39</v>
      </c>
      <c r="B43" s="38" t="s">
        <v>78</v>
      </c>
      <c r="C43" s="37" t="n">
        <v>1</v>
      </c>
      <c r="D43" s="35" t="str">
        <f aca="false">VLOOKUP(C43, Lookups_Metadata!$A$4:$B$7, 2, FALSE())</f>
        <v>Spring</v>
      </c>
      <c r="E43" s="37" t="n">
        <v>0</v>
      </c>
      <c r="F43" s="37" t="n">
        <v>1</v>
      </c>
      <c r="G43" s="37" t="n">
        <v>15</v>
      </c>
      <c r="H43" s="39" t="b">
        <f aca="false">FALSE()</f>
        <v>0</v>
      </c>
      <c r="I43" s="37" t="n">
        <v>0</v>
      </c>
      <c r="J43" s="35" t="str">
        <f aca="false">INDEX(Lookups_Metadata!$E$4:$E$10, MATCH(I43, Lookups_Metadata!$D$4:$D$10, 0))</f>
        <v>Sunday</v>
      </c>
      <c r="K43" s="35" t="str">
        <f aca="false">IF(H43=TRUE(), "Holiday", IF(OR(I43=0, I43=6), "Weekend", "Weekday"))</f>
        <v>Weekend</v>
      </c>
      <c r="L43" s="35" t="str">
        <f aca="false">IF(AND(K43="Weekday", OR(AND(G43&gt;=7, G43&lt;=9), AND(G43&gt;=17, G43&lt;=19))), "Peak Commute", "Off-Peak")</f>
        <v>Off-Peak</v>
      </c>
      <c r="M43" s="37" t="n">
        <v>3</v>
      </c>
      <c r="N43" s="35" t="str">
        <f aca="false">VLOOKUP(M43, Lookups_Metadata!$G$4:$H$7, 2, FALSE())</f>
        <v>Light Snow / Light Rain</v>
      </c>
      <c r="O43" s="40" t="n">
        <v>0.34</v>
      </c>
      <c r="P43" s="40" t="n">
        <v>0.3333</v>
      </c>
      <c r="Q43" s="40" t="n">
        <f aca="false">IF(OR(P43="", ISBLANK(P43)), ROUND(0.9367*O43+0.0175, 4), P43)</f>
        <v>0.3333</v>
      </c>
      <c r="R43" s="35" t="str">
        <f aca="false">IF(OR(P43="", ISBLANK(P43)), "Imputed (Regression/Trend)", "Original")</f>
        <v>Original</v>
      </c>
      <c r="S43" s="40" t="n">
        <v>0.81</v>
      </c>
      <c r="T43" s="40" t="n">
        <v>0.1642</v>
      </c>
      <c r="U43" s="41" t="n">
        <v>19</v>
      </c>
      <c r="V43" s="41" t="n">
        <v>55</v>
      </c>
      <c r="W43" s="41" t="n">
        <f aca="false">U43+V43</f>
        <v>74</v>
      </c>
      <c r="X43" s="42" t="n">
        <f aca="false">U43/W43</f>
        <v>0.256756756756757</v>
      </c>
      <c r="Y43" s="42" t="n">
        <f aca="false">V43/W43</f>
        <v>0.743243243243243</v>
      </c>
      <c r="Z43" s="35" t="str">
        <f aca="false">IF(W43&gt;=150, "High Demand", IF(W43&gt;=50, "Moderate Demand", "Low Demand"))</f>
        <v>Moderate Demand</v>
      </c>
      <c r="AA43" s="39" t="str">
        <f aca="false">TEXT(G43, "00") &amp; ":00"</f>
        <v>15:00</v>
      </c>
      <c r="AB43" s="37" t="n">
        <f aca="false">YEAR(B43)</f>
        <v>2011</v>
      </c>
      <c r="AC43" s="35" t="str">
        <f aca="false">TEXT(B43, "mmmm")</f>
        <v>January</v>
      </c>
      <c r="AD43" s="37" t="n">
        <f aca="false">LEN(TEXT(B43, "YYYY-MM-DD"))</f>
        <v>10</v>
      </c>
      <c r="AE43" s="39" t="str">
        <f aca="false">LEFT(TEXT(B43, "YYYY-MM-DD"), 4)</f>
        <v>2011</v>
      </c>
      <c r="AF43" s="39" t="str">
        <f aca="false">RIGHT(TEXT(B43, "YYYY-MM-DD"), 2)</f>
        <v>02</v>
      </c>
    </row>
    <row r="44" customFormat="false" ht="15" hidden="false" customHeight="false" outlineLevel="0" collapsed="false">
      <c r="A44" s="43" t="n">
        <v>40</v>
      </c>
      <c r="B44" s="44" t="s">
        <v>78</v>
      </c>
      <c r="C44" s="43" t="n">
        <v>1</v>
      </c>
      <c r="D44" s="33" t="str">
        <f aca="false">VLOOKUP(C44, Lookups_Metadata!$A$4:$B$7, 2, FALSE())</f>
        <v>Spring</v>
      </c>
      <c r="E44" s="43" t="n">
        <v>0</v>
      </c>
      <c r="F44" s="43" t="n">
        <v>1</v>
      </c>
      <c r="G44" s="43" t="n">
        <v>16</v>
      </c>
      <c r="H44" s="45" t="b">
        <f aca="false">FALSE()</f>
        <v>0</v>
      </c>
      <c r="I44" s="43" t="n">
        <v>0</v>
      </c>
      <c r="J44" s="33" t="str">
        <f aca="false">INDEX(Lookups_Metadata!$E$4:$E$10, MATCH(I44, Lookups_Metadata!$D$4:$D$10, 0))</f>
        <v>Sunday</v>
      </c>
      <c r="K44" s="33" t="str">
        <f aca="false">IF(H44=TRUE(), "Holiday", IF(OR(I44=0, I44=6), "Weekend", "Weekday"))</f>
        <v>Weekend</v>
      </c>
      <c r="L44" s="33" t="str">
        <f aca="false">IF(AND(K44="Weekday", OR(AND(G44&gt;=7, G44&lt;=9), AND(G44&gt;=17, G44&lt;=19))), "Peak Commute", "Off-Peak")</f>
        <v>Off-Peak</v>
      </c>
      <c r="M44" s="43" t="n">
        <v>3</v>
      </c>
      <c r="N44" s="33" t="str">
        <f aca="false">VLOOKUP(M44, Lookups_Metadata!$G$4:$H$7, 2, FALSE())</f>
        <v>Light Snow / Light Rain</v>
      </c>
      <c r="O44" s="46" t="n">
        <v>0.34</v>
      </c>
      <c r="P44" s="46" t="n">
        <v>0.3333</v>
      </c>
      <c r="Q44" s="46" t="n">
        <f aca="false">IF(OR(P44="", ISBLANK(P44)), ROUND(0.9367*O44+0.0175, 4), P44)</f>
        <v>0.3333</v>
      </c>
      <c r="R44" s="33" t="str">
        <f aca="false">IF(OR(P44="", ISBLANK(P44)), "Imputed (Regression/Trend)", "Original")</f>
        <v>Original</v>
      </c>
      <c r="S44" s="46" t="n">
        <v>0.71</v>
      </c>
      <c r="T44" s="46" t="n">
        <v>0.1642</v>
      </c>
      <c r="U44" s="18" t="n">
        <v>9</v>
      </c>
      <c r="V44" s="18" t="n">
        <v>67</v>
      </c>
      <c r="W44" s="18" t="n">
        <f aca="false">U44+V44</f>
        <v>76</v>
      </c>
      <c r="X44" s="47" t="n">
        <f aca="false">U44/W44</f>
        <v>0.118421052631579</v>
      </c>
      <c r="Y44" s="47" t="n">
        <f aca="false">V44/W44</f>
        <v>0.881578947368421</v>
      </c>
      <c r="Z44" s="33" t="str">
        <f aca="false">IF(W44&gt;=150, "High Demand", IF(W44&gt;=50, "Moderate Demand", "Low Demand"))</f>
        <v>Moderate Demand</v>
      </c>
      <c r="AA44" s="45" t="str">
        <f aca="false">TEXT(G44, "00") &amp; ":00"</f>
        <v>16:00</v>
      </c>
      <c r="AB44" s="43" t="n">
        <f aca="false">YEAR(B44)</f>
        <v>2011</v>
      </c>
      <c r="AC44" s="33" t="str">
        <f aca="false">TEXT(B44, "mmmm")</f>
        <v>January</v>
      </c>
      <c r="AD44" s="43" t="n">
        <f aca="false">LEN(TEXT(B44, "YYYY-MM-DD"))</f>
        <v>10</v>
      </c>
      <c r="AE44" s="45" t="str">
        <f aca="false">LEFT(TEXT(B44, "YYYY-MM-DD"), 4)</f>
        <v>2011</v>
      </c>
      <c r="AF44" s="45" t="str">
        <f aca="false">RIGHT(TEXT(B44, "YYYY-MM-DD"), 2)</f>
        <v>02</v>
      </c>
    </row>
    <row r="45" customFormat="false" ht="15" hidden="false" customHeight="false" outlineLevel="0" collapsed="false">
      <c r="A45" s="37" t="n">
        <v>41</v>
      </c>
      <c r="B45" s="38" t="s">
        <v>78</v>
      </c>
      <c r="C45" s="37" t="n">
        <v>1</v>
      </c>
      <c r="D45" s="35" t="str">
        <f aca="false">VLOOKUP(C45, Lookups_Metadata!$A$4:$B$7, 2, FALSE())</f>
        <v>Spring</v>
      </c>
      <c r="E45" s="37" t="n">
        <v>0</v>
      </c>
      <c r="F45" s="37" t="n">
        <v>1</v>
      </c>
      <c r="G45" s="37" t="n">
        <v>17</v>
      </c>
      <c r="H45" s="39" t="b">
        <f aca="false">FALSE()</f>
        <v>0</v>
      </c>
      <c r="I45" s="37" t="n">
        <v>0</v>
      </c>
      <c r="J45" s="35" t="str">
        <f aca="false">INDEX(Lookups_Metadata!$E$4:$E$10, MATCH(I45, Lookups_Metadata!$D$4:$D$10, 0))</f>
        <v>Sunday</v>
      </c>
      <c r="K45" s="35" t="str">
        <f aca="false">IF(H45=TRUE(), "Holiday", IF(OR(I45=0, I45=6), "Weekend", "Weekday"))</f>
        <v>Weekend</v>
      </c>
      <c r="L45" s="35" t="str">
        <f aca="false">IF(AND(K45="Weekday", OR(AND(G45&gt;=7, G45&lt;=9), AND(G45&gt;=17, G45&lt;=19))), "Peak Commute", "Off-Peak")</f>
        <v>Off-Peak</v>
      </c>
      <c r="M45" s="37" t="n">
        <v>1</v>
      </c>
      <c r="N45" s="35" t="str">
        <f aca="false">VLOOKUP(M45, Lookups_Metadata!$G$4:$H$7, 2, FALSE())</f>
        <v>Clear / Few Clouds</v>
      </c>
      <c r="O45" s="40" t="n">
        <v>0.34</v>
      </c>
      <c r="P45" s="40" t="n">
        <v>0.3333</v>
      </c>
      <c r="Q45" s="40" t="n">
        <f aca="false">IF(OR(P45="", ISBLANK(P45)), ROUND(0.9367*O45+0.0175, 4), P45)</f>
        <v>0.3333</v>
      </c>
      <c r="R45" s="35" t="str">
        <f aca="false">IF(OR(P45="", ISBLANK(P45)), "Imputed (Regression/Trend)", "Original")</f>
        <v>Original</v>
      </c>
      <c r="S45" s="40" t="n">
        <v>0.57</v>
      </c>
      <c r="T45" s="40" t="n">
        <v>0.194</v>
      </c>
      <c r="U45" s="41" t="n">
        <v>7</v>
      </c>
      <c r="V45" s="41" t="n">
        <v>58</v>
      </c>
      <c r="W45" s="41" t="n">
        <f aca="false">U45+V45</f>
        <v>65</v>
      </c>
      <c r="X45" s="42" t="n">
        <f aca="false">U45/W45</f>
        <v>0.107692307692308</v>
      </c>
      <c r="Y45" s="42" t="n">
        <f aca="false">V45/W45</f>
        <v>0.892307692307692</v>
      </c>
      <c r="Z45" s="35" t="str">
        <f aca="false">IF(W45&gt;=150, "High Demand", IF(W45&gt;=50, "Moderate Demand", "Low Demand"))</f>
        <v>Moderate Demand</v>
      </c>
      <c r="AA45" s="39" t="str">
        <f aca="false">TEXT(G45, "00") &amp; ":00"</f>
        <v>17:00</v>
      </c>
      <c r="AB45" s="37" t="n">
        <f aca="false">YEAR(B45)</f>
        <v>2011</v>
      </c>
      <c r="AC45" s="35" t="str">
        <f aca="false">TEXT(B45, "mmmm")</f>
        <v>January</v>
      </c>
      <c r="AD45" s="37" t="n">
        <f aca="false">LEN(TEXT(B45, "YYYY-MM-DD"))</f>
        <v>10</v>
      </c>
      <c r="AE45" s="39" t="str">
        <f aca="false">LEFT(TEXT(B45, "YYYY-MM-DD"), 4)</f>
        <v>2011</v>
      </c>
      <c r="AF45" s="39" t="str">
        <f aca="false">RIGHT(TEXT(B45, "YYYY-MM-DD"), 2)</f>
        <v>02</v>
      </c>
    </row>
    <row r="46" customFormat="false" ht="15" hidden="false" customHeight="false" outlineLevel="0" collapsed="false">
      <c r="A46" s="43" t="n">
        <v>42</v>
      </c>
      <c r="B46" s="44" t="s">
        <v>78</v>
      </c>
      <c r="C46" s="43" t="n">
        <v>1</v>
      </c>
      <c r="D46" s="33" t="str">
        <f aca="false">VLOOKUP(C46, Lookups_Metadata!$A$4:$B$7, 2, FALSE())</f>
        <v>Spring</v>
      </c>
      <c r="E46" s="43" t="n">
        <v>0</v>
      </c>
      <c r="F46" s="43" t="n">
        <v>1</v>
      </c>
      <c r="G46" s="43" t="n">
        <v>18</v>
      </c>
      <c r="H46" s="45" t="b">
        <f aca="false">FALSE()</f>
        <v>0</v>
      </c>
      <c r="I46" s="43" t="n">
        <v>0</v>
      </c>
      <c r="J46" s="33" t="str">
        <f aca="false">INDEX(Lookups_Metadata!$E$4:$E$10, MATCH(I46, Lookups_Metadata!$D$4:$D$10, 0))</f>
        <v>Sunday</v>
      </c>
      <c r="K46" s="33" t="str">
        <f aca="false">IF(H46=TRUE(), "Holiday", IF(OR(I46=0, I46=6), "Weekend", "Weekday"))</f>
        <v>Weekend</v>
      </c>
      <c r="L46" s="33" t="str">
        <f aca="false">IF(AND(K46="Weekday", OR(AND(G46&gt;=7, G46&lt;=9), AND(G46&gt;=17, G46&lt;=19))), "Peak Commute", "Off-Peak")</f>
        <v>Off-Peak</v>
      </c>
      <c r="M46" s="43" t="n">
        <v>2</v>
      </c>
      <c r="N46" s="33" t="str">
        <f aca="false">VLOOKUP(M46, Lookups_Metadata!$G$4:$H$7, 2, FALSE())</f>
        <v>Mist / Cloudy</v>
      </c>
      <c r="O46" s="46" t="n">
        <v>0.36</v>
      </c>
      <c r="P46" s="46" t="n">
        <v>0.3333</v>
      </c>
      <c r="Q46" s="46" t="n">
        <f aca="false">IF(OR(P46="", ISBLANK(P46)), ROUND(0.9367*O46+0.0175, 4), P46)</f>
        <v>0.3333</v>
      </c>
      <c r="R46" s="33" t="str">
        <f aca="false">IF(OR(P46="", ISBLANK(P46)), "Imputed (Regression/Trend)", "Original")</f>
        <v>Original</v>
      </c>
      <c r="S46" s="46" t="n">
        <v>0.46</v>
      </c>
      <c r="T46" s="46" t="n">
        <v>0.3284</v>
      </c>
      <c r="U46" s="18" t="n">
        <v>10</v>
      </c>
      <c r="V46" s="18" t="n">
        <v>43</v>
      </c>
      <c r="W46" s="18" t="n">
        <f aca="false">U46+V46</f>
        <v>53</v>
      </c>
      <c r="X46" s="47" t="n">
        <f aca="false">U46/W46</f>
        <v>0.188679245283019</v>
      </c>
      <c r="Y46" s="47" t="n">
        <f aca="false">V46/W46</f>
        <v>0.811320754716981</v>
      </c>
      <c r="Z46" s="33" t="str">
        <f aca="false">IF(W46&gt;=150, "High Demand", IF(W46&gt;=50, "Moderate Demand", "Low Demand"))</f>
        <v>Moderate Demand</v>
      </c>
      <c r="AA46" s="45" t="str">
        <f aca="false">TEXT(G46, "00") &amp; ":00"</f>
        <v>18:00</v>
      </c>
      <c r="AB46" s="43" t="n">
        <f aca="false">YEAR(B46)</f>
        <v>2011</v>
      </c>
      <c r="AC46" s="33" t="str">
        <f aca="false">TEXT(B46, "mmmm")</f>
        <v>January</v>
      </c>
      <c r="AD46" s="43" t="n">
        <f aca="false">LEN(TEXT(B46, "YYYY-MM-DD"))</f>
        <v>10</v>
      </c>
      <c r="AE46" s="45" t="str">
        <f aca="false">LEFT(TEXT(B46, "YYYY-MM-DD"), 4)</f>
        <v>2011</v>
      </c>
      <c r="AF46" s="45" t="str">
        <f aca="false">RIGHT(TEXT(B46, "YYYY-MM-DD"), 2)</f>
        <v>02</v>
      </c>
    </row>
    <row r="47" customFormat="false" ht="15" hidden="false" customHeight="false" outlineLevel="0" collapsed="false">
      <c r="A47" s="37" t="n">
        <v>43</v>
      </c>
      <c r="B47" s="38" t="s">
        <v>78</v>
      </c>
      <c r="C47" s="37" t="n">
        <v>1</v>
      </c>
      <c r="D47" s="35" t="str">
        <f aca="false">VLOOKUP(C47, Lookups_Metadata!$A$4:$B$7, 2, FALSE())</f>
        <v>Spring</v>
      </c>
      <c r="E47" s="37" t="n">
        <v>0</v>
      </c>
      <c r="F47" s="37" t="n">
        <v>1</v>
      </c>
      <c r="G47" s="37" t="n">
        <v>19</v>
      </c>
      <c r="H47" s="39" t="b">
        <f aca="false">FALSE()</f>
        <v>0</v>
      </c>
      <c r="I47" s="37" t="n">
        <v>0</v>
      </c>
      <c r="J47" s="35" t="str">
        <f aca="false">INDEX(Lookups_Metadata!$E$4:$E$10, MATCH(I47, Lookups_Metadata!$D$4:$D$10, 0))</f>
        <v>Sunday</v>
      </c>
      <c r="K47" s="35" t="str">
        <f aca="false">IF(H47=TRUE(), "Holiday", IF(OR(I47=0, I47=6), "Weekend", "Weekday"))</f>
        <v>Weekend</v>
      </c>
      <c r="L47" s="35" t="str">
        <f aca="false">IF(AND(K47="Weekday", OR(AND(G47&gt;=7, G47&lt;=9), AND(G47&gt;=17, G47&lt;=19))), "Peak Commute", "Off-Peak")</f>
        <v>Off-Peak</v>
      </c>
      <c r="M47" s="37" t="n">
        <v>1</v>
      </c>
      <c r="N47" s="35" t="str">
        <f aca="false">VLOOKUP(M47, Lookups_Metadata!$G$4:$H$7, 2, FALSE())</f>
        <v>Clear / Few Clouds</v>
      </c>
      <c r="O47" s="40" t="n">
        <v>0.32</v>
      </c>
      <c r="P47" s="40" t="n">
        <v>0.2879</v>
      </c>
      <c r="Q47" s="40" t="n">
        <f aca="false">IF(OR(P47="", ISBLANK(P47)), ROUND(0.9367*O47+0.0175, 4), P47)</f>
        <v>0.2879</v>
      </c>
      <c r="R47" s="35" t="str">
        <f aca="false">IF(OR(P47="", ISBLANK(P47)), "Imputed (Regression/Trend)", "Original")</f>
        <v>Original</v>
      </c>
      <c r="S47" s="40" t="n">
        <v>0.42</v>
      </c>
      <c r="T47" s="40" t="n">
        <v>0.4478</v>
      </c>
      <c r="U47" s="41" t="n">
        <v>1</v>
      </c>
      <c r="V47" s="41" t="n">
        <v>29</v>
      </c>
      <c r="W47" s="41" t="n">
        <f aca="false">U47+V47</f>
        <v>30</v>
      </c>
      <c r="X47" s="42" t="n">
        <f aca="false">U47/W47</f>
        <v>0.0333333333333333</v>
      </c>
      <c r="Y47" s="42" t="n">
        <f aca="false">V47/W47</f>
        <v>0.966666666666667</v>
      </c>
      <c r="Z47" s="35" t="str">
        <f aca="false">IF(W47&gt;=150, "High Demand", IF(W47&gt;=50, "Moderate Demand", "Low Demand"))</f>
        <v>Low Demand</v>
      </c>
      <c r="AA47" s="39" t="str">
        <f aca="false">TEXT(G47, "00") &amp; ":00"</f>
        <v>19:00</v>
      </c>
      <c r="AB47" s="37" t="n">
        <f aca="false">YEAR(B47)</f>
        <v>2011</v>
      </c>
      <c r="AC47" s="35" t="str">
        <f aca="false">TEXT(B47, "mmmm")</f>
        <v>January</v>
      </c>
      <c r="AD47" s="37" t="n">
        <f aca="false">LEN(TEXT(B47, "YYYY-MM-DD"))</f>
        <v>10</v>
      </c>
      <c r="AE47" s="39" t="str">
        <f aca="false">LEFT(TEXT(B47, "YYYY-MM-DD"), 4)</f>
        <v>2011</v>
      </c>
      <c r="AF47" s="39" t="str">
        <f aca="false">RIGHT(TEXT(B47, "YYYY-MM-DD"), 2)</f>
        <v>02</v>
      </c>
    </row>
    <row r="48" customFormat="false" ht="15" hidden="false" customHeight="false" outlineLevel="0" collapsed="false">
      <c r="A48" s="43" t="n">
        <v>44</v>
      </c>
      <c r="B48" s="44" t="s">
        <v>78</v>
      </c>
      <c r="C48" s="43" t="n">
        <v>1</v>
      </c>
      <c r="D48" s="33" t="str">
        <f aca="false">VLOOKUP(C48, Lookups_Metadata!$A$4:$B$7, 2, FALSE())</f>
        <v>Spring</v>
      </c>
      <c r="E48" s="43" t="n">
        <v>0</v>
      </c>
      <c r="F48" s="43" t="n">
        <v>1</v>
      </c>
      <c r="G48" s="43" t="n">
        <v>20</v>
      </c>
      <c r="H48" s="45" t="b">
        <f aca="false">FALSE()</f>
        <v>0</v>
      </c>
      <c r="I48" s="43" t="n">
        <v>0</v>
      </c>
      <c r="J48" s="33" t="str">
        <f aca="false">INDEX(Lookups_Metadata!$E$4:$E$10, MATCH(I48, Lookups_Metadata!$D$4:$D$10, 0))</f>
        <v>Sunday</v>
      </c>
      <c r="K48" s="33" t="str">
        <f aca="false">IF(H48=TRUE(), "Holiday", IF(OR(I48=0, I48=6), "Weekend", "Weekday"))</f>
        <v>Weekend</v>
      </c>
      <c r="L48" s="33" t="str">
        <f aca="false">IF(AND(K48="Weekday", OR(AND(G48&gt;=7, G48&lt;=9), AND(G48&gt;=17, G48&lt;=19))), "Peak Commute", "Off-Peak")</f>
        <v>Off-Peak</v>
      </c>
      <c r="M48" s="43" t="n">
        <v>1</v>
      </c>
      <c r="N48" s="33" t="str">
        <f aca="false">VLOOKUP(M48, Lookups_Metadata!$G$4:$H$7, 2, FALSE())</f>
        <v>Clear / Few Clouds</v>
      </c>
      <c r="O48" s="46" t="n">
        <v>0.3</v>
      </c>
      <c r="P48" s="46"/>
      <c r="Q48" s="46" t="n">
        <f aca="false">IF(OR(P48="", ISBLANK(P48)), ROUND(0.9367*O48+0.0175, 4), P48)</f>
        <v>0.2985</v>
      </c>
      <c r="R48" s="33" t="str">
        <f aca="false">IF(OR(P48="", ISBLANK(P48)), "Imputed (Regression/Trend)", "Original")</f>
        <v>Imputed (Regression/Trend)</v>
      </c>
      <c r="S48" s="46" t="n">
        <v>0.39</v>
      </c>
      <c r="T48" s="46" t="n">
        <v>0.3582</v>
      </c>
      <c r="U48" s="18" t="n">
        <v>5</v>
      </c>
      <c r="V48" s="18" t="n">
        <v>17</v>
      </c>
      <c r="W48" s="18" t="n">
        <f aca="false">U48+V48</f>
        <v>22</v>
      </c>
      <c r="X48" s="47" t="n">
        <f aca="false">U48/W48</f>
        <v>0.227272727272727</v>
      </c>
      <c r="Y48" s="47" t="n">
        <f aca="false">V48/W48</f>
        <v>0.772727272727273</v>
      </c>
      <c r="Z48" s="33" t="str">
        <f aca="false">IF(W48&gt;=150, "High Demand", IF(W48&gt;=50, "Moderate Demand", "Low Demand"))</f>
        <v>Low Demand</v>
      </c>
      <c r="AA48" s="45" t="str">
        <f aca="false">TEXT(G48, "00") &amp; ":00"</f>
        <v>20:00</v>
      </c>
      <c r="AB48" s="43" t="n">
        <f aca="false">YEAR(B48)</f>
        <v>2011</v>
      </c>
      <c r="AC48" s="33" t="str">
        <f aca="false">TEXT(B48, "mmmm")</f>
        <v>January</v>
      </c>
      <c r="AD48" s="43" t="n">
        <f aca="false">LEN(TEXT(B48, "YYYY-MM-DD"))</f>
        <v>10</v>
      </c>
      <c r="AE48" s="45" t="str">
        <f aca="false">LEFT(TEXT(B48, "YYYY-MM-DD"), 4)</f>
        <v>2011</v>
      </c>
      <c r="AF48" s="45" t="str">
        <f aca="false">RIGHT(TEXT(B48, "YYYY-MM-DD"), 2)</f>
        <v>02</v>
      </c>
    </row>
    <row r="49" customFormat="false" ht="15" hidden="false" customHeight="false" outlineLevel="0" collapsed="false">
      <c r="A49" s="37" t="n">
        <v>45</v>
      </c>
      <c r="B49" s="38" t="s">
        <v>78</v>
      </c>
      <c r="C49" s="37" t="n">
        <v>1</v>
      </c>
      <c r="D49" s="35" t="str">
        <f aca="false">VLOOKUP(C49, Lookups_Metadata!$A$4:$B$7, 2, FALSE())</f>
        <v>Spring</v>
      </c>
      <c r="E49" s="37" t="n">
        <v>0</v>
      </c>
      <c r="F49" s="37" t="n">
        <v>1</v>
      </c>
      <c r="G49" s="37" t="n">
        <v>21</v>
      </c>
      <c r="H49" s="39" t="b">
        <f aca="false">FALSE()</f>
        <v>0</v>
      </c>
      <c r="I49" s="37" t="n">
        <v>0</v>
      </c>
      <c r="J49" s="35" t="str">
        <f aca="false">INDEX(Lookups_Metadata!$E$4:$E$10, MATCH(I49, Lookups_Metadata!$D$4:$D$10, 0))</f>
        <v>Sunday</v>
      </c>
      <c r="K49" s="35" t="str">
        <f aca="false">IF(H49=TRUE(), "Holiday", IF(OR(I49=0, I49=6), "Weekend", "Weekday"))</f>
        <v>Weekend</v>
      </c>
      <c r="L49" s="35" t="str">
        <f aca="false">IF(AND(K49="Weekday", OR(AND(G49&gt;=7, G49&lt;=9), AND(G49&gt;=17, G49&lt;=19))), "Peak Commute", "Off-Peak")</f>
        <v>Off-Peak</v>
      </c>
      <c r="M49" s="37" t="n">
        <v>1</v>
      </c>
      <c r="N49" s="35" t="str">
        <f aca="false">VLOOKUP(M49, Lookups_Metadata!$G$4:$H$7, 2, FALSE())</f>
        <v>Clear / Few Clouds</v>
      </c>
      <c r="O49" s="40" t="n">
        <v>0.26</v>
      </c>
      <c r="P49" s="40" t="n">
        <v>0.2273</v>
      </c>
      <c r="Q49" s="40" t="n">
        <f aca="false">IF(OR(P49="", ISBLANK(P49)), ROUND(0.9367*O49+0.0175, 4), P49)</f>
        <v>0.2273</v>
      </c>
      <c r="R49" s="35" t="str">
        <f aca="false">IF(OR(P49="", ISBLANK(P49)), "Imputed (Regression/Trend)", "Original")</f>
        <v>Original</v>
      </c>
      <c r="S49" s="40" t="n">
        <v>0.44</v>
      </c>
      <c r="T49" s="40" t="n">
        <v>0.3284</v>
      </c>
      <c r="U49" s="41" t="n">
        <v>11</v>
      </c>
      <c r="V49" s="41" t="n">
        <v>20</v>
      </c>
      <c r="W49" s="41" t="n">
        <f aca="false">U49+V49</f>
        <v>31</v>
      </c>
      <c r="X49" s="42" t="n">
        <f aca="false">U49/W49</f>
        <v>0.354838709677419</v>
      </c>
      <c r="Y49" s="42" t="n">
        <f aca="false">V49/W49</f>
        <v>0.645161290322581</v>
      </c>
      <c r="Z49" s="35" t="str">
        <f aca="false">IF(W49&gt;=150, "High Demand", IF(W49&gt;=50, "Moderate Demand", "Low Demand"))</f>
        <v>Low Demand</v>
      </c>
      <c r="AA49" s="39" t="str">
        <f aca="false">TEXT(G49, "00") &amp; ":00"</f>
        <v>21:00</v>
      </c>
      <c r="AB49" s="37" t="n">
        <f aca="false">YEAR(B49)</f>
        <v>2011</v>
      </c>
      <c r="AC49" s="35" t="str">
        <f aca="false">TEXT(B49, "mmmm")</f>
        <v>January</v>
      </c>
      <c r="AD49" s="37" t="n">
        <f aca="false">LEN(TEXT(B49, "YYYY-MM-DD"))</f>
        <v>10</v>
      </c>
      <c r="AE49" s="39" t="str">
        <f aca="false">LEFT(TEXT(B49, "YYYY-MM-DD"), 4)</f>
        <v>2011</v>
      </c>
      <c r="AF49" s="39" t="str">
        <f aca="false">RIGHT(TEXT(B49, "YYYY-MM-DD"), 2)</f>
        <v>02</v>
      </c>
    </row>
    <row r="50" customFormat="false" ht="15" hidden="false" customHeight="false" outlineLevel="0" collapsed="false">
      <c r="A50" s="43" t="n">
        <v>46</v>
      </c>
      <c r="B50" s="44" t="s">
        <v>78</v>
      </c>
      <c r="C50" s="43" t="n">
        <v>1</v>
      </c>
      <c r="D50" s="33" t="str">
        <f aca="false">VLOOKUP(C50, Lookups_Metadata!$A$4:$B$7, 2, FALSE())</f>
        <v>Spring</v>
      </c>
      <c r="E50" s="43" t="n">
        <v>0</v>
      </c>
      <c r="F50" s="43" t="n">
        <v>1</v>
      </c>
      <c r="G50" s="43" t="n">
        <v>22</v>
      </c>
      <c r="H50" s="45" t="b">
        <f aca="false">FALSE()</f>
        <v>0</v>
      </c>
      <c r="I50" s="43" t="n">
        <v>0</v>
      </c>
      <c r="J50" s="33" t="str">
        <f aca="false">INDEX(Lookups_Metadata!$E$4:$E$10, MATCH(I50, Lookups_Metadata!$D$4:$D$10, 0))</f>
        <v>Sunday</v>
      </c>
      <c r="K50" s="33" t="str">
        <f aca="false">IF(H50=TRUE(), "Holiday", IF(OR(I50=0, I50=6), "Weekend", "Weekday"))</f>
        <v>Weekend</v>
      </c>
      <c r="L50" s="33" t="str">
        <f aca="false">IF(AND(K50="Weekday", OR(AND(G50&gt;=7, G50&lt;=9), AND(G50&gt;=17, G50&lt;=19))), "Peak Commute", "Off-Peak")</f>
        <v>Off-Peak</v>
      </c>
      <c r="M50" s="43" t="n">
        <v>1</v>
      </c>
      <c r="N50" s="33" t="str">
        <f aca="false">VLOOKUP(M50, Lookups_Metadata!$G$4:$H$7, 2, FALSE())</f>
        <v>Clear / Few Clouds</v>
      </c>
      <c r="O50" s="46" t="n">
        <v>0.24</v>
      </c>
      <c r="P50" s="46" t="n">
        <v>0.2121</v>
      </c>
      <c r="Q50" s="46" t="n">
        <f aca="false">IF(OR(P50="", ISBLANK(P50)), ROUND(0.9367*O50+0.0175, 4), P50)</f>
        <v>0.2121</v>
      </c>
      <c r="R50" s="33" t="str">
        <f aca="false">IF(OR(P50="", ISBLANK(P50)), "Imputed (Regression/Trend)", "Original")</f>
        <v>Original</v>
      </c>
      <c r="S50" s="46" t="n">
        <v>0.44</v>
      </c>
      <c r="T50" s="46" t="n">
        <v>0.2985</v>
      </c>
      <c r="U50" s="18" t="n">
        <v>0</v>
      </c>
      <c r="V50" s="18" t="n">
        <v>9</v>
      </c>
      <c r="W50" s="18" t="n">
        <f aca="false">U50+V50</f>
        <v>9</v>
      </c>
      <c r="X50" s="47" t="n">
        <f aca="false">U50/W50</f>
        <v>0</v>
      </c>
      <c r="Y50" s="47" t="n">
        <f aca="false">V50/W50</f>
        <v>1</v>
      </c>
      <c r="Z50" s="33" t="str">
        <f aca="false">IF(W50&gt;=150, "High Demand", IF(W50&gt;=50, "Moderate Demand", "Low Demand"))</f>
        <v>Low Demand</v>
      </c>
      <c r="AA50" s="45" t="str">
        <f aca="false">TEXT(G50, "00") &amp; ":00"</f>
        <v>22:00</v>
      </c>
      <c r="AB50" s="43" t="n">
        <f aca="false">YEAR(B50)</f>
        <v>2011</v>
      </c>
      <c r="AC50" s="33" t="str">
        <f aca="false">TEXT(B50, "mmmm")</f>
        <v>January</v>
      </c>
      <c r="AD50" s="43" t="n">
        <f aca="false">LEN(TEXT(B50, "YYYY-MM-DD"))</f>
        <v>10</v>
      </c>
      <c r="AE50" s="45" t="str">
        <f aca="false">LEFT(TEXT(B50, "YYYY-MM-DD"), 4)</f>
        <v>2011</v>
      </c>
      <c r="AF50" s="45" t="str">
        <f aca="false">RIGHT(TEXT(B50, "YYYY-MM-DD"), 2)</f>
        <v>02</v>
      </c>
    </row>
    <row r="51" customFormat="false" ht="15" hidden="false" customHeight="false" outlineLevel="0" collapsed="false">
      <c r="A51" s="37" t="n">
        <v>47</v>
      </c>
      <c r="B51" s="38" t="s">
        <v>78</v>
      </c>
      <c r="C51" s="37" t="n">
        <v>1</v>
      </c>
      <c r="D51" s="35" t="str">
        <f aca="false">VLOOKUP(C51, Lookups_Metadata!$A$4:$B$7, 2, FALSE())</f>
        <v>Spring</v>
      </c>
      <c r="E51" s="37" t="n">
        <v>0</v>
      </c>
      <c r="F51" s="37" t="n">
        <v>1</v>
      </c>
      <c r="G51" s="37" t="n">
        <v>23</v>
      </c>
      <c r="H51" s="39" t="b">
        <f aca="false">FALSE()</f>
        <v>0</v>
      </c>
      <c r="I51" s="37" t="n">
        <v>0</v>
      </c>
      <c r="J51" s="35" t="str">
        <f aca="false">INDEX(Lookups_Metadata!$E$4:$E$10, MATCH(I51, Lookups_Metadata!$D$4:$D$10, 0))</f>
        <v>Sunday</v>
      </c>
      <c r="K51" s="35" t="str">
        <f aca="false">IF(H51=TRUE(), "Holiday", IF(OR(I51=0, I51=6), "Weekend", "Weekday"))</f>
        <v>Weekend</v>
      </c>
      <c r="L51" s="35" t="str">
        <f aca="false">IF(AND(K51="Weekday", OR(AND(G51&gt;=7, G51&lt;=9), AND(G51&gt;=17, G51&lt;=19))), "Peak Commute", "Off-Peak")</f>
        <v>Off-Peak</v>
      </c>
      <c r="M51" s="37" t="n">
        <v>1</v>
      </c>
      <c r="N51" s="35" t="str">
        <f aca="false">VLOOKUP(M51, Lookups_Metadata!$G$4:$H$7, 2, FALSE())</f>
        <v>Clear / Few Clouds</v>
      </c>
      <c r="O51" s="40" t="n">
        <v>0.22</v>
      </c>
      <c r="P51" s="40" t="n">
        <v>0.2273</v>
      </c>
      <c r="Q51" s="40" t="n">
        <f aca="false">IF(OR(P51="", ISBLANK(P51)), ROUND(0.9367*O51+0.0175, 4), P51)</f>
        <v>0.2273</v>
      </c>
      <c r="R51" s="35" t="str">
        <f aca="false">IF(OR(P51="", ISBLANK(P51)), "Imputed (Regression/Trend)", "Original")</f>
        <v>Original</v>
      </c>
      <c r="S51" s="40" t="n">
        <v>0.47</v>
      </c>
      <c r="T51" s="40" t="n">
        <v>0.1642</v>
      </c>
      <c r="U51" s="41" t="n">
        <v>0</v>
      </c>
      <c r="V51" s="41" t="n">
        <v>8</v>
      </c>
      <c r="W51" s="41" t="n">
        <f aca="false">U51+V51</f>
        <v>8</v>
      </c>
      <c r="X51" s="42" t="n">
        <f aca="false">U51/W51</f>
        <v>0</v>
      </c>
      <c r="Y51" s="42" t="n">
        <f aca="false">V51/W51</f>
        <v>1</v>
      </c>
      <c r="Z51" s="35" t="str">
        <f aca="false">IF(W51&gt;=150, "High Demand", IF(W51&gt;=50, "Moderate Demand", "Low Demand"))</f>
        <v>Low Demand</v>
      </c>
      <c r="AA51" s="39" t="str">
        <f aca="false">TEXT(G51, "00") &amp; ":00"</f>
        <v>23:00</v>
      </c>
      <c r="AB51" s="37" t="n">
        <f aca="false">YEAR(B51)</f>
        <v>2011</v>
      </c>
      <c r="AC51" s="35" t="str">
        <f aca="false">TEXT(B51, "mmmm")</f>
        <v>January</v>
      </c>
      <c r="AD51" s="37" t="n">
        <f aca="false">LEN(TEXT(B51, "YYYY-MM-DD"))</f>
        <v>10</v>
      </c>
      <c r="AE51" s="39" t="str">
        <f aca="false">LEFT(TEXT(B51, "YYYY-MM-DD"), 4)</f>
        <v>2011</v>
      </c>
      <c r="AF51" s="39" t="str">
        <f aca="false">RIGHT(TEXT(B51, "YYYY-MM-DD"), 2)</f>
        <v>02</v>
      </c>
    </row>
    <row r="52" customFormat="false" ht="15" hidden="false" customHeight="false" outlineLevel="0" collapsed="false">
      <c r="A52" s="43" t="n">
        <v>48</v>
      </c>
      <c r="B52" s="44" t="s">
        <v>79</v>
      </c>
      <c r="C52" s="43" t="n">
        <v>1</v>
      </c>
      <c r="D52" s="33" t="str">
        <f aca="false">VLOOKUP(C52, Lookups_Metadata!$A$4:$B$7, 2, FALSE())</f>
        <v>Spring</v>
      </c>
      <c r="E52" s="43" t="n">
        <v>0</v>
      </c>
      <c r="F52" s="43" t="n">
        <v>1</v>
      </c>
      <c r="G52" s="43" t="n">
        <v>0</v>
      </c>
      <c r="H52" s="45" t="b">
        <f aca="false">FALSE()</f>
        <v>0</v>
      </c>
      <c r="I52" s="43" t="n">
        <v>1</v>
      </c>
      <c r="J52" s="33" t="str">
        <f aca="false">INDEX(Lookups_Metadata!$E$4:$E$10, MATCH(I52, Lookups_Metadata!$D$4:$D$10, 0))</f>
        <v>Monday</v>
      </c>
      <c r="K52" s="33" t="str">
        <f aca="false">IF(H52=TRUE(), "Holiday", IF(OR(I52=0, I52=6), "Weekend", "Weekday"))</f>
        <v>Weekday</v>
      </c>
      <c r="L52" s="33" t="str">
        <f aca="false">IF(AND(K52="Weekday", OR(AND(G52&gt;=7, G52&lt;=9), AND(G52&gt;=17, G52&lt;=19))), "Peak Commute", "Off-Peak")</f>
        <v>Off-Peak</v>
      </c>
      <c r="M52" s="43" t="n">
        <v>1</v>
      </c>
      <c r="N52" s="33" t="str">
        <f aca="false">VLOOKUP(M52, Lookups_Metadata!$G$4:$H$7, 2, FALSE())</f>
        <v>Clear / Few Clouds</v>
      </c>
      <c r="O52" s="46" t="n">
        <v>0.22</v>
      </c>
      <c r="P52" s="46" t="n">
        <v>0.197</v>
      </c>
      <c r="Q52" s="46" t="n">
        <f aca="false">IF(OR(P52="", ISBLANK(P52)), ROUND(0.9367*O52+0.0175, 4), P52)</f>
        <v>0.197</v>
      </c>
      <c r="R52" s="33" t="str">
        <f aca="false">IF(OR(P52="", ISBLANK(P52)), "Imputed (Regression/Trend)", "Original")</f>
        <v>Original</v>
      </c>
      <c r="S52" s="46" t="n">
        <v>0.44</v>
      </c>
      <c r="T52" s="46" t="n">
        <v>0.3582</v>
      </c>
      <c r="U52" s="18" t="n">
        <v>0</v>
      </c>
      <c r="V52" s="18" t="n">
        <v>5</v>
      </c>
      <c r="W52" s="18" t="n">
        <f aca="false">U52+V52</f>
        <v>5</v>
      </c>
      <c r="X52" s="47" t="n">
        <f aca="false">U52/W52</f>
        <v>0</v>
      </c>
      <c r="Y52" s="47" t="n">
        <f aca="false">V52/W52</f>
        <v>1</v>
      </c>
      <c r="Z52" s="33" t="str">
        <f aca="false">IF(W52&gt;=150, "High Demand", IF(W52&gt;=50, "Moderate Demand", "Low Demand"))</f>
        <v>Low Demand</v>
      </c>
      <c r="AA52" s="45" t="str">
        <f aca="false">TEXT(G52, "00") &amp; ":00"</f>
        <v>00:00</v>
      </c>
      <c r="AB52" s="43" t="n">
        <f aca="false">YEAR(B52)</f>
        <v>2011</v>
      </c>
      <c r="AC52" s="33" t="str">
        <f aca="false">TEXT(B52, "mmmm")</f>
        <v>January</v>
      </c>
      <c r="AD52" s="43" t="n">
        <f aca="false">LEN(TEXT(B52, "YYYY-MM-DD"))</f>
        <v>10</v>
      </c>
      <c r="AE52" s="45" t="str">
        <f aca="false">LEFT(TEXT(B52, "YYYY-MM-DD"), 4)</f>
        <v>2011</v>
      </c>
      <c r="AF52" s="45" t="str">
        <f aca="false">RIGHT(TEXT(B52, "YYYY-MM-DD"), 2)</f>
        <v>03</v>
      </c>
    </row>
    <row r="53" customFormat="false" ht="15" hidden="false" customHeight="false" outlineLevel="0" collapsed="false">
      <c r="A53" s="37" t="n">
        <v>49</v>
      </c>
      <c r="B53" s="38" t="s">
        <v>79</v>
      </c>
      <c r="C53" s="37" t="n">
        <v>1</v>
      </c>
      <c r="D53" s="35" t="str">
        <f aca="false">VLOOKUP(C53, Lookups_Metadata!$A$4:$B$7, 2, FALSE())</f>
        <v>Spring</v>
      </c>
      <c r="E53" s="37" t="n">
        <v>0</v>
      </c>
      <c r="F53" s="37" t="n">
        <v>1</v>
      </c>
      <c r="G53" s="37" t="n">
        <v>1</v>
      </c>
      <c r="H53" s="39" t="b">
        <f aca="false">FALSE()</f>
        <v>0</v>
      </c>
      <c r="I53" s="37" t="n">
        <v>1</v>
      </c>
      <c r="J53" s="35" t="str">
        <f aca="false">INDEX(Lookups_Metadata!$E$4:$E$10, MATCH(I53, Lookups_Metadata!$D$4:$D$10, 0))</f>
        <v>Monday</v>
      </c>
      <c r="K53" s="35" t="str">
        <f aca="false">IF(H53=TRUE(), "Holiday", IF(OR(I53=0, I53=6), "Weekend", "Weekday"))</f>
        <v>Weekday</v>
      </c>
      <c r="L53" s="35" t="str">
        <f aca="false">IF(AND(K53="Weekday", OR(AND(G53&gt;=7, G53&lt;=9), AND(G53&gt;=17, G53&lt;=19))), "Peak Commute", "Off-Peak")</f>
        <v>Off-Peak</v>
      </c>
      <c r="M53" s="37" t="n">
        <v>1</v>
      </c>
      <c r="N53" s="35" t="str">
        <f aca="false">VLOOKUP(M53, Lookups_Metadata!$G$4:$H$7, 2, FALSE())</f>
        <v>Clear / Few Clouds</v>
      </c>
      <c r="O53" s="40" t="n">
        <v>0.2</v>
      </c>
      <c r="P53" s="40"/>
      <c r="Q53" s="40" t="n">
        <f aca="false">IF(OR(P53="", ISBLANK(P53)), ROUND(0.9367*O53+0.0175, 4), P53)</f>
        <v>0.2048</v>
      </c>
      <c r="R53" s="35" t="str">
        <f aca="false">IF(OR(P53="", ISBLANK(P53)), "Imputed (Regression/Trend)", "Original")</f>
        <v>Imputed (Regression/Trend)</v>
      </c>
      <c r="S53" s="40" t="n">
        <v>0.44</v>
      </c>
      <c r="T53" s="40" t="n">
        <v>0.4179</v>
      </c>
      <c r="U53" s="41" t="n">
        <v>0</v>
      </c>
      <c r="V53" s="41" t="n">
        <v>2</v>
      </c>
      <c r="W53" s="41" t="n">
        <f aca="false">U53+V53</f>
        <v>2</v>
      </c>
      <c r="X53" s="42" t="n">
        <f aca="false">U53/W53</f>
        <v>0</v>
      </c>
      <c r="Y53" s="42" t="n">
        <f aca="false">V53/W53</f>
        <v>1</v>
      </c>
      <c r="Z53" s="35" t="str">
        <f aca="false">IF(W53&gt;=150, "High Demand", IF(W53&gt;=50, "Moderate Demand", "Low Demand"))</f>
        <v>Low Demand</v>
      </c>
      <c r="AA53" s="39" t="str">
        <f aca="false">TEXT(G53, "00") &amp; ":00"</f>
        <v>01:00</v>
      </c>
      <c r="AB53" s="37" t="n">
        <f aca="false">YEAR(B53)</f>
        <v>2011</v>
      </c>
      <c r="AC53" s="35" t="str">
        <f aca="false">TEXT(B53, "mmmm")</f>
        <v>January</v>
      </c>
      <c r="AD53" s="37" t="n">
        <f aca="false">LEN(TEXT(B53, "YYYY-MM-DD"))</f>
        <v>10</v>
      </c>
      <c r="AE53" s="39" t="str">
        <f aca="false">LEFT(TEXT(B53, "YYYY-MM-DD"), 4)</f>
        <v>2011</v>
      </c>
      <c r="AF53" s="39" t="str">
        <f aca="false">RIGHT(TEXT(B53, "YYYY-MM-DD"), 2)</f>
        <v>03</v>
      </c>
    </row>
    <row r="54" customFormat="false" ht="15" hidden="false" customHeight="false" outlineLevel="0" collapsed="false">
      <c r="A54" s="43" t="n">
        <v>50</v>
      </c>
      <c r="B54" s="44" t="s">
        <v>79</v>
      </c>
      <c r="C54" s="43" t="n">
        <v>1</v>
      </c>
      <c r="D54" s="33" t="str">
        <f aca="false">VLOOKUP(C54, Lookups_Metadata!$A$4:$B$7, 2, FALSE())</f>
        <v>Spring</v>
      </c>
      <c r="E54" s="43" t="n">
        <v>0</v>
      </c>
      <c r="F54" s="43" t="n">
        <v>1</v>
      </c>
      <c r="G54" s="43" t="n">
        <v>4</v>
      </c>
      <c r="H54" s="45" t="b">
        <f aca="false">FALSE()</f>
        <v>0</v>
      </c>
      <c r="I54" s="43" t="n">
        <v>1</v>
      </c>
      <c r="J54" s="33" t="str">
        <f aca="false">INDEX(Lookups_Metadata!$E$4:$E$10, MATCH(I54, Lookups_Metadata!$D$4:$D$10, 0))</f>
        <v>Monday</v>
      </c>
      <c r="K54" s="33" t="str">
        <f aca="false">IF(H54=TRUE(), "Holiday", IF(OR(I54=0, I54=6), "Weekend", "Weekday"))</f>
        <v>Weekday</v>
      </c>
      <c r="L54" s="33" t="str">
        <f aca="false">IF(AND(K54="Weekday", OR(AND(G54&gt;=7, G54&lt;=9), AND(G54&gt;=17, G54&lt;=19))), "Peak Commute", "Off-Peak")</f>
        <v>Off-Peak</v>
      </c>
      <c r="M54" s="43" t="n">
        <v>1</v>
      </c>
      <c r="N54" s="33" t="str">
        <f aca="false">VLOOKUP(M54, Lookups_Metadata!$G$4:$H$7, 2, FALSE())</f>
        <v>Clear / Few Clouds</v>
      </c>
      <c r="O54" s="46" t="n">
        <v>0.16</v>
      </c>
      <c r="P54" s="46" t="n">
        <v>0.1364</v>
      </c>
      <c r="Q54" s="46" t="n">
        <f aca="false">IF(OR(P54="", ISBLANK(P54)), ROUND(0.9367*O54+0.0175, 4), P54)</f>
        <v>0.1364</v>
      </c>
      <c r="R54" s="33" t="str">
        <f aca="false">IF(OR(P54="", ISBLANK(P54)), "Imputed (Regression/Trend)", "Original")</f>
        <v>Original</v>
      </c>
      <c r="S54" s="46" t="n">
        <v>0.47</v>
      </c>
      <c r="T54" s="46" t="n">
        <v>0.3881</v>
      </c>
      <c r="U54" s="18" t="n">
        <v>0</v>
      </c>
      <c r="V54" s="18" t="n">
        <v>1</v>
      </c>
      <c r="W54" s="18" t="n">
        <f aca="false">U54+V54</f>
        <v>1</v>
      </c>
      <c r="X54" s="47" t="n">
        <f aca="false">U54/W54</f>
        <v>0</v>
      </c>
      <c r="Y54" s="47" t="n">
        <f aca="false">V54/W54</f>
        <v>1</v>
      </c>
      <c r="Z54" s="33" t="str">
        <f aca="false">IF(W54&gt;=150, "High Demand", IF(W54&gt;=50, "Moderate Demand", "Low Demand"))</f>
        <v>Low Demand</v>
      </c>
      <c r="AA54" s="45" t="str">
        <f aca="false">TEXT(G54, "00") &amp; ":00"</f>
        <v>04:00</v>
      </c>
      <c r="AB54" s="43" t="n">
        <f aca="false">YEAR(B54)</f>
        <v>2011</v>
      </c>
      <c r="AC54" s="33" t="str">
        <f aca="false">TEXT(B54, "mmmm")</f>
        <v>January</v>
      </c>
      <c r="AD54" s="43" t="n">
        <f aca="false">LEN(TEXT(B54, "YYYY-MM-DD"))</f>
        <v>10</v>
      </c>
      <c r="AE54" s="45" t="str">
        <f aca="false">LEFT(TEXT(B54, "YYYY-MM-DD"), 4)</f>
        <v>2011</v>
      </c>
      <c r="AF54" s="45" t="str">
        <f aca="false">RIGHT(TEXT(B54, "YYYY-MM-DD"), 2)</f>
        <v>03</v>
      </c>
    </row>
    <row r="55" customFormat="false" ht="15" hidden="false" customHeight="false" outlineLevel="0" collapsed="false">
      <c r="A55" s="37" t="n">
        <v>51</v>
      </c>
      <c r="B55" s="38" t="s">
        <v>79</v>
      </c>
      <c r="C55" s="37" t="n">
        <v>1</v>
      </c>
      <c r="D55" s="35" t="str">
        <f aca="false">VLOOKUP(C55, Lookups_Metadata!$A$4:$B$7, 2, FALSE())</f>
        <v>Spring</v>
      </c>
      <c r="E55" s="37" t="n">
        <v>0</v>
      </c>
      <c r="F55" s="37" t="n">
        <v>1</v>
      </c>
      <c r="G55" s="37" t="n">
        <v>5</v>
      </c>
      <c r="H55" s="39" t="b">
        <f aca="false">FALSE()</f>
        <v>0</v>
      </c>
      <c r="I55" s="37" t="n">
        <v>1</v>
      </c>
      <c r="J55" s="35" t="str">
        <f aca="false">INDEX(Lookups_Metadata!$E$4:$E$10, MATCH(I55, Lookups_Metadata!$D$4:$D$10, 0))</f>
        <v>Monday</v>
      </c>
      <c r="K55" s="35" t="str">
        <f aca="false">IF(H55=TRUE(), "Holiday", IF(OR(I55=0, I55=6), "Weekend", "Weekday"))</f>
        <v>Weekday</v>
      </c>
      <c r="L55" s="35" t="str">
        <f aca="false">IF(AND(K55="Weekday", OR(AND(G55&gt;=7, G55&lt;=9), AND(G55&gt;=17, G55&lt;=19))), "Peak Commute", "Off-Peak")</f>
        <v>Off-Peak</v>
      </c>
      <c r="M55" s="37" t="n">
        <v>1</v>
      </c>
      <c r="N55" s="35" t="str">
        <f aca="false">VLOOKUP(M55, Lookups_Metadata!$G$4:$H$7, 2, FALSE())</f>
        <v>Clear / Few Clouds</v>
      </c>
      <c r="O55" s="40" t="n">
        <v>0.16</v>
      </c>
      <c r="P55" s="40" t="n">
        <v>0.1364</v>
      </c>
      <c r="Q55" s="40" t="n">
        <f aca="false">IF(OR(P55="", ISBLANK(P55)), ROUND(0.9367*O55+0.0175, 4), P55)</f>
        <v>0.1364</v>
      </c>
      <c r="R55" s="35" t="str">
        <f aca="false">IF(OR(P55="", ISBLANK(P55)), "Imputed (Regression/Trend)", "Original")</f>
        <v>Original</v>
      </c>
      <c r="S55" s="40" t="n">
        <v>0.47</v>
      </c>
      <c r="T55" s="40" t="n">
        <v>0.2836</v>
      </c>
      <c r="U55" s="41" t="n">
        <v>0</v>
      </c>
      <c r="V55" s="41" t="n">
        <v>3</v>
      </c>
      <c r="W55" s="41" t="n">
        <f aca="false">U55+V55</f>
        <v>3</v>
      </c>
      <c r="X55" s="42" t="n">
        <f aca="false">U55/W55</f>
        <v>0</v>
      </c>
      <c r="Y55" s="42" t="n">
        <f aca="false">V55/W55</f>
        <v>1</v>
      </c>
      <c r="Z55" s="35" t="str">
        <f aca="false">IF(W55&gt;=150, "High Demand", IF(W55&gt;=50, "Moderate Demand", "Low Demand"))</f>
        <v>Low Demand</v>
      </c>
      <c r="AA55" s="39" t="str">
        <f aca="false">TEXT(G55, "00") &amp; ":00"</f>
        <v>05:00</v>
      </c>
      <c r="AB55" s="37" t="n">
        <f aca="false">YEAR(B55)</f>
        <v>2011</v>
      </c>
      <c r="AC55" s="35" t="str">
        <f aca="false">TEXT(B55, "mmmm")</f>
        <v>January</v>
      </c>
      <c r="AD55" s="37" t="n">
        <f aca="false">LEN(TEXT(B55, "YYYY-MM-DD"))</f>
        <v>10</v>
      </c>
      <c r="AE55" s="39" t="str">
        <f aca="false">LEFT(TEXT(B55, "YYYY-MM-DD"), 4)</f>
        <v>2011</v>
      </c>
      <c r="AF55" s="39" t="str">
        <f aca="false">RIGHT(TEXT(B55, "YYYY-MM-DD"), 2)</f>
        <v>03</v>
      </c>
    </row>
    <row r="56" customFormat="false" ht="15" hidden="false" customHeight="false" outlineLevel="0" collapsed="false">
      <c r="A56" s="43" t="n">
        <v>52</v>
      </c>
      <c r="B56" s="44" t="s">
        <v>79</v>
      </c>
      <c r="C56" s="43" t="n">
        <v>1</v>
      </c>
      <c r="D56" s="33" t="str">
        <f aca="false">VLOOKUP(C56, Lookups_Metadata!$A$4:$B$7, 2, FALSE())</f>
        <v>Spring</v>
      </c>
      <c r="E56" s="43" t="n">
        <v>0</v>
      </c>
      <c r="F56" s="43" t="n">
        <v>1</v>
      </c>
      <c r="G56" s="43" t="n">
        <v>6</v>
      </c>
      <c r="H56" s="45" t="b">
        <f aca="false">FALSE()</f>
        <v>0</v>
      </c>
      <c r="I56" s="43" t="n">
        <v>1</v>
      </c>
      <c r="J56" s="33" t="str">
        <f aca="false">INDEX(Lookups_Metadata!$E$4:$E$10, MATCH(I56, Lookups_Metadata!$D$4:$D$10, 0))</f>
        <v>Monday</v>
      </c>
      <c r="K56" s="33" t="str">
        <f aca="false">IF(H56=TRUE(), "Holiday", IF(OR(I56=0, I56=6), "Weekend", "Weekday"))</f>
        <v>Weekday</v>
      </c>
      <c r="L56" s="33" t="str">
        <f aca="false">IF(AND(K56="Weekday", OR(AND(G56&gt;=7, G56&lt;=9), AND(G56&gt;=17, G56&lt;=19))), "Peak Commute", "Off-Peak")</f>
        <v>Off-Peak</v>
      </c>
      <c r="M56" s="43" t="n">
        <v>1</v>
      </c>
      <c r="N56" s="33" t="str">
        <f aca="false">VLOOKUP(M56, Lookups_Metadata!$G$4:$H$7, 2, FALSE())</f>
        <v>Clear / Few Clouds</v>
      </c>
      <c r="O56" s="46" t="n">
        <v>0.14</v>
      </c>
      <c r="P56" s="46" t="n">
        <v>0.1061</v>
      </c>
      <c r="Q56" s="46" t="n">
        <f aca="false">IF(OR(P56="", ISBLANK(P56)), ROUND(0.9367*O56+0.0175, 4), P56)</f>
        <v>0.1061</v>
      </c>
      <c r="R56" s="33" t="str">
        <f aca="false">IF(OR(P56="", ISBLANK(P56)), "Imputed (Regression/Trend)", "Original")</f>
        <v>Original</v>
      </c>
      <c r="S56" s="46" t="n">
        <v>0.5</v>
      </c>
      <c r="T56" s="46" t="n">
        <v>0.3881</v>
      </c>
      <c r="U56" s="18" t="n">
        <v>0</v>
      </c>
      <c r="V56" s="18" t="n">
        <v>30</v>
      </c>
      <c r="W56" s="18" t="n">
        <f aca="false">U56+V56</f>
        <v>30</v>
      </c>
      <c r="X56" s="47" t="n">
        <f aca="false">U56/W56</f>
        <v>0</v>
      </c>
      <c r="Y56" s="47" t="n">
        <f aca="false">V56/W56</f>
        <v>1</v>
      </c>
      <c r="Z56" s="33" t="str">
        <f aca="false">IF(W56&gt;=150, "High Demand", IF(W56&gt;=50, "Moderate Demand", "Low Demand"))</f>
        <v>Low Demand</v>
      </c>
      <c r="AA56" s="45" t="str">
        <f aca="false">TEXT(G56, "00") &amp; ":00"</f>
        <v>06:00</v>
      </c>
      <c r="AB56" s="43" t="n">
        <f aca="false">YEAR(B56)</f>
        <v>2011</v>
      </c>
      <c r="AC56" s="33" t="str">
        <f aca="false">TEXT(B56, "mmmm")</f>
        <v>January</v>
      </c>
      <c r="AD56" s="43" t="n">
        <f aca="false">LEN(TEXT(B56, "YYYY-MM-DD"))</f>
        <v>10</v>
      </c>
      <c r="AE56" s="45" t="str">
        <f aca="false">LEFT(TEXT(B56, "YYYY-MM-DD"), 4)</f>
        <v>2011</v>
      </c>
      <c r="AF56" s="45" t="str">
        <f aca="false">RIGHT(TEXT(B56, "YYYY-MM-DD"), 2)</f>
        <v>03</v>
      </c>
    </row>
    <row r="57" customFormat="false" ht="15" hidden="false" customHeight="false" outlineLevel="0" collapsed="false">
      <c r="A57" s="37" t="n">
        <v>53</v>
      </c>
      <c r="B57" s="38" t="s">
        <v>79</v>
      </c>
      <c r="C57" s="37" t="n">
        <v>1</v>
      </c>
      <c r="D57" s="35" t="str">
        <f aca="false">VLOOKUP(C57, Lookups_Metadata!$A$4:$B$7, 2, FALSE())</f>
        <v>Spring</v>
      </c>
      <c r="E57" s="37" t="n">
        <v>0</v>
      </c>
      <c r="F57" s="37" t="n">
        <v>1</v>
      </c>
      <c r="G57" s="37" t="n">
        <v>7</v>
      </c>
      <c r="H57" s="39" t="b">
        <f aca="false">FALSE()</f>
        <v>0</v>
      </c>
      <c r="I57" s="37" t="n">
        <v>1</v>
      </c>
      <c r="J57" s="35" t="str">
        <f aca="false">INDEX(Lookups_Metadata!$E$4:$E$10, MATCH(I57, Lookups_Metadata!$D$4:$D$10, 0))</f>
        <v>Monday</v>
      </c>
      <c r="K57" s="35" t="str">
        <f aca="false">IF(H57=TRUE(), "Holiday", IF(OR(I57=0, I57=6), "Weekend", "Weekday"))</f>
        <v>Weekday</v>
      </c>
      <c r="L57" s="35" t="str">
        <f aca="false">IF(AND(K57="Weekday", OR(AND(G57&gt;=7, G57&lt;=9), AND(G57&gt;=17, G57&lt;=19))), "Peak Commute", "Off-Peak")</f>
        <v>Peak Commute</v>
      </c>
      <c r="M57" s="37" t="n">
        <v>1</v>
      </c>
      <c r="N57" s="35" t="str">
        <f aca="false">VLOOKUP(M57, Lookups_Metadata!$G$4:$H$7, 2, FALSE())</f>
        <v>Clear / Few Clouds</v>
      </c>
      <c r="O57" s="40" t="n">
        <v>0.14</v>
      </c>
      <c r="P57" s="40" t="n">
        <v>0.1364</v>
      </c>
      <c r="Q57" s="40" t="n">
        <f aca="false">IF(OR(P57="", ISBLANK(P57)), ROUND(0.9367*O57+0.0175, 4), P57)</f>
        <v>0.1364</v>
      </c>
      <c r="R57" s="35" t="str">
        <f aca="false">IF(OR(P57="", ISBLANK(P57)), "Imputed (Regression/Trend)", "Original")</f>
        <v>Original</v>
      </c>
      <c r="S57" s="40" t="n">
        <v>0.5</v>
      </c>
      <c r="T57" s="40" t="n">
        <v>0.194</v>
      </c>
      <c r="U57" s="41" t="n">
        <v>1</v>
      </c>
      <c r="V57" s="41" t="n">
        <v>63</v>
      </c>
      <c r="W57" s="41" t="n">
        <f aca="false">U57+V57</f>
        <v>64</v>
      </c>
      <c r="X57" s="42" t="n">
        <f aca="false">U57/W57</f>
        <v>0.015625</v>
      </c>
      <c r="Y57" s="42" t="n">
        <f aca="false">V57/W57</f>
        <v>0.984375</v>
      </c>
      <c r="Z57" s="35" t="str">
        <f aca="false">IF(W57&gt;=150, "High Demand", IF(W57&gt;=50, "Moderate Demand", "Low Demand"))</f>
        <v>Moderate Demand</v>
      </c>
      <c r="AA57" s="39" t="str">
        <f aca="false">TEXT(G57, "00") &amp; ":00"</f>
        <v>07:00</v>
      </c>
      <c r="AB57" s="37" t="n">
        <f aca="false">YEAR(B57)</f>
        <v>2011</v>
      </c>
      <c r="AC57" s="35" t="str">
        <f aca="false">TEXT(B57, "mmmm")</f>
        <v>January</v>
      </c>
      <c r="AD57" s="37" t="n">
        <f aca="false">LEN(TEXT(B57, "YYYY-MM-DD"))</f>
        <v>10</v>
      </c>
      <c r="AE57" s="39" t="str">
        <f aca="false">LEFT(TEXT(B57, "YYYY-MM-DD"), 4)</f>
        <v>2011</v>
      </c>
      <c r="AF57" s="39" t="str">
        <f aca="false">RIGHT(TEXT(B57, "YYYY-MM-DD"), 2)</f>
        <v>03</v>
      </c>
    </row>
    <row r="58" customFormat="false" ht="15" hidden="false" customHeight="false" outlineLevel="0" collapsed="false">
      <c r="A58" s="43" t="n">
        <v>54</v>
      </c>
      <c r="B58" s="44" t="s">
        <v>79</v>
      </c>
      <c r="C58" s="43" t="n">
        <v>1</v>
      </c>
      <c r="D58" s="33" t="str">
        <f aca="false">VLOOKUP(C58, Lookups_Metadata!$A$4:$B$7, 2, FALSE())</f>
        <v>Spring</v>
      </c>
      <c r="E58" s="43" t="n">
        <v>0</v>
      </c>
      <c r="F58" s="43" t="n">
        <v>1</v>
      </c>
      <c r="G58" s="43" t="n">
        <v>8</v>
      </c>
      <c r="H58" s="45" t="b">
        <f aca="false">FALSE()</f>
        <v>0</v>
      </c>
      <c r="I58" s="43" t="n">
        <v>1</v>
      </c>
      <c r="J58" s="33" t="str">
        <f aca="false">INDEX(Lookups_Metadata!$E$4:$E$10, MATCH(I58, Lookups_Metadata!$D$4:$D$10, 0))</f>
        <v>Monday</v>
      </c>
      <c r="K58" s="33" t="str">
        <f aca="false">IF(H58=TRUE(), "Holiday", IF(OR(I58=0, I58=6), "Weekend", "Weekday"))</f>
        <v>Weekday</v>
      </c>
      <c r="L58" s="33" t="str">
        <f aca="false">IF(AND(K58="Weekday", OR(AND(G58&gt;=7, G58&lt;=9), AND(G58&gt;=17, G58&lt;=19))), "Peak Commute", "Off-Peak")</f>
        <v>Peak Commute</v>
      </c>
      <c r="M58" s="43" t="n">
        <v>1</v>
      </c>
      <c r="N58" s="33" t="str">
        <f aca="false">VLOOKUP(M58, Lookups_Metadata!$G$4:$H$7, 2, FALSE())</f>
        <v>Clear / Few Clouds</v>
      </c>
      <c r="O58" s="46" t="n">
        <v>0.14</v>
      </c>
      <c r="P58" s="46" t="n">
        <v>0.1212</v>
      </c>
      <c r="Q58" s="46" t="n">
        <f aca="false">IF(OR(P58="", ISBLANK(P58)), ROUND(0.9367*O58+0.0175, 4), P58)</f>
        <v>0.1212</v>
      </c>
      <c r="R58" s="33" t="str">
        <f aca="false">IF(OR(P58="", ISBLANK(P58)), "Imputed (Regression/Trend)", "Original")</f>
        <v>Original</v>
      </c>
      <c r="S58" s="46" t="n">
        <v>0.5</v>
      </c>
      <c r="T58" s="46" t="n">
        <v>0.2836</v>
      </c>
      <c r="U58" s="18" t="n">
        <v>1</v>
      </c>
      <c r="V58" s="18" t="n">
        <v>153</v>
      </c>
      <c r="W58" s="18" t="n">
        <f aca="false">U58+V58</f>
        <v>154</v>
      </c>
      <c r="X58" s="47" t="n">
        <f aca="false">U58/W58</f>
        <v>0.00649350649350649</v>
      </c>
      <c r="Y58" s="47" t="n">
        <f aca="false">V58/W58</f>
        <v>0.993506493506494</v>
      </c>
      <c r="Z58" s="33" t="str">
        <f aca="false">IF(W58&gt;=150, "High Demand", IF(W58&gt;=50, "Moderate Demand", "Low Demand"))</f>
        <v>High Demand</v>
      </c>
      <c r="AA58" s="45" t="str">
        <f aca="false">TEXT(G58, "00") &amp; ":00"</f>
        <v>08:00</v>
      </c>
      <c r="AB58" s="43" t="n">
        <f aca="false">YEAR(B58)</f>
        <v>2011</v>
      </c>
      <c r="AC58" s="33" t="str">
        <f aca="false">TEXT(B58, "mmmm")</f>
        <v>January</v>
      </c>
      <c r="AD58" s="43" t="n">
        <f aca="false">LEN(TEXT(B58, "YYYY-MM-DD"))</f>
        <v>10</v>
      </c>
      <c r="AE58" s="45" t="str">
        <f aca="false">LEFT(TEXT(B58, "YYYY-MM-DD"), 4)</f>
        <v>2011</v>
      </c>
      <c r="AF58" s="45" t="str">
        <f aca="false">RIGHT(TEXT(B58, "YYYY-MM-DD"), 2)</f>
        <v>03</v>
      </c>
    </row>
    <row r="59" customFormat="false" ht="15" hidden="false" customHeight="false" outlineLevel="0" collapsed="false">
      <c r="A59" s="37" t="n">
        <v>55</v>
      </c>
      <c r="B59" s="38" t="s">
        <v>79</v>
      </c>
      <c r="C59" s="37" t="n">
        <v>1</v>
      </c>
      <c r="D59" s="35" t="str">
        <f aca="false">VLOOKUP(C59, Lookups_Metadata!$A$4:$B$7, 2, FALSE())</f>
        <v>Spring</v>
      </c>
      <c r="E59" s="37" t="n">
        <v>0</v>
      </c>
      <c r="F59" s="37" t="n">
        <v>1</v>
      </c>
      <c r="G59" s="37" t="n">
        <v>9</v>
      </c>
      <c r="H59" s="39" t="b">
        <f aca="false">FALSE()</f>
        <v>0</v>
      </c>
      <c r="I59" s="37" t="n">
        <v>1</v>
      </c>
      <c r="J59" s="35" t="str">
        <f aca="false">INDEX(Lookups_Metadata!$E$4:$E$10, MATCH(I59, Lookups_Metadata!$D$4:$D$10, 0))</f>
        <v>Monday</v>
      </c>
      <c r="K59" s="35" t="str">
        <f aca="false">IF(H59=TRUE(), "Holiday", IF(OR(I59=0, I59=6), "Weekend", "Weekday"))</f>
        <v>Weekday</v>
      </c>
      <c r="L59" s="35" t="str">
        <f aca="false">IF(AND(K59="Weekday", OR(AND(G59&gt;=7, G59&lt;=9), AND(G59&gt;=17, G59&lt;=19))), "Peak Commute", "Off-Peak")</f>
        <v>Peak Commute</v>
      </c>
      <c r="M59" s="37" t="n">
        <v>1</v>
      </c>
      <c r="N59" s="35" t="str">
        <f aca="false">VLOOKUP(M59, Lookups_Metadata!$G$4:$H$7, 2, FALSE())</f>
        <v>Clear / Few Clouds</v>
      </c>
      <c r="O59" s="40" t="n">
        <v>0.16</v>
      </c>
      <c r="P59" s="40" t="n">
        <v>0.1364</v>
      </c>
      <c r="Q59" s="40" t="n">
        <f aca="false">IF(OR(P59="", ISBLANK(P59)), ROUND(0.9367*O59+0.0175, 4), P59)</f>
        <v>0.1364</v>
      </c>
      <c r="R59" s="35" t="str">
        <f aca="false">IF(OR(P59="", ISBLANK(P59)), "Imputed (Regression/Trend)", "Original")</f>
        <v>Original</v>
      </c>
      <c r="S59" s="40" t="n">
        <v>0.43</v>
      </c>
      <c r="T59" s="40" t="n">
        <v>0.3881</v>
      </c>
      <c r="U59" s="41" t="n">
        <v>7</v>
      </c>
      <c r="V59" s="41" t="n">
        <v>81</v>
      </c>
      <c r="W59" s="41" t="n">
        <f aca="false">U59+V59</f>
        <v>88</v>
      </c>
      <c r="X59" s="42" t="n">
        <f aca="false">U59/W59</f>
        <v>0.0795454545454545</v>
      </c>
      <c r="Y59" s="42" t="n">
        <f aca="false">V59/W59</f>
        <v>0.920454545454545</v>
      </c>
      <c r="Z59" s="35" t="str">
        <f aca="false">IF(W59&gt;=150, "High Demand", IF(W59&gt;=50, "Moderate Demand", "Low Demand"))</f>
        <v>Moderate Demand</v>
      </c>
      <c r="AA59" s="39" t="str">
        <f aca="false">TEXT(G59, "00") &amp; ":00"</f>
        <v>09:00</v>
      </c>
      <c r="AB59" s="37" t="n">
        <f aca="false">YEAR(B59)</f>
        <v>2011</v>
      </c>
      <c r="AC59" s="35" t="str">
        <f aca="false">TEXT(B59, "mmmm")</f>
        <v>January</v>
      </c>
      <c r="AD59" s="37" t="n">
        <f aca="false">LEN(TEXT(B59, "YYYY-MM-DD"))</f>
        <v>10</v>
      </c>
      <c r="AE59" s="39" t="str">
        <f aca="false">LEFT(TEXT(B59, "YYYY-MM-DD"), 4)</f>
        <v>2011</v>
      </c>
      <c r="AF59" s="39" t="str">
        <f aca="false">RIGHT(TEXT(B59, "YYYY-MM-DD"), 2)</f>
        <v>03</v>
      </c>
    </row>
    <row r="60" customFormat="false" ht="15" hidden="false" customHeight="false" outlineLevel="0" collapsed="false">
      <c r="A60" s="43" t="n">
        <v>56</v>
      </c>
      <c r="B60" s="44" t="s">
        <v>79</v>
      </c>
      <c r="C60" s="43" t="n">
        <v>1</v>
      </c>
      <c r="D60" s="33" t="str">
        <f aca="false">VLOOKUP(C60, Lookups_Metadata!$A$4:$B$7, 2, FALSE())</f>
        <v>Spring</v>
      </c>
      <c r="E60" s="43" t="n">
        <v>0</v>
      </c>
      <c r="F60" s="43" t="n">
        <v>1</v>
      </c>
      <c r="G60" s="43" t="n">
        <v>10</v>
      </c>
      <c r="H60" s="45" t="b">
        <f aca="false">FALSE()</f>
        <v>0</v>
      </c>
      <c r="I60" s="43" t="n">
        <v>1</v>
      </c>
      <c r="J60" s="33" t="str">
        <f aca="false">INDEX(Lookups_Metadata!$E$4:$E$10, MATCH(I60, Lookups_Metadata!$D$4:$D$10, 0))</f>
        <v>Monday</v>
      </c>
      <c r="K60" s="33" t="str">
        <f aca="false">IF(H60=TRUE(), "Holiday", IF(OR(I60=0, I60=6), "Weekend", "Weekday"))</f>
        <v>Weekday</v>
      </c>
      <c r="L60" s="33" t="str">
        <f aca="false">IF(AND(K60="Weekday", OR(AND(G60&gt;=7, G60&lt;=9), AND(G60&gt;=17, G60&lt;=19))), "Peak Commute", "Off-Peak")</f>
        <v>Off-Peak</v>
      </c>
      <c r="M60" s="43" t="n">
        <v>1</v>
      </c>
      <c r="N60" s="33" t="str">
        <f aca="false">VLOOKUP(M60, Lookups_Metadata!$G$4:$H$7, 2, FALSE())</f>
        <v>Clear / Few Clouds</v>
      </c>
      <c r="O60" s="46" t="n">
        <v>0.18</v>
      </c>
      <c r="P60" s="46" t="n">
        <v>0.1667</v>
      </c>
      <c r="Q60" s="46" t="n">
        <f aca="false">IF(OR(P60="", ISBLANK(P60)), ROUND(0.9367*O60+0.0175, 4), P60)</f>
        <v>0.1667</v>
      </c>
      <c r="R60" s="33" t="str">
        <f aca="false">IF(OR(P60="", ISBLANK(P60)), "Imputed (Regression/Trend)", "Original")</f>
        <v>Original</v>
      </c>
      <c r="S60" s="46" t="n">
        <v>0.43</v>
      </c>
      <c r="T60" s="46" t="n">
        <v>0.2537</v>
      </c>
      <c r="U60" s="18" t="n">
        <v>11</v>
      </c>
      <c r="V60" s="18" t="n">
        <v>33</v>
      </c>
      <c r="W60" s="18" t="n">
        <f aca="false">U60+V60</f>
        <v>44</v>
      </c>
      <c r="X60" s="47" t="n">
        <f aca="false">U60/W60</f>
        <v>0.25</v>
      </c>
      <c r="Y60" s="47" t="n">
        <f aca="false">V60/W60</f>
        <v>0.75</v>
      </c>
      <c r="Z60" s="33" t="str">
        <f aca="false">IF(W60&gt;=150, "High Demand", IF(W60&gt;=50, "Moderate Demand", "Low Demand"))</f>
        <v>Low Demand</v>
      </c>
      <c r="AA60" s="45" t="str">
        <f aca="false">TEXT(G60, "00") &amp; ":00"</f>
        <v>10:00</v>
      </c>
      <c r="AB60" s="43" t="n">
        <f aca="false">YEAR(B60)</f>
        <v>2011</v>
      </c>
      <c r="AC60" s="33" t="str">
        <f aca="false">TEXT(B60, "mmmm")</f>
        <v>January</v>
      </c>
      <c r="AD60" s="43" t="n">
        <f aca="false">LEN(TEXT(B60, "YYYY-MM-DD"))</f>
        <v>10</v>
      </c>
      <c r="AE60" s="45" t="str">
        <f aca="false">LEFT(TEXT(B60, "YYYY-MM-DD"), 4)</f>
        <v>2011</v>
      </c>
      <c r="AF60" s="45" t="str">
        <f aca="false">RIGHT(TEXT(B60, "YYYY-MM-DD"), 2)</f>
        <v>03</v>
      </c>
    </row>
    <row r="61" customFormat="false" ht="15" hidden="false" customHeight="false" outlineLevel="0" collapsed="false">
      <c r="A61" s="37" t="n">
        <v>57</v>
      </c>
      <c r="B61" s="38" t="s">
        <v>79</v>
      </c>
      <c r="C61" s="37" t="n">
        <v>1</v>
      </c>
      <c r="D61" s="35" t="str">
        <f aca="false">VLOOKUP(C61, Lookups_Metadata!$A$4:$B$7, 2, FALSE())</f>
        <v>Spring</v>
      </c>
      <c r="E61" s="37" t="n">
        <v>0</v>
      </c>
      <c r="F61" s="37" t="n">
        <v>1</v>
      </c>
      <c r="G61" s="37" t="n">
        <v>11</v>
      </c>
      <c r="H61" s="39" t="b">
        <f aca="false">FALSE()</f>
        <v>0</v>
      </c>
      <c r="I61" s="37" t="n">
        <v>1</v>
      </c>
      <c r="J61" s="35" t="str">
        <f aca="false">INDEX(Lookups_Metadata!$E$4:$E$10, MATCH(I61, Lookups_Metadata!$D$4:$D$10, 0))</f>
        <v>Monday</v>
      </c>
      <c r="K61" s="35" t="str">
        <f aca="false">IF(H61=TRUE(), "Holiday", IF(OR(I61=0, I61=6), "Weekend", "Weekday"))</f>
        <v>Weekday</v>
      </c>
      <c r="L61" s="35" t="str">
        <f aca="false">IF(AND(K61="Weekday", OR(AND(G61&gt;=7, G61&lt;=9), AND(G61&gt;=17, G61&lt;=19))), "Peak Commute", "Off-Peak")</f>
        <v>Off-Peak</v>
      </c>
      <c r="M61" s="37" t="n">
        <v>1</v>
      </c>
      <c r="N61" s="35" t="str">
        <f aca="false">VLOOKUP(M61, Lookups_Metadata!$G$4:$H$7, 2, FALSE())</f>
        <v>Clear / Few Clouds</v>
      </c>
      <c r="O61" s="40" t="n">
        <v>0.2</v>
      </c>
      <c r="P61" s="40" t="n">
        <v>0.1818</v>
      </c>
      <c r="Q61" s="40" t="n">
        <f aca="false">IF(OR(P61="", ISBLANK(P61)), ROUND(0.9367*O61+0.0175, 4), P61)</f>
        <v>0.1818</v>
      </c>
      <c r="R61" s="35" t="str">
        <f aca="false">IF(OR(P61="", ISBLANK(P61)), "Imputed (Regression/Trend)", "Original")</f>
        <v>Original</v>
      </c>
      <c r="S61" s="40" t="n">
        <v>0.4</v>
      </c>
      <c r="T61" s="40" t="n">
        <v>0.3284</v>
      </c>
      <c r="U61" s="41" t="n">
        <v>10</v>
      </c>
      <c r="V61" s="41" t="n">
        <v>41</v>
      </c>
      <c r="W61" s="41" t="n">
        <f aca="false">U61+V61</f>
        <v>51</v>
      </c>
      <c r="X61" s="42" t="n">
        <f aca="false">U61/W61</f>
        <v>0.196078431372549</v>
      </c>
      <c r="Y61" s="42" t="n">
        <f aca="false">V61/W61</f>
        <v>0.803921568627451</v>
      </c>
      <c r="Z61" s="35" t="str">
        <f aca="false">IF(W61&gt;=150, "High Demand", IF(W61&gt;=50, "Moderate Demand", "Low Demand"))</f>
        <v>Moderate Demand</v>
      </c>
      <c r="AA61" s="39" t="str">
        <f aca="false">TEXT(G61, "00") &amp; ":00"</f>
        <v>11:00</v>
      </c>
      <c r="AB61" s="37" t="n">
        <f aca="false">YEAR(B61)</f>
        <v>2011</v>
      </c>
      <c r="AC61" s="35" t="str">
        <f aca="false">TEXT(B61, "mmmm")</f>
        <v>January</v>
      </c>
      <c r="AD61" s="37" t="n">
        <f aca="false">LEN(TEXT(B61, "YYYY-MM-DD"))</f>
        <v>10</v>
      </c>
      <c r="AE61" s="39" t="str">
        <f aca="false">LEFT(TEXT(B61, "YYYY-MM-DD"), 4)</f>
        <v>2011</v>
      </c>
      <c r="AF61" s="39" t="str">
        <f aca="false">RIGHT(TEXT(B61, "YYYY-MM-DD"), 2)</f>
        <v>03</v>
      </c>
    </row>
    <row r="62" customFormat="false" ht="15" hidden="false" customHeight="false" outlineLevel="0" collapsed="false">
      <c r="A62" s="43" t="n">
        <v>58</v>
      </c>
      <c r="B62" s="44" t="s">
        <v>79</v>
      </c>
      <c r="C62" s="43" t="n">
        <v>1</v>
      </c>
      <c r="D62" s="33" t="str">
        <f aca="false">VLOOKUP(C62, Lookups_Metadata!$A$4:$B$7, 2, FALSE())</f>
        <v>Spring</v>
      </c>
      <c r="E62" s="43" t="n">
        <v>0</v>
      </c>
      <c r="F62" s="43" t="n">
        <v>1</v>
      </c>
      <c r="G62" s="43" t="n">
        <v>12</v>
      </c>
      <c r="H62" s="45" t="b">
        <f aca="false">FALSE()</f>
        <v>0</v>
      </c>
      <c r="I62" s="43" t="n">
        <v>1</v>
      </c>
      <c r="J62" s="33" t="str">
        <f aca="false">INDEX(Lookups_Metadata!$E$4:$E$10, MATCH(I62, Lookups_Metadata!$D$4:$D$10, 0))</f>
        <v>Monday</v>
      </c>
      <c r="K62" s="33" t="str">
        <f aca="false">IF(H62=TRUE(), "Holiday", IF(OR(I62=0, I62=6), "Weekend", "Weekday"))</f>
        <v>Weekday</v>
      </c>
      <c r="L62" s="33" t="str">
        <f aca="false">IF(AND(K62="Weekday", OR(AND(G62&gt;=7, G62&lt;=9), AND(G62&gt;=17, G62&lt;=19))), "Peak Commute", "Off-Peak")</f>
        <v>Off-Peak</v>
      </c>
      <c r="M62" s="43" t="n">
        <v>1</v>
      </c>
      <c r="N62" s="33" t="str">
        <f aca="false">VLOOKUP(M62, Lookups_Metadata!$G$4:$H$7, 2, FALSE())</f>
        <v>Clear / Few Clouds</v>
      </c>
      <c r="O62" s="46" t="n">
        <v>0.22</v>
      </c>
      <c r="P62" s="46" t="n">
        <v>0.2121</v>
      </c>
      <c r="Q62" s="46" t="n">
        <f aca="false">IF(OR(P62="", ISBLANK(P62)), ROUND(0.9367*O62+0.0175, 4), P62)</f>
        <v>0.2121</v>
      </c>
      <c r="R62" s="33" t="str">
        <f aca="false">IF(OR(P62="", ISBLANK(P62)), "Imputed (Regression/Trend)", "Original")</f>
        <v>Original</v>
      </c>
      <c r="S62" s="46" t="n">
        <v>0.35</v>
      </c>
      <c r="T62" s="46" t="n">
        <v>0.2985</v>
      </c>
      <c r="U62" s="18" t="n">
        <v>13</v>
      </c>
      <c r="V62" s="18" t="n">
        <v>48</v>
      </c>
      <c r="W62" s="18" t="n">
        <f aca="false">U62+V62</f>
        <v>61</v>
      </c>
      <c r="X62" s="47" t="n">
        <f aca="false">U62/W62</f>
        <v>0.213114754098361</v>
      </c>
      <c r="Y62" s="47" t="n">
        <f aca="false">V62/W62</f>
        <v>0.786885245901639</v>
      </c>
      <c r="Z62" s="33" t="str">
        <f aca="false">IF(W62&gt;=150, "High Demand", IF(W62&gt;=50, "Moderate Demand", "Low Demand"))</f>
        <v>Moderate Demand</v>
      </c>
      <c r="AA62" s="45" t="str">
        <f aca="false">TEXT(G62, "00") &amp; ":00"</f>
        <v>12:00</v>
      </c>
      <c r="AB62" s="43" t="n">
        <f aca="false">YEAR(B62)</f>
        <v>2011</v>
      </c>
      <c r="AC62" s="33" t="str">
        <f aca="false">TEXT(B62, "mmmm")</f>
        <v>January</v>
      </c>
      <c r="AD62" s="43" t="n">
        <f aca="false">LEN(TEXT(B62, "YYYY-MM-DD"))</f>
        <v>10</v>
      </c>
      <c r="AE62" s="45" t="str">
        <f aca="false">LEFT(TEXT(B62, "YYYY-MM-DD"), 4)</f>
        <v>2011</v>
      </c>
      <c r="AF62" s="45" t="str">
        <f aca="false">RIGHT(TEXT(B62, "YYYY-MM-DD"), 2)</f>
        <v>03</v>
      </c>
    </row>
    <row r="63" customFormat="false" ht="15" hidden="false" customHeight="false" outlineLevel="0" collapsed="false">
      <c r="A63" s="37" t="n">
        <v>59</v>
      </c>
      <c r="B63" s="38" t="s">
        <v>79</v>
      </c>
      <c r="C63" s="37" t="n">
        <v>1</v>
      </c>
      <c r="D63" s="35" t="str">
        <f aca="false">VLOOKUP(C63, Lookups_Metadata!$A$4:$B$7, 2, FALSE())</f>
        <v>Spring</v>
      </c>
      <c r="E63" s="37" t="n">
        <v>0</v>
      </c>
      <c r="F63" s="37" t="n">
        <v>1</v>
      </c>
      <c r="G63" s="37" t="n">
        <v>13</v>
      </c>
      <c r="H63" s="39" t="b">
        <f aca="false">FALSE()</f>
        <v>0</v>
      </c>
      <c r="I63" s="37" t="n">
        <v>1</v>
      </c>
      <c r="J63" s="35" t="str">
        <f aca="false">INDEX(Lookups_Metadata!$E$4:$E$10, MATCH(I63, Lookups_Metadata!$D$4:$D$10, 0))</f>
        <v>Monday</v>
      </c>
      <c r="K63" s="35" t="str">
        <f aca="false">IF(H63=TRUE(), "Holiday", IF(OR(I63=0, I63=6), "Weekend", "Weekday"))</f>
        <v>Weekday</v>
      </c>
      <c r="L63" s="35" t="str">
        <f aca="false">IF(AND(K63="Weekday", OR(AND(G63&gt;=7, G63&lt;=9), AND(G63&gt;=17, G63&lt;=19))), "Peak Commute", "Off-Peak")</f>
        <v>Off-Peak</v>
      </c>
      <c r="M63" s="37" t="n">
        <v>1</v>
      </c>
      <c r="N63" s="35" t="str">
        <f aca="false">VLOOKUP(M63, Lookups_Metadata!$G$4:$H$7, 2, FALSE())</f>
        <v>Clear / Few Clouds</v>
      </c>
      <c r="O63" s="40" t="n">
        <v>0.24</v>
      </c>
      <c r="P63" s="40"/>
      <c r="Q63" s="40" t="n">
        <f aca="false">IF(OR(P63="", ISBLANK(P63)), ROUND(0.9367*O63+0.0175, 4), P63)</f>
        <v>0.2423</v>
      </c>
      <c r="R63" s="35" t="str">
        <f aca="false">IF(OR(P63="", ISBLANK(P63)), "Imputed (Regression/Trend)", "Original")</f>
        <v>Imputed (Regression/Trend)</v>
      </c>
      <c r="S63" s="40" t="n">
        <v>0.35</v>
      </c>
      <c r="T63" s="40" t="n">
        <v>0.2836</v>
      </c>
      <c r="U63" s="41" t="n">
        <v>8</v>
      </c>
      <c r="V63" s="41" t="n">
        <v>53</v>
      </c>
      <c r="W63" s="41" t="n">
        <f aca="false">U63+V63</f>
        <v>61</v>
      </c>
      <c r="X63" s="42" t="n">
        <f aca="false">U63/W63</f>
        <v>0.131147540983607</v>
      </c>
      <c r="Y63" s="42" t="n">
        <f aca="false">V63/W63</f>
        <v>0.868852459016393</v>
      </c>
      <c r="Z63" s="35" t="str">
        <f aca="false">IF(W63&gt;=150, "High Demand", IF(W63&gt;=50, "Moderate Demand", "Low Demand"))</f>
        <v>Moderate Demand</v>
      </c>
      <c r="AA63" s="39" t="str">
        <f aca="false">TEXT(G63, "00") &amp; ":00"</f>
        <v>13:00</v>
      </c>
      <c r="AB63" s="37" t="n">
        <f aca="false">YEAR(B63)</f>
        <v>2011</v>
      </c>
      <c r="AC63" s="35" t="str">
        <f aca="false">TEXT(B63, "mmmm")</f>
        <v>January</v>
      </c>
      <c r="AD63" s="37" t="n">
        <f aca="false">LEN(TEXT(B63, "YYYY-MM-DD"))</f>
        <v>10</v>
      </c>
      <c r="AE63" s="39" t="str">
        <f aca="false">LEFT(TEXT(B63, "YYYY-MM-DD"), 4)</f>
        <v>2011</v>
      </c>
      <c r="AF63" s="39" t="str">
        <f aca="false">RIGHT(TEXT(B63, "YYYY-MM-DD"), 2)</f>
        <v>03</v>
      </c>
    </row>
    <row r="64" customFormat="false" ht="15" hidden="false" customHeight="false" outlineLevel="0" collapsed="false">
      <c r="A64" s="43" t="n">
        <v>60</v>
      </c>
      <c r="B64" s="44" t="s">
        <v>79</v>
      </c>
      <c r="C64" s="43" t="n">
        <v>1</v>
      </c>
      <c r="D64" s="33" t="str">
        <f aca="false">VLOOKUP(C64, Lookups_Metadata!$A$4:$B$7, 2, FALSE())</f>
        <v>Spring</v>
      </c>
      <c r="E64" s="43" t="n">
        <v>0</v>
      </c>
      <c r="F64" s="43" t="n">
        <v>1</v>
      </c>
      <c r="G64" s="43" t="n">
        <v>14</v>
      </c>
      <c r="H64" s="45" t="b">
        <f aca="false">FALSE()</f>
        <v>0</v>
      </c>
      <c r="I64" s="43" t="n">
        <v>1</v>
      </c>
      <c r="J64" s="33" t="str">
        <f aca="false">INDEX(Lookups_Metadata!$E$4:$E$10, MATCH(I64, Lookups_Metadata!$D$4:$D$10, 0))</f>
        <v>Monday</v>
      </c>
      <c r="K64" s="33" t="str">
        <f aca="false">IF(H64=TRUE(), "Holiday", IF(OR(I64=0, I64=6), "Weekend", "Weekday"))</f>
        <v>Weekday</v>
      </c>
      <c r="L64" s="33" t="str">
        <f aca="false">IF(AND(K64="Weekday", OR(AND(G64&gt;=7, G64&lt;=9), AND(G64&gt;=17, G64&lt;=19))), "Peak Commute", "Off-Peak")</f>
        <v>Off-Peak</v>
      </c>
      <c r="M64" s="43" t="n">
        <v>1</v>
      </c>
      <c r="N64" s="33" t="str">
        <f aca="false">VLOOKUP(M64, Lookups_Metadata!$G$4:$H$7, 2, FALSE())</f>
        <v>Clear / Few Clouds</v>
      </c>
      <c r="O64" s="46" t="n">
        <v>0.26</v>
      </c>
      <c r="P64" s="46" t="n">
        <v>0.2424</v>
      </c>
      <c r="Q64" s="46" t="n">
        <f aca="false">IF(OR(P64="", ISBLANK(P64)), ROUND(0.9367*O64+0.0175, 4), P64)</f>
        <v>0.2424</v>
      </c>
      <c r="R64" s="33" t="str">
        <f aca="false">IF(OR(P64="", ISBLANK(P64)), "Imputed (Regression/Trend)", "Original")</f>
        <v>Original</v>
      </c>
      <c r="S64" s="46" t="n">
        <v>0.3</v>
      </c>
      <c r="T64" s="46" t="n">
        <v>0.2836</v>
      </c>
      <c r="U64" s="18" t="n">
        <v>11</v>
      </c>
      <c r="V64" s="18" t="n">
        <v>66</v>
      </c>
      <c r="W64" s="18" t="n">
        <f aca="false">U64+V64</f>
        <v>77</v>
      </c>
      <c r="X64" s="47" t="n">
        <f aca="false">U64/W64</f>
        <v>0.142857142857143</v>
      </c>
      <c r="Y64" s="47" t="n">
        <f aca="false">V64/W64</f>
        <v>0.857142857142857</v>
      </c>
      <c r="Z64" s="33" t="str">
        <f aca="false">IF(W64&gt;=150, "High Demand", IF(W64&gt;=50, "Moderate Demand", "Low Demand"))</f>
        <v>Moderate Demand</v>
      </c>
      <c r="AA64" s="45" t="str">
        <f aca="false">TEXT(G64, "00") &amp; ":00"</f>
        <v>14:00</v>
      </c>
      <c r="AB64" s="43" t="n">
        <f aca="false">YEAR(B64)</f>
        <v>2011</v>
      </c>
      <c r="AC64" s="33" t="str">
        <f aca="false">TEXT(B64, "mmmm")</f>
        <v>January</v>
      </c>
      <c r="AD64" s="43" t="n">
        <f aca="false">LEN(TEXT(B64, "YYYY-MM-DD"))</f>
        <v>10</v>
      </c>
      <c r="AE64" s="45" t="str">
        <f aca="false">LEFT(TEXT(B64, "YYYY-MM-DD"), 4)</f>
        <v>2011</v>
      </c>
      <c r="AF64" s="45" t="str">
        <f aca="false">RIGHT(TEXT(B64, "YYYY-MM-DD"), 2)</f>
        <v>03</v>
      </c>
    </row>
    <row r="65" customFormat="false" ht="15" hidden="false" customHeight="false" outlineLevel="0" collapsed="false">
      <c r="A65" s="37" t="n">
        <v>61</v>
      </c>
      <c r="B65" s="38" t="s">
        <v>79</v>
      </c>
      <c r="C65" s="37" t="n">
        <v>1</v>
      </c>
      <c r="D65" s="35" t="str">
        <f aca="false">VLOOKUP(C65, Lookups_Metadata!$A$4:$B$7, 2, FALSE())</f>
        <v>Spring</v>
      </c>
      <c r="E65" s="37" t="n">
        <v>0</v>
      </c>
      <c r="F65" s="37" t="n">
        <v>1</v>
      </c>
      <c r="G65" s="37" t="n">
        <v>15</v>
      </c>
      <c r="H65" s="39" t="b">
        <f aca="false">FALSE()</f>
        <v>0</v>
      </c>
      <c r="I65" s="37" t="n">
        <v>1</v>
      </c>
      <c r="J65" s="35" t="str">
        <f aca="false">INDEX(Lookups_Metadata!$E$4:$E$10, MATCH(I65, Lookups_Metadata!$D$4:$D$10, 0))</f>
        <v>Monday</v>
      </c>
      <c r="K65" s="35" t="str">
        <f aca="false">IF(H65=TRUE(), "Holiday", IF(OR(I65=0, I65=6), "Weekend", "Weekday"))</f>
        <v>Weekday</v>
      </c>
      <c r="L65" s="35" t="str">
        <f aca="false">IF(AND(K65="Weekday", OR(AND(G65&gt;=7, G65&lt;=9), AND(G65&gt;=17, G65&lt;=19))), "Peak Commute", "Off-Peak")</f>
        <v>Off-Peak</v>
      </c>
      <c r="M65" s="37" t="n">
        <v>1</v>
      </c>
      <c r="N65" s="35" t="str">
        <f aca="false">VLOOKUP(M65, Lookups_Metadata!$G$4:$H$7, 2, FALSE())</f>
        <v>Clear / Few Clouds</v>
      </c>
      <c r="O65" s="40" t="n">
        <v>0.26</v>
      </c>
      <c r="P65" s="40" t="n">
        <v>0.2424</v>
      </c>
      <c r="Q65" s="40" t="n">
        <f aca="false">IF(OR(P65="", ISBLANK(P65)), ROUND(0.9367*O65+0.0175, 4), P65)</f>
        <v>0.2424</v>
      </c>
      <c r="R65" s="35" t="str">
        <f aca="false">IF(OR(P65="", ISBLANK(P65)), "Imputed (Regression/Trend)", "Original")</f>
        <v>Original</v>
      </c>
      <c r="S65" s="40" t="n">
        <v>0.3</v>
      </c>
      <c r="T65" s="40" t="n">
        <v>0.2537</v>
      </c>
      <c r="U65" s="41" t="n">
        <v>14</v>
      </c>
      <c r="V65" s="41" t="n">
        <v>58</v>
      </c>
      <c r="W65" s="41" t="n">
        <f aca="false">U65+V65</f>
        <v>72</v>
      </c>
      <c r="X65" s="42" t="n">
        <f aca="false">U65/W65</f>
        <v>0.194444444444444</v>
      </c>
      <c r="Y65" s="42" t="n">
        <f aca="false">V65/W65</f>
        <v>0.805555555555556</v>
      </c>
      <c r="Z65" s="35" t="str">
        <f aca="false">IF(W65&gt;=150, "High Demand", IF(W65&gt;=50, "Moderate Demand", "Low Demand"))</f>
        <v>Moderate Demand</v>
      </c>
      <c r="AA65" s="39" t="str">
        <f aca="false">TEXT(G65, "00") &amp; ":00"</f>
        <v>15:00</v>
      </c>
      <c r="AB65" s="37" t="n">
        <f aca="false">YEAR(B65)</f>
        <v>2011</v>
      </c>
      <c r="AC65" s="35" t="str">
        <f aca="false">TEXT(B65, "mmmm")</f>
        <v>January</v>
      </c>
      <c r="AD65" s="37" t="n">
        <f aca="false">LEN(TEXT(B65, "YYYY-MM-DD"))</f>
        <v>10</v>
      </c>
      <c r="AE65" s="39" t="str">
        <f aca="false">LEFT(TEXT(B65, "YYYY-MM-DD"), 4)</f>
        <v>2011</v>
      </c>
      <c r="AF65" s="39" t="str">
        <f aca="false">RIGHT(TEXT(B65, "YYYY-MM-DD"), 2)</f>
        <v>03</v>
      </c>
    </row>
    <row r="66" customFormat="false" ht="15" hidden="false" customHeight="false" outlineLevel="0" collapsed="false">
      <c r="A66" s="43" t="n">
        <v>62</v>
      </c>
      <c r="B66" s="44" t="s">
        <v>79</v>
      </c>
      <c r="C66" s="43" t="n">
        <v>1</v>
      </c>
      <c r="D66" s="33" t="str">
        <f aca="false">VLOOKUP(C66, Lookups_Metadata!$A$4:$B$7, 2, FALSE())</f>
        <v>Spring</v>
      </c>
      <c r="E66" s="43" t="n">
        <v>0</v>
      </c>
      <c r="F66" s="43" t="n">
        <v>1</v>
      </c>
      <c r="G66" s="43" t="n">
        <v>16</v>
      </c>
      <c r="H66" s="45" t="b">
        <f aca="false">FALSE()</f>
        <v>0</v>
      </c>
      <c r="I66" s="43" t="n">
        <v>1</v>
      </c>
      <c r="J66" s="33" t="str">
        <f aca="false">INDEX(Lookups_Metadata!$E$4:$E$10, MATCH(I66, Lookups_Metadata!$D$4:$D$10, 0))</f>
        <v>Monday</v>
      </c>
      <c r="K66" s="33" t="str">
        <f aca="false">IF(H66=TRUE(), "Holiday", IF(OR(I66=0, I66=6), "Weekend", "Weekday"))</f>
        <v>Weekday</v>
      </c>
      <c r="L66" s="33" t="str">
        <f aca="false">IF(AND(K66="Weekday", OR(AND(G66&gt;=7, G66&lt;=9), AND(G66&gt;=17, G66&lt;=19))), "Peak Commute", "Off-Peak")</f>
        <v>Off-Peak</v>
      </c>
      <c r="M66" s="43" t="n">
        <v>1</v>
      </c>
      <c r="N66" s="33" t="str">
        <f aca="false">VLOOKUP(M66, Lookups_Metadata!$G$4:$H$7, 2, FALSE())</f>
        <v>Clear / Few Clouds</v>
      </c>
      <c r="O66" s="46" t="n">
        <v>0.26</v>
      </c>
      <c r="P66" s="46" t="n">
        <v>0.2424</v>
      </c>
      <c r="Q66" s="46" t="n">
        <f aca="false">IF(OR(P66="", ISBLANK(P66)), ROUND(0.9367*O66+0.0175, 4), P66)</f>
        <v>0.2424</v>
      </c>
      <c r="R66" s="33" t="str">
        <f aca="false">IF(OR(P66="", ISBLANK(P66)), "Imputed (Regression/Trend)", "Original")</f>
        <v>Original</v>
      </c>
      <c r="S66" s="46" t="n">
        <v>0.3</v>
      </c>
      <c r="T66" s="46" t="n">
        <v>0.2537</v>
      </c>
      <c r="U66" s="18" t="n">
        <v>9</v>
      </c>
      <c r="V66" s="18" t="n">
        <v>67</v>
      </c>
      <c r="W66" s="18" t="n">
        <f aca="false">U66+V66</f>
        <v>76</v>
      </c>
      <c r="X66" s="47" t="n">
        <f aca="false">U66/W66</f>
        <v>0.118421052631579</v>
      </c>
      <c r="Y66" s="47" t="n">
        <f aca="false">V66/W66</f>
        <v>0.881578947368421</v>
      </c>
      <c r="Z66" s="33" t="str">
        <f aca="false">IF(W66&gt;=150, "High Demand", IF(W66&gt;=50, "Moderate Demand", "Low Demand"))</f>
        <v>Moderate Demand</v>
      </c>
      <c r="AA66" s="45" t="str">
        <f aca="false">TEXT(G66, "00") &amp; ":00"</f>
        <v>16:00</v>
      </c>
      <c r="AB66" s="43" t="n">
        <f aca="false">YEAR(B66)</f>
        <v>2011</v>
      </c>
      <c r="AC66" s="33" t="str">
        <f aca="false">TEXT(B66, "mmmm")</f>
        <v>January</v>
      </c>
      <c r="AD66" s="43" t="n">
        <f aca="false">LEN(TEXT(B66, "YYYY-MM-DD"))</f>
        <v>10</v>
      </c>
      <c r="AE66" s="45" t="str">
        <f aca="false">LEFT(TEXT(B66, "YYYY-MM-DD"), 4)</f>
        <v>2011</v>
      </c>
      <c r="AF66" s="45" t="str">
        <f aca="false">RIGHT(TEXT(B66, "YYYY-MM-DD"), 2)</f>
        <v>03</v>
      </c>
    </row>
    <row r="67" customFormat="false" ht="15" hidden="false" customHeight="false" outlineLevel="0" collapsed="false">
      <c r="A67" s="37" t="n">
        <v>63</v>
      </c>
      <c r="B67" s="38" t="s">
        <v>79</v>
      </c>
      <c r="C67" s="37" t="n">
        <v>1</v>
      </c>
      <c r="D67" s="35" t="str">
        <f aca="false">VLOOKUP(C67, Lookups_Metadata!$A$4:$B$7, 2, FALSE())</f>
        <v>Spring</v>
      </c>
      <c r="E67" s="37" t="n">
        <v>0</v>
      </c>
      <c r="F67" s="37" t="n">
        <v>1</v>
      </c>
      <c r="G67" s="37" t="n">
        <v>17</v>
      </c>
      <c r="H67" s="39" t="b">
        <f aca="false">FALSE()</f>
        <v>0</v>
      </c>
      <c r="I67" s="37" t="n">
        <v>1</v>
      </c>
      <c r="J67" s="35" t="str">
        <f aca="false">INDEX(Lookups_Metadata!$E$4:$E$10, MATCH(I67, Lookups_Metadata!$D$4:$D$10, 0))</f>
        <v>Monday</v>
      </c>
      <c r="K67" s="35" t="str">
        <f aca="false">IF(H67=TRUE(), "Holiday", IF(OR(I67=0, I67=6), "Weekend", "Weekday"))</f>
        <v>Weekday</v>
      </c>
      <c r="L67" s="35" t="str">
        <f aca="false">IF(AND(K67="Weekday", OR(AND(G67&gt;=7, G67&lt;=9), AND(G67&gt;=17, G67&lt;=19))), "Peak Commute", "Off-Peak")</f>
        <v>Peak Commute</v>
      </c>
      <c r="M67" s="37" t="n">
        <v>1</v>
      </c>
      <c r="N67" s="35" t="str">
        <f aca="false">VLOOKUP(M67, Lookups_Metadata!$G$4:$H$7, 2, FALSE())</f>
        <v>Clear / Few Clouds</v>
      </c>
      <c r="O67" s="40" t="n">
        <v>0.24</v>
      </c>
      <c r="P67" s="40" t="n">
        <v>0.2273</v>
      </c>
      <c r="Q67" s="40" t="n">
        <f aca="false">IF(OR(P67="", ISBLANK(P67)), ROUND(0.9367*O67+0.0175, 4), P67)</f>
        <v>0.2273</v>
      </c>
      <c r="R67" s="35" t="str">
        <f aca="false">IF(OR(P67="", ISBLANK(P67)), "Imputed (Regression/Trend)", "Original")</f>
        <v>Original</v>
      </c>
      <c r="S67" s="40" t="n">
        <v>0.3</v>
      </c>
      <c r="T67" s="40" t="n">
        <v>0.2239</v>
      </c>
      <c r="U67" s="41" t="n">
        <v>11</v>
      </c>
      <c r="V67" s="41" t="n">
        <v>146</v>
      </c>
      <c r="W67" s="41" t="n">
        <f aca="false">U67+V67</f>
        <v>157</v>
      </c>
      <c r="X67" s="42" t="n">
        <f aca="false">U67/W67</f>
        <v>0.0700636942675159</v>
      </c>
      <c r="Y67" s="42" t="n">
        <f aca="false">V67/W67</f>
        <v>0.929936305732484</v>
      </c>
      <c r="Z67" s="35" t="str">
        <f aca="false">IF(W67&gt;=150, "High Demand", IF(W67&gt;=50, "Moderate Demand", "Low Demand"))</f>
        <v>High Demand</v>
      </c>
      <c r="AA67" s="39" t="str">
        <f aca="false">TEXT(G67, "00") &amp; ":00"</f>
        <v>17:00</v>
      </c>
      <c r="AB67" s="37" t="n">
        <f aca="false">YEAR(B67)</f>
        <v>2011</v>
      </c>
      <c r="AC67" s="35" t="str">
        <f aca="false">TEXT(B67, "mmmm")</f>
        <v>January</v>
      </c>
      <c r="AD67" s="37" t="n">
        <f aca="false">LEN(TEXT(B67, "YYYY-MM-DD"))</f>
        <v>10</v>
      </c>
      <c r="AE67" s="39" t="str">
        <f aca="false">LEFT(TEXT(B67, "YYYY-MM-DD"), 4)</f>
        <v>2011</v>
      </c>
      <c r="AF67" s="39" t="str">
        <f aca="false">RIGHT(TEXT(B67, "YYYY-MM-DD"), 2)</f>
        <v>03</v>
      </c>
    </row>
    <row r="68" customFormat="false" ht="15" hidden="false" customHeight="false" outlineLevel="0" collapsed="false">
      <c r="A68" s="43" t="n">
        <v>64</v>
      </c>
      <c r="B68" s="44" t="s">
        <v>79</v>
      </c>
      <c r="C68" s="43" t="n">
        <v>1</v>
      </c>
      <c r="D68" s="33" t="str">
        <f aca="false">VLOOKUP(C68, Lookups_Metadata!$A$4:$B$7, 2, FALSE())</f>
        <v>Spring</v>
      </c>
      <c r="E68" s="43" t="n">
        <v>0</v>
      </c>
      <c r="F68" s="43" t="n">
        <v>1</v>
      </c>
      <c r="G68" s="43" t="n">
        <v>18</v>
      </c>
      <c r="H68" s="45" t="b">
        <f aca="false">FALSE()</f>
        <v>0</v>
      </c>
      <c r="I68" s="43" t="n">
        <v>1</v>
      </c>
      <c r="J68" s="33" t="str">
        <f aca="false">INDEX(Lookups_Metadata!$E$4:$E$10, MATCH(I68, Lookups_Metadata!$D$4:$D$10, 0))</f>
        <v>Monday</v>
      </c>
      <c r="K68" s="33" t="str">
        <f aca="false">IF(H68=TRUE(), "Holiday", IF(OR(I68=0, I68=6), "Weekend", "Weekday"))</f>
        <v>Weekday</v>
      </c>
      <c r="L68" s="33" t="str">
        <f aca="false">IF(AND(K68="Weekday", OR(AND(G68&gt;=7, G68&lt;=9), AND(G68&gt;=17, G68&lt;=19))), "Peak Commute", "Off-Peak")</f>
        <v>Peak Commute</v>
      </c>
      <c r="M68" s="43" t="n">
        <v>1</v>
      </c>
      <c r="N68" s="33" t="str">
        <f aca="false">VLOOKUP(M68, Lookups_Metadata!$G$4:$H$7, 2, FALSE())</f>
        <v>Clear / Few Clouds</v>
      </c>
      <c r="O68" s="46" t="n">
        <v>0.24</v>
      </c>
      <c r="P68" s="46" t="n">
        <v>0.2576</v>
      </c>
      <c r="Q68" s="46" t="n">
        <f aca="false">IF(OR(P68="", ISBLANK(P68)), ROUND(0.9367*O68+0.0175, 4), P68)</f>
        <v>0.2576</v>
      </c>
      <c r="R68" s="33" t="str">
        <f aca="false">IF(OR(P68="", ISBLANK(P68)), "Imputed (Regression/Trend)", "Original")</f>
        <v>Original</v>
      </c>
      <c r="S68" s="46" t="n">
        <v>0.32</v>
      </c>
      <c r="T68" s="46" t="n">
        <v>0.1045</v>
      </c>
      <c r="U68" s="18" t="n">
        <v>9</v>
      </c>
      <c r="V68" s="18" t="n">
        <v>148</v>
      </c>
      <c r="W68" s="18" t="n">
        <f aca="false">U68+V68</f>
        <v>157</v>
      </c>
      <c r="X68" s="47" t="n">
        <f aca="false">U68/W68</f>
        <v>0.0573248407643312</v>
      </c>
      <c r="Y68" s="47" t="n">
        <f aca="false">V68/W68</f>
        <v>0.942675159235669</v>
      </c>
      <c r="Z68" s="33" t="str">
        <f aca="false">IF(W68&gt;=150, "High Demand", IF(W68&gt;=50, "Moderate Demand", "Low Demand"))</f>
        <v>High Demand</v>
      </c>
      <c r="AA68" s="45" t="str">
        <f aca="false">TEXT(G68, "00") &amp; ":00"</f>
        <v>18:00</v>
      </c>
      <c r="AB68" s="43" t="n">
        <f aca="false">YEAR(B68)</f>
        <v>2011</v>
      </c>
      <c r="AC68" s="33" t="str">
        <f aca="false">TEXT(B68, "mmmm")</f>
        <v>January</v>
      </c>
      <c r="AD68" s="43" t="n">
        <f aca="false">LEN(TEXT(B68, "YYYY-MM-DD"))</f>
        <v>10</v>
      </c>
      <c r="AE68" s="45" t="str">
        <f aca="false">LEFT(TEXT(B68, "YYYY-MM-DD"), 4)</f>
        <v>2011</v>
      </c>
      <c r="AF68" s="45" t="str">
        <f aca="false">RIGHT(TEXT(B68, "YYYY-MM-DD"), 2)</f>
        <v>03</v>
      </c>
    </row>
    <row r="69" customFormat="false" ht="15" hidden="false" customHeight="false" outlineLevel="0" collapsed="false">
      <c r="A69" s="37" t="n">
        <v>65</v>
      </c>
      <c r="B69" s="38" t="s">
        <v>79</v>
      </c>
      <c r="C69" s="37" t="n">
        <v>1</v>
      </c>
      <c r="D69" s="35" t="str">
        <f aca="false">VLOOKUP(C69, Lookups_Metadata!$A$4:$B$7, 2, FALSE())</f>
        <v>Spring</v>
      </c>
      <c r="E69" s="37" t="n">
        <v>0</v>
      </c>
      <c r="F69" s="37" t="n">
        <v>1</v>
      </c>
      <c r="G69" s="37" t="n">
        <v>19</v>
      </c>
      <c r="H69" s="39" t="b">
        <f aca="false">FALSE()</f>
        <v>0</v>
      </c>
      <c r="I69" s="37" t="n">
        <v>1</v>
      </c>
      <c r="J69" s="35" t="str">
        <f aca="false">INDEX(Lookups_Metadata!$E$4:$E$10, MATCH(I69, Lookups_Metadata!$D$4:$D$10, 0))</f>
        <v>Monday</v>
      </c>
      <c r="K69" s="35" t="str">
        <f aca="false">IF(H69=TRUE(), "Holiday", IF(OR(I69=0, I69=6), "Weekend", "Weekday"))</f>
        <v>Weekday</v>
      </c>
      <c r="L69" s="35" t="str">
        <f aca="false">IF(AND(K69="Weekday", OR(AND(G69&gt;=7, G69&lt;=9), AND(G69&gt;=17, G69&lt;=19))), "Peak Commute", "Off-Peak")</f>
        <v>Peak Commute</v>
      </c>
      <c r="M69" s="37" t="n">
        <v>1</v>
      </c>
      <c r="N69" s="35" t="str">
        <f aca="false">VLOOKUP(M69, Lookups_Metadata!$G$4:$H$7, 2, FALSE())</f>
        <v>Clear / Few Clouds</v>
      </c>
      <c r="O69" s="40" t="n">
        <v>0.2</v>
      </c>
      <c r="P69" s="40" t="n">
        <v>0.2576</v>
      </c>
      <c r="Q69" s="40" t="n">
        <f aca="false">IF(OR(P69="", ISBLANK(P69)), ROUND(0.9367*O69+0.0175, 4), P69)</f>
        <v>0.2576</v>
      </c>
      <c r="R69" s="35" t="str">
        <f aca="false">IF(OR(P69="", ISBLANK(P69)), "Imputed (Regression/Trend)", "Original")</f>
        <v>Original</v>
      </c>
      <c r="S69" s="40" t="n">
        <v>0.47</v>
      </c>
      <c r="T69" s="40" t="n">
        <v>0</v>
      </c>
      <c r="U69" s="41" t="n">
        <v>8</v>
      </c>
      <c r="V69" s="41" t="n">
        <v>102</v>
      </c>
      <c r="W69" s="41" t="n">
        <f aca="false">U69+V69</f>
        <v>110</v>
      </c>
      <c r="X69" s="42" t="n">
        <f aca="false">U69/W69</f>
        <v>0.0727272727272727</v>
      </c>
      <c r="Y69" s="42" t="n">
        <f aca="false">V69/W69</f>
        <v>0.927272727272727</v>
      </c>
      <c r="Z69" s="35" t="str">
        <f aca="false">IF(W69&gt;=150, "High Demand", IF(W69&gt;=50, "Moderate Demand", "Low Demand"))</f>
        <v>Moderate Demand</v>
      </c>
      <c r="AA69" s="39" t="str">
        <f aca="false">TEXT(G69, "00") &amp; ":00"</f>
        <v>19:00</v>
      </c>
      <c r="AB69" s="37" t="n">
        <f aca="false">YEAR(B69)</f>
        <v>2011</v>
      </c>
      <c r="AC69" s="35" t="str">
        <f aca="false">TEXT(B69, "mmmm")</f>
        <v>January</v>
      </c>
      <c r="AD69" s="37" t="n">
        <f aca="false">LEN(TEXT(B69, "YYYY-MM-DD"))</f>
        <v>10</v>
      </c>
      <c r="AE69" s="39" t="str">
        <f aca="false">LEFT(TEXT(B69, "YYYY-MM-DD"), 4)</f>
        <v>2011</v>
      </c>
      <c r="AF69" s="39" t="str">
        <f aca="false">RIGHT(TEXT(B69, "YYYY-MM-DD"), 2)</f>
        <v>03</v>
      </c>
    </row>
    <row r="70" customFormat="false" ht="15" hidden="false" customHeight="false" outlineLevel="0" collapsed="false">
      <c r="A70" s="43" t="n">
        <v>66</v>
      </c>
      <c r="B70" s="44" t="s">
        <v>79</v>
      </c>
      <c r="C70" s="43" t="n">
        <v>1</v>
      </c>
      <c r="D70" s="33" t="str">
        <f aca="false">VLOOKUP(C70, Lookups_Metadata!$A$4:$B$7, 2, FALSE())</f>
        <v>Spring</v>
      </c>
      <c r="E70" s="43" t="n">
        <v>0</v>
      </c>
      <c r="F70" s="43" t="n">
        <v>1</v>
      </c>
      <c r="G70" s="43" t="n">
        <v>20</v>
      </c>
      <c r="H70" s="45" t="b">
        <f aca="false">FALSE()</f>
        <v>0</v>
      </c>
      <c r="I70" s="43" t="n">
        <v>1</v>
      </c>
      <c r="J70" s="33" t="str">
        <f aca="false">INDEX(Lookups_Metadata!$E$4:$E$10, MATCH(I70, Lookups_Metadata!$D$4:$D$10, 0))</f>
        <v>Monday</v>
      </c>
      <c r="K70" s="33" t="str">
        <f aca="false">IF(H70=TRUE(), "Holiday", IF(OR(I70=0, I70=6), "Weekend", "Weekday"))</f>
        <v>Weekday</v>
      </c>
      <c r="L70" s="33" t="str">
        <f aca="false">IF(AND(K70="Weekday", OR(AND(G70&gt;=7, G70&lt;=9), AND(G70&gt;=17, G70&lt;=19))), "Peak Commute", "Off-Peak")</f>
        <v>Off-Peak</v>
      </c>
      <c r="M70" s="43" t="n">
        <v>1</v>
      </c>
      <c r="N70" s="33" t="str">
        <f aca="false">VLOOKUP(M70, Lookups_Metadata!$G$4:$H$7, 2, FALSE())</f>
        <v>Clear / Few Clouds</v>
      </c>
      <c r="O70" s="46" t="n">
        <v>0.2</v>
      </c>
      <c r="P70" s="46"/>
      <c r="Q70" s="46" t="n">
        <f aca="false">IF(OR(P70="", ISBLANK(P70)), ROUND(0.9367*O70+0.0175, 4), P70)</f>
        <v>0.2048</v>
      </c>
      <c r="R70" s="33" t="str">
        <f aca="false">IF(OR(P70="", ISBLANK(P70)), "Imputed (Regression/Trend)", "Original")</f>
        <v>Imputed (Regression/Trend)</v>
      </c>
      <c r="S70" s="46" t="n">
        <v>0.47</v>
      </c>
      <c r="T70" s="46" t="n">
        <v>0.1045</v>
      </c>
      <c r="U70" s="18" t="n">
        <v>3</v>
      </c>
      <c r="V70" s="18" t="n">
        <v>49</v>
      </c>
      <c r="W70" s="18" t="n">
        <f aca="false">U70+V70</f>
        <v>52</v>
      </c>
      <c r="X70" s="47" t="n">
        <f aca="false">U70/W70</f>
        <v>0.0576923076923077</v>
      </c>
      <c r="Y70" s="47" t="n">
        <f aca="false">V70/W70</f>
        <v>0.942307692307692</v>
      </c>
      <c r="Z70" s="33" t="str">
        <f aca="false">IF(W70&gt;=150, "High Demand", IF(W70&gt;=50, "Moderate Demand", "Low Demand"))</f>
        <v>Moderate Demand</v>
      </c>
      <c r="AA70" s="45" t="str">
        <f aca="false">TEXT(G70, "00") &amp; ":00"</f>
        <v>20:00</v>
      </c>
      <c r="AB70" s="43" t="n">
        <f aca="false">YEAR(B70)</f>
        <v>2011</v>
      </c>
      <c r="AC70" s="33" t="str">
        <f aca="false">TEXT(B70, "mmmm")</f>
        <v>January</v>
      </c>
      <c r="AD70" s="43" t="n">
        <f aca="false">LEN(TEXT(B70, "YYYY-MM-DD"))</f>
        <v>10</v>
      </c>
      <c r="AE70" s="45" t="str">
        <f aca="false">LEFT(TEXT(B70, "YYYY-MM-DD"), 4)</f>
        <v>2011</v>
      </c>
      <c r="AF70" s="45" t="str">
        <f aca="false">RIGHT(TEXT(B70, "YYYY-MM-DD"), 2)</f>
        <v>03</v>
      </c>
    </row>
    <row r="71" customFormat="false" ht="15" hidden="false" customHeight="false" outlineLevel="0" collapsed="false">
      <c r="A71" s="37" t="n">
        <v>67</v>
      </c>
      <c r="B71" s="38" t="s">
        <v>79</v>
      </c>
      <c r="C71" s="37" t="n">
        <v>1</v>
      </c>
      <c r="D71" s="35" t="str">
        <f aca="false">VLOOKUP(C71, Lookups_Metadata!$A$4:$B$7, 2, FALSE())</f>
        <v>Spring</v>
      </c>
      <c r="E71" s="37" t="n">
        <v>0</v>
      </c>
      <c r="F71" s="37" t="n">
        <v>1</v>
      </c>
      <c r="G71" s="37" t="n">
        <v>21</v>
      </c>
      <c r="H71" s="39" t="b">
        <f aca="false">FALSE()</f>
        <v>0</v>
      </c>
      <c r="I71" s="37" t="n">
        <v>1</v>
      </c>
      <c r="J71" s="35" t="str">
        <f aca="false">INDEX(Lookups_Metadata!$E$4:$E$10, MATCH(I71, Lookups_Metadata!$D$4:$D$10, 0))</f>
        <v>Monday</v>
      </c>
      <c r="K71" s="35" t="str">
        <f aca="false">IF(H71=TRUE(), "Holiday", IF(OR(I71=0, I71=6), "Weekend", "Weekday"))</f>
        <v>Weekday</v>
      </c>
      <c r="L71" s="35" t="str">
        <f aca="false">IF(AND(K71="Weekday", OR(AND(G71&gt;=7, G71&lt;=9), AND(G71&gt;=17, G71&lt;=19))), "Peak Commute", "Off-Peak")</f>
        <v>Off-Peak</v>
      </c>
      <c r="M71" s="37" t="n">
        <v>1</v>
      </c>
      <c r="N71" s="35" t="str">
        <f aca="false">VLOOKUP(M71, Lookups_Metadata!$G$4:$H$7, 2, FALSE())</f>
        <v>Clear / Few Clouds</v>
      </c>
      <c r="O71" s="40" t="n">
        <v>0.18</v>
      </c>
      <c r="P71" s="40" t="n">
        <v>0.197</v>
      </c>
      <c r="Q71" s="40" t="n">
        <f aca="false">IF(OR(P71="", ISBLANK(P71)), ROUND(0.9367*O71+0.0175, 4), P71)</f>
        <v>0.197</v>
      </c>
      <c r="R71" s="35" t="str">
        <f aca="false">IF(OR(P71="", ISBLANK(P71)), "Imputed (Regression/Trend)", "Original")</f>
        <v>Original</v>
      </c>
      <c r="S71" s="40" t="n">
        <v>0.64</v>
      </c>
      <c r="T71" s="40" t="n">
        <v>0.1343</v>
      </c>
      <c r="U71" s="41" t="n">
        <v>3</v>
      </c>
      <c r="V71" s="41" t="n">
        <v>49</v>
      </c>
      <c r="W71" s="41" t="n">
        <f aca="false">U71+V71</f>
        <v>52</v>
      </c>
      <c r="X71" s="42" t="n">
        <f aca="false">U71/W71</f>
        <v>0.0576923076923077</v>
      </c>
      <c r="Y71" s="42" t="n">
        <f aca="false">V71/W71</f>
        <v>0.942307692307692</v>
      </c>
      <c r="Z71" s="35" t="str">
        <f aca="false">IF(W71&gt;=150, "High Demand", IF(W71&gt;=50, "Moderate Demand", "Low Demand"))</f>
        <v>Moderate Demand</v>
      </c>
      <c r="AA71" s="39" t="str">
        <f aca="false">TEXT(G71, "00") &amp; ":00"</f>
        <v>21:00</v>
      </c>
      <c r="AB71" s="37" t="n">
        <f aca="false">YEAR(B71)</f>
        <v>2011</v>
      </c>
      <c r="AC71" s="35" t="str">
        <f aca="false">TEXT(B71, "mmmm")</f>
        <v>January</v>
      </c>
      <c r="AD71" s="37" t="n">
        <f aca="false">LEN(TEXT(B71, "YYYY-MM-DD"))</f>
        <v>10</v>
      </c>
      <c r="AE71" s="39" t="str">
        <f aca="false">LEFT(TEXT(B71, "YYYY-MM-DD"), 4)</f>
        <v>2011</v>
      </c>
      <c r="AF71" s="39" t="str">
        <f aca="false">RIGHT(TEXT(B71, "YYYY-MM-DD"), 2)</f>
        <v>03</v>
      </c>
    </row>
    <row r="72" customFormat="false" ht="15" hidden="false" customHeight="false" outlineLevel="0" collapsed="false">
      <c r="A72" s="43" t="n">
        <v>68</v>
      </c>
      <c r="B72" s="44" t="s">
        <v>79</v>
      </c>
      <c r="C72" s="43" t="n">
        <v>1</v>
      </c>
      <c r="D72" s="33" t="str">
        <f aca="false">VLOOKUP(C72, Lookups_Metadata!$A$4:$B$7, 2, FALSE())</f>
        <v>Spring</v>
      </c>
      <c r="E72" s="43" t="n">
        <v>0</v>
      </c>
      <c r="F72" s="43" t="n">
        <v>1</v>
      </c>
      <c r="G72" s="43" t="n">
        <v>22</v>
      </c>
      <c r="H72" s="45" t="b">
        <f aca="false">FALSE()</f>
        <v>0</v>
      </c>
      <c r="I72" s="43" t="n">
        <v>1</v>
      </c>
      <c r="J72" s="33" t="str">
        <f aca="false">INDEX(Lookups_Metadata!$E$4:$E$10, MATCH(I72, Lookups_Metadata!$D$4:$D$10, 0))</f>
        <v>Monday</v>
      </c>
      <c r="K72" s="33" t="str">
        <f aca="false">IF(H72=TRUE(), "Holiday", IF(OR(I72=0, I72=6), "Weekend", "Weekday"))</f>
        <v>Weekday</v>
      </c>
      <c r="L72" s="33" t="str">
        <f aca="false">IF(AND(K72="Weekday", OR(AND(G72&gt;=7, G72&lt;=9), AND(G72&gt;=17, G72&lt;=19))), "Peak Commute", "Off-Peak")</f>
        <v>Off-Peak</v>
      </c>
      <c r="M72" s="43" t="n">
        <v>1</v>
      </c>
      <c r="N72" s="33" t="str">
        <f aca="false">VLOOKUP(M72, Lookups_Metadata!$G$4:$H$7, 2, FALSE())</f>
        <v>Clear / Few Clouds</v>
      </c>
      <c r="O72" s="46" t="n">
        <v>0.14</v>
      </c>
      <c r="P72" s="46" t="n">
        <v>0.1515</v>
      </c>
      <c r="Q72" s="46" t="n">
        <f aca="false">IF(OR(P72="", ISBLANK(P72)), ROUND(0.9367*O72+0.0175, 4), P72)</f>
        <v>0.1515</v>
      </c>
      <c r="R72" s="33" t="str">
        <f aca="false">IF(OR(P72="", ISBLANK(P72)), "Imputed (Regression/Trend)", "Original")</f>
        <v>Original</v>
      </c>
      <c r="S72" s="46" t="n">
        <v>0.69</v>
      </c>
      <c r="T72" s="46" t="n">
        <v>0.1343</v>
      </c>
      <c r="U72" s="18" t="n">
        <v>0</v>
      </c>
      <c r="V72" s="18" t="n">
        <v>20</v>
      </c>
      <c r="W72" s="18" t="n">
        <f aca="false">U72+V72</f>
        <v>20</v>
      </c>
      <c r="X72" s="47" t="n">
        <f aca="false">U72/W72</f>
        <v>0</v>
      </c>
      <c r="Y72" s="47" t="n">
        <f aca="false">V72/W72</f>
        <v>1</v>
      </c>
      <c r="Z72" s="33" t="str">
        <f aca="false">IF(W72&gt;=150, "High Demand", IF(W72&gt;=50, "Moderate Demand", "Low Demand"))</f>
        <v>Low Demand</v>
      </c>
      <c r="AA72" s="45" t="str">
        <f aca="false">TEXT(G72, "00") &amp; ":00"</f>
        <v>22:00</v>
      </c>
      <c r="AB72" s="43" t="n">
        <f aca="false">YEAR(B72)</f>
        <v>2011</v>
      </c>
      <c r="AC72" s="33" t="str">
        <f aca="false">TEXT(B72, "mmmm")</f>
        <v>January</v>
      </c>
      <c r="AD72" s="43" t="n">
        <f aca="false">LEN(TEXT(B72, "YYYY-MM-DD"))</f>
        <v>10</v>
      </c>
      <c r="AE72" s="45" t="str">
        <f aca="false">LEFT(TEXT(B72, "YYYY-MM-DD"), 4)</f>
        <v>2011</v>
      </c>
      <c r="AF72" s="45" t="str">
        <f aca="false">RIGHT(TEXT(B72, "YYYY-MM-DD"), 2)</f>
        <v>03</v>
      </c>
    </row>
    <row r="73" customFormat="false" ht="15" hidden="false" customHeight="false" outlineLevel="0" collapsed="false">
      <c r="A73" s="37" t="n">
        <v>69</v>
      </c>
      <c r="B73" s="38" t="s">
        <v>79</v>
      </c>
      <c r="C73" s="37" t="n">
        <v>1</v>
      </c>
      <c r="D73" s="35" t="str">
        <f aca="false">VLOOKUP(C73, Lookups_Metadata!$A$4:$B$7, 2, FALSE())</f>
        <v>Spring</v>
      </c>
      <c r="E73" s="37" t="n">
        <v>0</v>
      </c>
      <c r="F73" s="37" t="n">
        <v>1</v>
      </c>
      <c r="G73" s="37" t="n">
        <v>23</v>
      </c>
      <c r="H73" s="39" t="b">
        <f aca="false">FALSE()</f>
        <v>0</v>
      </c>
      <c r="I73" s="37" t="n">
        <v>1</v>
      </c>
      <c r="J73" s="35" t="str">
        <f aca="false">INDEX(Lookups_Metadata!$E$4:$E$10, MATCH(I73, Lookups_Metadata!$D$4:$D$10, 0))</f>
        <v>Monday</v>
      </c>
      <c r="K73" s="35" t="str">
        <f aca="false">IF(H73=TRUE(), "Holiday", IF(OR(I73=0, I73=6), "Weekend", "Weekday"))</f>
        <v>Weekday</v>
      </c>
      <c r="L73" s="35" t="str">
        <f aca="false">IF(AND(K73="Weekday", OR(AND(G73&gt;=7, G73&lt;=9), AND(G73&gt;=17, G73&lt;=19))), "Peak Commute", "Off-Peak")</f>
        <v>Off-Peak</v>
      </c>
      <c r="M73" s="37" t="n">
        <v>1</v>
      </c>
      <c r="N73" s="35" t="str">
        <f aca="false">VLOOKUP(M73, Lookups_Metadata!$G$4:$H$7, 2, FALSE())</f>
        <v>Clear / Few Clouds</v>
      </c>
      <c r="O73" s="40" t="n">
        <v>0.18</v>
      </c>
      <c r="P73" s="40" t="n">
        <v>0.2121</v>
      </c>
      <c r="Q73" s="40" t="n">
        <f aca="false">IF(OR(P73="", ISBLANK(P73)), ROUND(0.9367*O73+0.0175, 4), P73)</f>
        <v>0.2121</v>
      </c>
      <c r="R73" s="35" t="str">
        <f aca="false">IF(OR(P73="", ISBLANK(P73)), "Imputed (Regression/Trend)", "Original")</f>
        <v>Original</v>
      </c>
      <c r="S73" s="40" t="n">
        <v>0.55</v>
      </c>
      <c r="T73" s="40" t="n">
        <v>0.1045</v>
      </c>
      <c r="U73" s="41" t="n">
        <v>1</v>
      </c>
      <c r="V73" s="41" t="n">
        <v>11</v>
      </c>
      <c r="W73" s="41" t="n">
        <f aca="false">U73+V73</f>
        <v>12</v>
      </c>
      <c r="X73" s="42" t="n">
        <f aca="false">U73/W73</f>
        <v>0.0833333333333333</v>
      </c>
      <c r="Y73" s="42" t="n">
        <f aca="false">V73/W73</f>
        <v>0.916666666666667</v>
      </c>
      <c r="Z73" s="35" t="str">
        <f aca="false">IF(W73&gt;=150, "High Demand", IF(W73&gt;=50, "Moderate Demand", "Low Demand"))</f>
        <v>Low Demand</v>
      </c>
      <c r="AA73" s="39" t="str">
        <f aca="false">TEXT(G73, "00") &amp; ":00"</f>
        <v>23:00</v>
      </c>
      <c r="AB73" s="37" t="n">
        <f aca="false">YEAR(B73)</f>
        <v>2011</v>
      </c>
      <c r="AC73" s="35" t="str">
        <f aca="false">TEXT(B73, "mmmm")</f>
        <v>January</v>
      </c>
      <c r="AD73" s="37" t="n">
        <f aca="false">LEN(TEXT(B73, "YYYY-MM-DD"))</f>
        <v>10</v>
      </c>
      <c r="AE73" s="39" t="str">
        <f aca="false">LEFT(TEXT(B73, "YYYY-MM-DD"), 4)</f>
        <v>2011</v>
      </c>
      <c r="AF73" s="39" t="str">
        <f aca="false">RIGHT(TEXT(B73, "YYYY-MM-DD"), 2)</f>
        <v>03</v>
      </c>
    </row>
    <row r="74" customFormat="false" ht="15" hidden="false" customHeight="false" outlineLevel="0" collapsed="false">
      <c r="A74" s="43" t="n">
        <v>70</v>
      </c>
      <c r="B74" s="44" t="s">
        <v>80</v>
      </c>
      <c r="C74" s="43" t="n">
        <v>1</v>
      </c>
      <c r="D74" s="33" t="str">
        <f aca="false">VLOOKUP(C74, Lookups_Metadata!$A$4:$B$7, 2, FALSE())</f>
        <v>Spring</v>
      </c>
      <c r="E74" s="43" t="n">
        <v>0</v>
      </c>
      <c r="F74" s="43" t="n">
        <v>1</v>
      </c>
      <c r="G74" s="43" t="n">
        <v>0</v>
      </c>
      <c r="H74" s="45" t="b">
        <f aca="false">FALSE()</f>
        <v>0</v>
      </c>
      <c r="I74" s="43" t="n">
        <v>2</v>
      </c>
      <c r="J74" s="33" t="str">
        <f aca="false">INDEX(Lookups_Metadata!$E$4:$E$10, MATCH(I74, Lookups_Metadata!$D$4:$D$10, 0))</f>
        <v>Tuesday</v>
      </c>
      <c r="K74" s="33" t="str">
        <f aca="false">IF(H74=TRUE(), "Holiday", IF(OR(I74=0, I74=6), "Weekend", "Weekday"))</f>
        <v>Weekday</v>
      </c>
      <c r="L74" s="33" t="str">
        <f aca="false">IF(AND(K74="Weekday", OR(AND(G74&gt;=7, G74&lt;=9), AND(G74&gt;=17, G74&lt;=19))), "Peak Commute", "Off-Peak")</f>
        <v>Off-Peak</v>
      </c>
      <c r="M74" s="43" t="n">
        <v>1</v>
      </c>
      <c r="N74" s="33" t="str">
        <f aca="false">VLOOKUP(M74, Lookups_Metadata!$G$4:$H$7, 2, FALSE())</f>
        <v>Clear / Few Clouds</v>
      </c>
      <c r="O74" s="46" t="n">
        <v>0.16</v>
      </c>
      <c r="P74" s="46"/>
      <c r="Q74" s="46" t="n">
        <f aca="false">IF(OR(P74="", ISBLANK(P74)), ROUND(0.9367*O74+0.0175, 4), P74)</f>
        <v>0.1674</v>
      </c>
      <c r="R74" s="33" t="str">
        <f aca="false">IF(OR(P74="", ISBLANK(P74)), "Imputed (Regression/Trend)", "Original")</f>
        <v>Imputed (Regression/Trend)</v>
      </c>
      <c r="S74" s="46" t="n">
        <v>0.55</v>
      </c>
      <c r="T74" s="46" t="n">
        <v>0.1045</v>
      </c>
      <c r="U74" s="18" t="n">
        <v>0</v>
      </c>
      <c r="V74" s="18" t="n">
        <v>5</v>
      </c>
      <c r="W74" s="18" t="n">
        <f aca="false">U74+V74</f>
        <v>5</v>
      </c>
      <c r="X74" s="47" t="n">
        <f aca="false">U74/W74</f>
        <v>0</v>
      </c>
      <c r="Y74" s="47" t="n">
        <f aca="false">V74/W74</f>
        <v>1</v>
      </c>
      <c r="Z74" s="33" t="str">
        <f aca="false">IF(W74&gt;=150, "High Demand", IF(W74&gt;=50, "Moderate Demand", "Low Demand"))</f>
        <v>Low Demand</v>
      </c>
      <c r="AA74" s="45" t="str">
        <f aca="false">TEXT(G74, "00") &amp; ":00"</f>
        <v>00:00</v>
      </c>
      <c r="AB74" s="43" t="n">
        <f aca="false">YEAR(B74)</f>
        <v>2011</v>
      </c>
      <c r="AC74" s="33" t="str">
        <f aca="false">TEXT(B74, "mmmm")</f>
        <v>January</v>
      </c>
      <c r="AD74" s="43" t="n">
        <f aca="false">LEN(TEXT(B74, "YYYY-MM-DD"))</f>
        <v>10</v>
      </c>
      <c r="AE74" s="45" t="str">
        <f aca="false">LEFT(TEXT(B74, "YYYY-MM-DD"), 4)</f>
        <v>2011</v>
      </c>
      <c r="AF74" s="45" t="str">
        <f aca="false">RIGHT(TEXT(B74, "YYYY-MM-DD"), 2)</f>
        <v>04</v>
      </c>
    </row>
    <row r="75" customFormat="false" ht="15" hidden="false" customHeight="false" outlineLevel="0" collapsed="false">
      <c r="A75" s="37" t="n">
        <v>71</v>
      </c>
      <c r="B75" s="38" t="s">
        <v>80</v>
      </c>
      <c r="C75" s="37" t="n">
        <v>1</v>
      </c>
      <c r="D75" s="35" t="str">
        <f aca="false">VLOOKUP(C75, Lookups_Metadata!$A$4:$B$7, 2, FALSE())</f>
        <v>Spring</v>
      </c>
      <c r="E75" s="37" t="n">
        <v>0</v>
      </c>
      <c r="F75" s="37" t="n">
        <v>1</v>
      </c>
      <c r="G75" s="37" t="n">
        <v>1</v>
      </c>
      <c r="H75" s="39" t="b">
        <f aca="false">FALSE()</f>
        <v>0</v>
      </c>
      <c r="I75" s="37" t="n">
        <v>2</v>
      </c>
      <c r="J75" s="35" t="str">
        <f aca="false">INDEX(Lookups_Metadata!$E$4:$E$10, MATCH(I75, Lookups_Metadata!$D$4:$D$10, 0))</f>
        <v>Tuesday</v>
      </c>
      <c r="K75" s="35" t="str">
        <f aca="false">IF(H75=TRUE(), "Holiday", IF(OR(I75=0, I75=6), "Weekend", "Weekday"))</f>
        <v>Weekday</v>
      </c>
      <c r="L75" s="35" t="str">
        <f aca="false">IF(AND(K75="Weekday", OR(AND(G75&gt;=7, G75&lt;=9), AND(G75&gt;=17, G75&lt;=19))), "Peak Commute", "Off-Peak")</f>
        <v>Off-Peak</v>
      </c>
      <c r="M75" s="37" t="n">
        <v>1</v>
      </c>
      <c r="N75" s="35" t="str">
        <f aca="false">VLOOKUP(M75, Lookups_Metadata!$G$4:$H$7, 2, FALSE())</f>
        <v>Clear / Few Clouds</v>
      </c>
      <c r="O75" s="40" t="n">
        <v>0.16</v>
      </c>
      <c r="P75" s="40" t="n">
        <v>0.1818</v>
      </c>
      <c r="Q75" s="40" t="n">
        <f aca="false">IF(OR(P75="", ISBLANK(P75)), ROUND(0.9367*O75+0.0175, 4), P75)</f>
        <v>0.1818</v>
      </c>
      <c r="R75" s="35" t="str">
        <f aca="false">IF(OR(P75="", ISBLANK(P75)), "Imputed (Regression/Trend)", "Original")</f>
        <v>Original</v>
      </c>
      <c r="S75" s="40" t="n">
        <v>0.59</v>
      </c>
      <c r="T75" s="40" t="n">
        <v>0.1045</v>
      </c>
      <c r="U75" s="41" t="n">
        <v>0</v>
      </c>
      <c r="V75" s="41" t="n">
        <v>2</v>
      </c>
      <c r="W75" s="41" t="n">
        <f aca="false">U75+V75</f>
        <v>2</v>
      </c>
      <c r="X75" s="42" t="n">
        <f aca="false">U75/W75</f>
        <v>0</v>
      </c>
      <c r="Y75" s="42" t="n">
        <f aca="false">V75/W75</f>
        <v>1</v>
      </c>
      <c r="Z75" s="35" t="str">
        <f aca="false">IF(W75&gt;=150, "High Demand", IF(W75&gt;=50, "Moderate Demand", "Low Demand"))</f>
        <v>Low Demand</v>
      </c>
      <c r="AA75" s="39" t="str">
        <f aca="false">TEXT(G75, "00") &amp; ":00"</f>
        <v>01:00</v>
      </c>
      <c r="AB75" s="37" t="n">
        <f aca="false">YEAR(B75)</f>
        <v>2011</v>
      </c>
      <c r="AC75" s="35" t="str">
        <f aca="false">TEXT(B75, "mmmm")</f>
        <v>January</v>
      </c>
      <c r="AD75" s="37" t="n">
        <f aca="false">LEN(TEXT(B75, "YYYY-MM-DD"))</f>
        <v>10</v>
      </c>
      <c r="AE75" s="39" t="str">
        <f aca="false">LEFT(TEXT(B75, "YYYY-MM-DD"), 4)</f>
        <v>2011</v>
      </c>
      <c r="AF75" s="39" t="str">
        <f aca="false">RIGHT(TEXT(B75, "YYYY-MM-DD"), 2)</f>
        <v>04</v>
      </c>
    </row>
    <row r="76" customFormat="false" ht="15" hidden="false" customHeight="false" outlineLevel="0" collapsed="false">
      <c r="A76" s="43" t="n">
        <v>72</v>
      </c>
      <c r="B76" s="44" t="s">
        <v>80</v>
      </c>
      <c r="C76" s="43" t="n">
        <v>1</v>
      </c>
      <c r="D76" s="33" t="str">
        <f aca="false">VLOOKUP(C76, Lookups_Metadata!$A$4:$B$7, 2, FALSE())</f>
        <v>Spring</v>
      </c>
      <c r="E76" s="43" t="n">
        <v>0</v>
      </c>
      <c r="F76" s="43" t="n">
        <v>1</v>
      </c>
      <c r="G76" s="43" t="n">
        <v>2</v>
      </c>
      <c r="H76" s="45" t="b">
        <f aca="false">FALSE()</f>
        <v>0</v>
      </c>
      <c r="I76" s="43" t="n">
        <v>2</v>
      </c>
      <c r="J76" s="33" t="str">
        <f aca="false">INDEX(Lookups_Metadata!$E$4:$E$10, MATCH(I76, Lookups_Metadata!$D$4:$D$10, 0))</f>
        <v>Tuesday</v>
      </c>
      <c r="K76" s="33" t="str">
        <f aca="false">IF(H76=TRUE(), "Holiday", IF(OR(I76=0, I76=6), "Weekend", "Weekday"))</f>
        <v>Weekday</v>
      </c>
      <c r="L76" s="33" t="str">
        <f aca="false">IF(AND(K76="Weekday", OR(AND(G76&gt;=7, G76&lt;=9), AND(G76&gt;=17, G76&lt;=19))), "Peak Commute", "Off-Peak")</f>
        <v>Off-Peak</v>
      </c>
      <c r="M76" s="43" t="n">
        <v>1</v>
      </c>
      <c r="N76" s="33" t="str">
        <f aca="false">VLOOKUP(M76, Lookups_Metadata!$G$4:$H$7, 2, FALSE())</f>
        <v>Clear / Few Clouds</v>
      </c>
      <c r="O76" s="46" t="n">
        <v>0.14</v>
      </c>
      <c r="P76" s="46" t="n">
        <v>0.1515</v>
      </c>
      <c r="Q76" s="46" t="n">
        <f aca="false">IF(OR(P76="", ISBLANK(P76)), ROUND(0.9367*O76+0.0175, 4), P76)</f>
        <v>0.1515</v>
      </c>
      <c r="R76" s="33" t="str">
        <f aca="false">IF(OR(P76="", ISBLANK(P76)), "Imputed (Regression/Trend)", "Original")</f>
        <v>Original</v>
      </c>
      <c r="S76" s="46" t="n">
        <v>0.63</v>
      </c>
      <c r="T76" s="46" t="n">
        <v>0.1343</v>
      </c>
      <c r="U76" s="18" t="n">
        <v>0</v>
      </c>
      <c r="V76" s="18" t="n">
        <v>1</v>
      </c>
      <c r="W76" s="18" t="n">
        <f aca="false">U76+V76</f>
        <v>1</v>
      </c>
      <c r="X76" s="47" t="n">
        <f aca="false">U76/W76</f>
        <v>0</v>
      </c>
      <c r="Y76" s="47" t="n">
        <f aca="false">V76/W76</f>
        <v>1</v>
      </c>
      <c r="Z76" s="33" t="str">
        <f aca="false">IF(W76&gt;=150, "High Demand", IF(W76&gt;=50, "Moderate Demand", "Low Demand"))</f>
        <v>Low Demand</v>
      </c>
      <c r="AA76" s="45" t="str">
        <f aca="false">TEXT(G76, "00") &amp; ":00"</f>
        <v>02:00</v>
      </c>
      <c r="AB76" s="43" t="n">
        <f aca="false">YEAR(B76)</f>
        <v>2011</v>
      </c>
      <c r="AC76" s="33" t="str">
        <f aca="false">TEXT(B76, "mmmm")</f>
        <v>January</v>
      </c>
      <c r="AD76" s="43" t="n">
        <f aca="false">LEN(TEXT(B76, "YYYY-MM-DD"))</f>
        <v>10</v>
      </c>
      <c r="AE76" s="45" t="str">
        <f aca="false">LEFT(TEXT(B76, "YYYY-MM-DD"), 4)</f>
        <v>2011</v>
      </c>
      <c r="AF76" s="45" t="str">
        <f aca="false">RIGHT(TEXT(B76, "YYYY-MM-DD"), 2)</f>
        <v>04</v>
      </c>
    </row>
    <row r="77" customFormat="false" ht="15" hidden="false" customHeight="false" outlineLevel="0" collapsed="false">
      <c r="A77" s="37" t="n">
        <v>73</v>
      </c>
      <c r="B77" s="38" t="s">
        <v>80</v>
      </c>
      <c r="C77" s="37" t="n">
        <v>1</v>
      </c>
      <c r="D77" s="35" t="str">
        <f aca="false">VLOOKUP(C77, Lookups_Metadata!$A$4:$B$7, 2, FALSE())</f>
        <v>Spring</v>
      </c>
      <c r="E77" s="37" t="n">
        <v>0</v>
      </c>
      <c r="F77" s="37" t="n">
        <v>1</v>
      </c>
      <c r="G77" s="37" t="n">
        <v>4</v>
      </c>
      <c r="H77" s="39" t="b">
        <f aca="false">FALSE()</f>
        <v>0</v>
      </c>
      <c r="I77" s="37" t="n">
        <v>2</v>
      </c>
      <c r="J77" s="35" t="str">
        <f aca="false">INDEX(Lookups_Metadata!$E$4:$E$10, MATCH(I77, Lookups_Metadata!$D$4:$D$10, 0))</f>
        <v>Tuesday</v>
      </c>
      <c r="K77" s="35" t="str">
        <f aca="false">IF(H77=TRUE(), "Holiday", IF(OR(I77=0, I77=6), "Weekend", "Weekday"))</f>
        <v>Weekday</v>
      </c>
      <c r="L77" s="35" t="str">
        <f aca="false">IF(AND(K77="Weekday", OR(AND(G77&gt;=7, G77&lt;=9), AND(G77&gt;=17, G77&lt;=19))), "Peak Commute", "Off-Peak")</f>
        <v>Off-Peak</v>
      </c>
      <c r="M77" s="37" t="n">
        <v>1</v>
      </c>
      <c r="N77" s="35" t="str">
        <f aca="false">VLOOKUP(M77, Lookups_Metadata!$G$4:$H$7, 2, FALSE())</f>
        <v>Clear / Few Clouds</v>
      </c>
      <c r="O77" s="40" t="n">
        <v>0.14</v>
      </c>
      <c r="P77" s="40" t="n">
        <v>0.1818</v>
      </c>
      <c r="Q77" s="40" t="n">
        <f aca="false">IF(OR(P77="", ISBLANK(P77)), ROUND(0.9367*O77+0.0175, 4), P77)</f>
        <v>0.1818</v>
      </c>
      <c r="R77" s="35" t="str">
        <f aca="false">IF(OR(P77="", ISBLANK(P77)), "Imputed (Regression/Trend)", "Original")</f>
        <v>Original</v>
      </c>
      <c r="S77" s="40" t="n">
        <v>0.63</v>
      </c>
      <c r="T77" s="40" t="n">
        <v>0.0896</v>
      </c>
      <c r="U77" s="41" t="n">
        <v>0</v>
      </c>
      <c r="V77" s="41" t="n">
        <v>2</v>
      </c>
      <c r="W77" s="41" t="n">
        <f aca="false">U77+V77</f>
        <v>2</v>
      </c>
      <c r="X77" s="42" t="n">
        <f aca="false">U77/W77</f>
        <v>0</v>
      </c>
      <c r="Y77" s="42" t="n">
        <f aca="false">V77/W77</f>
        <v>1</v>
      </c>
      <c r="Z77" s="35" t="str">
        <f aca="false">IF(W77&gt;=150, "High Demand", IF(W77&gt;=50, "Moderate Demand", "Low Demand"))</f>
        <v>Low Demand</v>
      </c>
      <c r="AA77" s="39" t="str">
        <f aca="false">TEXT(G77, "00") &amp; ":00"</f>
        <v>04:00</v>
      </c>
      <c r="AB77" s="37" t="n">
        <f aca="false">YEAR(B77)</f>
        <v>2011</v>
      </c>
      <c r="AC77" s="35" t="str">
        <f aca="false">TEXT(B77, "mmmm")</f>
        <v>January</v>
      </c>
      <c r="AD77" s="37" t="n">
        <f aca="false">LEN(TEXT(B77, "YYYY-MM-DD"))</f>
        <v>10</v>
      </c>
      <c r="AE77" s="39" t="str">
        <f aca="false">LEFT(TEXT(B77, "YYYY-MM-DD"), 4)</f>
        <v>2011</v>
      </c>
      <c r="AF77" s="39" t="str">
        <f aca="false">RIGHT(TEXT(B77, "YYYY-MM-DD"), 2)</f>
        <v>04</v>
      </c>
    </row>
    <row r="78" customFormat="false" ht="15" hidden="false" customHeight="false" outlineLevel="0" collapsed="false">
      <c r="A78" s="43" t="n">
        <v>74</v>
      </c>
      <c r="B78" s="44" t="s">
        <v>80</v>
      </c>
      <c r="C78" s="43" t="n">
        <v>1</v>
      </c>
      <c r="D78" s="33" t="str">
        <f aca="false">VLOOKUP(C78, Lookups_Metadata!$A$4:$B$7, 2, FALSE())</f>
        <v>Spring</v>
      </c>
      <c r="E78" s="43" t="n">
        <v>0</v>
      </c>
      <c r="F78" s="43" t="n">
        <v>1</v>
      </c>
      <c r="G78" s="43" t="n">
        <v>5</v>
      </c>
      <c r="H78" s="45" t="b">
        <f aca="false">FALSE()</f>
        <v>0</v>
      </c>
      <c r="I78" s="43" t="n">
        <v>2</v>
      </c>
      <c r="J78" s="33" t="str">
        <f aca="false">INDEX(Lookups_Metadata!$E$4:$E$10, MATCH(I78, Lookups_Metadata!$D$4:$D$10, 0))</f>
        <v>Tuesday</v>
      </c>
      <c r="K78" s="33" t="str">
        <f aca="false">IF(H78=TRUE(), "Holiday", IF(OR(I78=0, I78=6), "Weekend", "Weekday"))</f>
        <v>Weekday</v>
      </c>
      <c r="L78" s="33" t="str">
        <f aca="false">IF(AND(K78="Weekday", OR(AND(G78&gt;=7, G78&lt;=9), AND(G78&gt;=17, G78&lt;=19))), "Peak Commute", "Off-Peak")</f>
        <v>Off-Peak</v>
      </c>
      <c r="M78" s="43" t="n">
        <v>1</v>
      </c>
      <c r="N78" s="33" t="str">
        <f aca="false">VLOOKUP(M78, Lookups_Metadata!$G$4:$H$7, 2, FALSE())</f>
        <v>Clear / Few Clouds</v>
      </c>
      <c r="O78" s="46" t="n">
        <v>0.12</v>
      </c>
      <c r="P78" s="46" t="n">
        <v>0.1515</v>
      </c>
      <c r="Q78" s="46" t="n">
        <f aca="false">IF(OR(P78="", ISBLANK(P78)), ROUND(0.9367*O78+0.0175, 4), P78)</f>
        <v>0.1515</v>
      </c>
      <c r="R78" s="33" t="str">
        <f aca="false">IF(OR(P78="", ISBLANK(P78)), "Imputed (Regression/Trend)", "Original")</f>
        <v>Original</v>
      </c>
      <c r="S78" s="46" t="n">
        <v>0.68</v>
      </c>
      <c r="T78" s="46" t="n">
        <v>0.1045</v>
      </c>
      <c r="U78" s="18" t="n">
        <v>0</v>
      </c>
      <c r="V78" s="18" t="n">
        <v>4</v>
      </c>
      <c r="W78" s="18" t="n">
        <f aca="false">U78+V78</f>
        <v>4</v>
      </c>
      <c r="X78" s="47" t="n">
        <f aca="false">U78/W78</f>
        <v>0</v>
      </c>
      <c r="Y78" s="47" t="n">
        <f aca="false">V78/W78</f>
        <v>1</v>
      </c>
      <c r="Z78" s="33" t="str">
        <f aca="false">IF(W78&gt;=150, "High Demand", IF(W78&gt;=50, "Moderate Demand", "Low Demand"))</f>
        <v>Low Demand</v>
      </c>
      <c r="AA78" s="45" t="str">
        <f aca="false">TEXT(G78, "00") &amp; ":00"</f>
        <v>05:00</v>
      </c>
      <c r="AB78" s="43" t="n">
        <f aca="false">YEAR(B78)</f>
        <v>2011</v>
      </c>
      <c r="AC78" s="33" t="str">
        <f aca="false">TEXT(B78, "mmmm")</f>
        <v>January</v>
      </c>
      <c r="AD78" s="43" t="n">
        <f aca="false">LEN(TEXT(B78, "YYYY-MM-DD"))</f>
        <v>10</v>
      </c>
      <c r="AE78" s="45" t="str">
        <f aca="false">LEFT(TEXT(B78, "YYYY-MM-DD"), 4)</f>
        <v>2011</v>
      </c>
      <c r="AF78" s="45" t="str">
        <f aca="false">RIGHT(TEXT(B78, "YYYY-MM-DD"), 2)</f>
        <v>04</v>
      </c>
    </row>
    <row r="79" customFormat="false" ht="15" hidden="false" customHeight="false" outlineLevel="0" collapsed="false">
      <c r="A79" s="37" t="n">
        <v>75</v>
      </c>
      <c r="B79" s="38" t="s">
        <v>80</v>
      </c>
      <c r="C79" s="37" t="n">
        <v>1</v>
      </c>
      <c r="D79" s="35" t="str">
        <f aca="false">VLOOKUP(C79, Lookups_Metadata!$A$4:$B$7, 2, FALSE())</f>
        <v>Spring</v>
      </c>
      <c r="E79" s="37" t="n">
        <v>0</v>
      </c>
      <c r="F79" s="37" t="n">
        <v>1</v>
      </c>
      <c r="G79" s="37" t="n">
        <v>6</v>
      </c>
      <c r="H79" s="39" t="b">
        <f aca="false">FALSE()</f>
        <v>0</v>
      </c>
      <c r="I79" s="37" t="n">
        <v>2</v>
      </c>
      <c r="J79" s="35" t="str">
        <f aca="false">INDEX(Lookups_Metadata!$E$4:$E$10, MATCH(I79, Lookups_Metadata!$D$4:$D$10, 0))</f>
        <v>Tuesday</v>
      </c>
      <c r="K79" s="35" t="str">
        <f aca="false">IF(H79=TRUE(), "Holiday", IF(OR(I79=0, I79=6), "Weekend", "Weekday"))</f>
        <v>Weekday</v>
      </c>
      <c r="L79" s="35" t="str">
        <f aca="false">IF(AND(K79="Weekday", OR(AND(G79&gt;=7, G79&lt;=9), AND(G79&gt;=17, G79&lt;=19))), "Peak Commute", "Off-Peak")</f>
        <v>Off-Peak</v>
      </c>
      <c r="M79" s="37" t="n">
        <v>1</v>
      </c>
      <c r="N79" s="35" t="str">
        <f aca="false">VLOOKUP(M79, Lookups_Metadata!$G$4:$H$7, 2, FALSE())</f>
        <v>Clear / Few Clouds</v>
      </c>
      <c r="O79" s="40" t="n">
        <v>0.12</v>
      </c>
      <c r="P79" s="40" t="n">
        <v>0.1515</v>
      </c>
      <c r="Q79" s="40" t="n">
        <f aca="false">IF(OR(P79="", ISBLANK(P79)), ROUND(0.9367*O79+0.0175, 4), P79)</f>
        <v>0.1515</v>
      </c>
      <c r="R79" s="35" t="str">
        <f aca="false">IF(OR(P79="", ISBLANK(P79)), "Imputed (Regression/Trend)", "Original")</f>
        <v>Original</v>
      </c>
      <c r="S79" s="40" t="n">
        <v>0.74</v>
      </c>
      <c r="T79" s="40" t="n">
        <v>0.1045</v>
      </c>
      <c r="U79" s="41" t="n">
        <v>0</v>
      </c>
      <c r="V79" s="41" t="n">
        <v>36</v>
      </c>
      <c r="W79" s="41" t="n">
        <f aca="false">U79+V79</f>
        <v>36</v>
      </c>
      <c r="X79" s="42" t="n">
        <f aca="false">U79/W79</f>
        <v>0</v>
      </c>
      <c r="Y79" s="42" t="n">
        <f aca="false">V79/W79</f>
        <v>1</v>
      </c>
      <c r="Z79" s="35" t="str">
        <f aca="false">IF(W79&gt;=150, "High Demand", IF(W79&gt;=50, "Moderate Demand", "Low Demand"))</f>
        <v>Low Demand</v>
      </c>
      <c r="AA79" s="39" t="str">
        <f aca="false">TEXT(G79, "00") &amp; ":00"</f>
        <v>06:00</v>
      </c>
      <c r="AB79" s="37" t="n">
        <f aca="false">YEAR(B79)</f>
        <v>2011</v>
      </c>
      <c r="AC79" s="35" t="str">
        <f aca="false">TEXT(B79, "mmmm")</f>
        <v>January</v>
      </c>
      <c r="AD79" s="37" t="n">
        <f aca="false">LEN(TEXT(B79, "YYYY-MM-DD"))</f>
        <v>10</v>
      </c>
      <c r="AE79" s="39" t="str">
        <f aca="false">LEFT(TEXT(B79, "YYYY-MM-DD"), 4)</f>
        <v>2011</v>
      </c>
      <c r="AF79" s="39" t="str">
        <f aca="false">RIGHT(TEXT(B79, "YYYY-MM-DD"), 2)</f>
        <v>04</v>
      </c>
    </row>
    <row r="80" customFormat="false" ht="15" hidden="false" customHeight="false" outlineLevel="0" collapsed="false">
      <c r="A80" s="43" t="n">
        <v>76</v>
      </c>
      <c r="B80" s="44" t="s">
        <v>80</v>
      </c>
      <c r="C80" s="43" t="n">
        <v>1</v>
      </c>
      <c r="D80" s="33" t="str">
        <f aca="false">VLOOKUP(C80, Lookups_Metadata!$A$4:$B$7, 2, FALSE())</f>
        <v>Spring</v>
      </c>
      <c r="E80" s="43" t="n">
        <v>0</v>
      </c>
      <c r="F80" s="43" t="n">
        <v>1</v>
      </c>
      <c r="G80" s="43" t="n">
        <v>7</v>
      </c>
      <c r="H80" s="45" t="b">
        <f aca="false">FALSE()</f>
        <v>0</v>
      </c>
      <c r="I80" s="43" t="n">
        <v>2</v>
      </c>
      <c r="J80" s="33" t="str">
        <f aca="false">INDEX(Lookups_Metadata!$E$4:$E$10, MATCH(I80, Lookups_Metadata!$D$4:$D$10, 0))</f>
        <v>Tuesday</v>
      </c>
      <c r="K80" s="33" t="str">
        <f aca="false">IF(H80=TRUE(), "Holiday", IF(OR(I80=0, I80=6), "Weekend", "Weekday"))</f>
        <v>Weekday</v>
      </c>
      <c r="L80" s="33" t="str">
        <f aca="false">IF(AND(K80="Weekday", OR(AND(G80&gt;=7, G80&lt;=9), AND(G80&gt;=17, G80&lt;=19))), "Peak Commute", "Off-Peak")</f>
        <v>Peak Commute</v>
      </c>
      <c r="M80" s="43" t="n">
        <v>1</v>
      </c>
      <c r="N80" s="33" t="str">
        <f aca="false">VLOOKUP(M80, Lookups_Metadata!$G$4:$H$7, 2, FALSE())</f>
        <v>Clear / Few Clouds</v>
      </c>
      <c r="O80" s="46" t="n">
        <v>0.12</v>
      </c>
      <c r="P80" s="46" t="n">
        <v>0.1515</v>
      </c>
      <c r="Q80" s="46" t="n">
        <f aca="false">IF(OR(P80="", ISBLANK(P80)), ROUND(0.9367*O80+0.0175, 4), P80)</f>
        <v>0.1515</v>
      </c>
      <c r="R80" s="33" t="str">
        <f aca="false">IF(OR(P80="", ISBLANK(P80)), "Imputed (Regression/Trend)", "Original")</f>
        <v>Original</v>
      </c>
      <c r="S80" s="46" t="n">
        <v>0.74</v>
      </c>
      <c r="T80" s="46" t="n">
        <v>0.1343</v>
      </c>
      <c r="U80" s="18" t="n">
        <v>2</v>
      </c>
      <c r="V80" s="18" t="n">
        <v>92</v>
      </c>
      <c r="W80" s="18" t="n">
        <f aca="false">U80+V80</f>
        <v>94</v>
      </c>
      <c r="X80" s="47" t="n">
        <f aca="false">U80/W80</f>
        <v>0.0212765957446809</v>
      </c>
      <c r="Y80" s="47" t="n">
        <f aca="false">V80/W80</f>
        <v>0.978723404255319</v>
      </c>
      <c r="Z80" s="33" t="str">
        <f aca="false">IF(W80&gt;=150, "High Demand", IF(W80&gt;=50, "Moderate Demand", "Low Demand"))</f>
        <v>Moderate Demand</v>
      </c>
      <c r="AA80" s="45" t="str">
        <f aca="false">TEXT(G80, "00") &amp; ":00"</f>
        <v>07:00</v>
      </c>
      <c r="AB80" s="43" t="n">
        <f aca="false">YEAR(B80)</f>
        <v>2011</v>
      </c>
      <c r="AC80" s="33" t="str">
        <f aca="false">TEXT(B80, "mmmm")</f>
        <v>January</v>
      </c>
      <c r="AD80" s="43" t="n">
        <f aca="false">LEN(TEXT(B80, "YYYY-MM-DD"))</f>
        <v>10</v>
      </c>
      <c r="AE80" s="45" t="str">
        <f aca="false">LEFT(TEXT(B80, "YYYY-MM-DD"), 4)</f>
        <v>2011</v>
      </c>
      <c r="AF80" s="45" t="str">
        <f aca="false">RIGHT(TEXT(B80, "YYYY-MM-DD"), 2)</f>
        <v>04</v>
      </c>
    </row>
    <row r="81" customFormat="false" ht="15" hidden="false" customHeight="false" outlineLevel="0" collapsed="false">
      <c r="A81" s="37" t="n">
        <v>77</v>
      </c>
      <c r="B81" s="38" t="s">
        <v>80</v>
      </c>
      <c r="C81" s="37" t="n">
        <v>1</v>
      </c>
      <c r="D81" s="35" t="str">
        <f aca="false">VLOOKUP(C81, Lookups_Metadata!$A$4:$B$7, 2, FALSE())</f>
        <v>Spring</v>
      </c>
      <c r="E81" s="37" t="n">
        <v>0</v>
      </c>
      <c r="F81" s="37" t="n">
        <v>1</v>
      </c>
      <c r="G81" s="37" t="n">
        <v>8</v>
      </c>
      <c r="H81" s="39" t="b">
        <f aca="false">FALSE()</f>
        <v>0</v>
      </c>
      <c r="I81" s="37" t="n">
        <v>2</v>
      </c>
      <c r="J81" s="35" t="str">
        <f aca="false">INDEX(Lookups_Metadata!$E$4:$E$10, MATCH(I81, Lookups_Metadata!$D$4:$D$10, 0))</f>
        <v>Tuesday</v>
      </c>
      <c r="K81" s="35" t="str">
        <f aca="false">IF(H81=TRUE(), "Holiday", IF(OR(I81=0, I81=6), "Weekend", "Weekday"))</f>
        <v>Weekday</v>
      </c>
      <c r="L81" s="35" t="str">
        <f aca="false">IF(AND(K81="Weekday", OR(AND(G81&gt;=7, G81&lt;=9), AND(G81&gt;=17, G81&lt;=19))), "Peak Commute", "Off-Peak")</f>
        <v>Peak Commute</v>
      </c>
      <c r="M81" s="37" t="n">
        <v>1</v>
      </c>
      <c r="N81" s="35" t="str">
        <f aca="false">VLOOKUP(M81, Lookups_Metadata!$G$4:$H$7, 2, FALSE())</f>
        <v>Clear / Few Clouds</v>
      </c>
      <c r="O81" s="40" t="n">
        <v>0.14</v>
      </c>
      <c r="P81" s="40" t="n">
        <v>0.1515</v>
      </c>
      <c r="Q81" s="40" t="n">
        <f aca="false">IF(OR(P81="", ISBLANK(P81)), ROUND(0.9367*O81+0.0175, 4), P81)</f>
        <v>0.1515</v>
      </c>
      <c r="R81" s="35" t="str">
        <f aca="false">IF(OR(P81="", ISBLANK(P81)), "Imputed (Regression/Trend)", "Original")</f>
        <v>Original</v>
      </c>
      <c r="S81" s="40" t="n">
        <v>0.69</v>
      </c>
      <c r="T81" s="40" t="n">
        <v>0.1642</v>
      </c>
      <c r="U81" s="41" t="n">
        <v>2</v>
      </c>
      <c r="V81" s="41" t="n">
        <v>177</v>
      </c>
      <c r="W81" s="41" t="n">
        <f aca="false">U81+V81</f>
        <v>179</v>
      </c>
      <c r="X81" s="42" t="n">
        <f aca="false">U81/W81</f>
        <v>0.0111731843575419</v>
      </c>
      <c r="Y81" s="42" t="n">
        <f aca="false">V81/W81</f>
        <v>0.988826815642458</v>
      </c>
      <c r="Z81" s="35" t="str">
        <f aca="false">IF(W81&gt;=150, "High Demand", IF(W81&gt;=50, "Moderate Demand", "Low Demand"))</f>
        <v>High Demand</v>
      </c>
      <c r="AA81" s="39" t="str">
        <f aca="false">TEXT(G81, "00") &amp; ":00"</f>
        <v>08:00</v>
      </c>
      <c r="AB81" s="37" t="n">
        <f aca="false">YEAR(B81)</f>
        <v>2011</v>
      </c>
      <c r="AC81" s="35" t="str">
        <f aca="false">TEXT(B81, "mmmm")</f>
        <v>January</v>
      </c>
      <c r="AD81" s="37" t="n">
        <f aca="false">LEN(TEXT(B81, "YYYY-MM-DD"))</f>
        <v>10</v>
      </c>
      <c r="AE81" s="39" t="str">
        <f aca="false">LEFT(TEXT(B81, "YYYY-MM-DD"), 4)</f>
        <v>2011</v>
      </c>
      <c r="AF81" s="39" t="str">
        <f aca="false">RIGHT(TEXT(B81, "YYYY-MM-DD"), 2)</f>
        <v>04</v>
      </c>
    </row>
    <row r="82" customFormat="false" ht="15" hidden="false" customHeight="false" outlineLevel="0" collapsed="false">
      <c r="A82" s="43" t="n">
        <v>78</v>
      </c>
      <c r="B82" s="44" t="s">
        <v>80</v>
      </c>
      <c r="C82" s="43" t="n">
        <v>1</v>
      </c>
      <c r="D82" s="33" t="str">
        <f aca="false">VLOOKUP(C82, Lookups_Metadata!$A$4:$B$7, 2, FALSE())</f>
        <v>Spring</v>
      </c>
      <c r="E82" s="43" t="n">
        <v>0</v>
      </c>
      <c r="F82" s="43" t="n">
        <v>1</v>
      </c>
      <c r="G82" s="43" t="n">
        <v>9</v>
      </c>
      <c r="H82" s="45" t="b">
        <f aca="false">FALSE()</f>
        <v>0</v>
      </c>
      <c r="I82" s="43" t="n">
        <v>2</v>
      </c>
      <c r="J82" s="33" t="str">
        <f aca="false">INDEX(Lookups_Metadata!$E$4:$E$10, MATCH(I82, Lookups_Metadata!$D$4:$D$10, 0))</f>
        <v>Tuesday</v>
      </c>
      <c r="K82" s="33" t="str">
        <f aca="false">IF(H82=TRUE(), "Holiday", IF(OR(I82=0, I82=6), "Weekend", "Weekday"))</f>
        <v>Weekday</v>
      </c>
      <c r="L82" s="33" t="str">
        <f aca="false">IF(AND(K82="Weekday", OR(AND(G82&gt;=7, G82&lt;=9), AND(G82&gt;=17, G82&lt;=19))), "Peak Commute", "Off-Peak")</f>
        <v>Peak Commute</v>
      </c>
      <c r="M82" s="43" t="n">
        <v>1</v>
      </c>
      <c r="N82" s="33" t="str">
        <f aca="false">VLOOKUP(M82, Lookups_Metadata!$G$4:$H$7, 2, FALSE())</f>
        <v>Clear / Few Clouds</v>
      </c>
      <c r="O82" s="46" t="n">
        <v>0.16</v>
      </c>
      <c r="P82" s="46" t="n">
        <v>0.1515</v>
      </c>
      <c r="Q82" s="46" t="n">
        <f aca="false">IF(OR(P82="", ISBLANK(P82)), ROUND(0.9367*O82+0.0175, 4), P82)</f>
        <v>0.1515</v>
      </c>
      <c r="R82" s="33" t="str">
        <f aca="false">IF(OR(P82="", ISBLANK(P82)), "Imputed (Regression/Trend)", "Original")</f>
        <v>Original</v>
      </c>
      <c r="S82" s="46" t="n">
        <v>0.64</v>
      </c>
      <c r="T82" s="46" t="n">
        <v>0.2239</v>
      </c>
      <c r="U82" s="18" t="n">
        <v>2</v>
      </c>
      <c r="V82" s="18" t="n">
        <v>98</v>
      </c>
      <c r="W82" s="18" t="n">
        <f aca="false">U82+V82</f>
        <v>100</v>
      </c>
      <c r="X82" s="47" t="n">
        <f aca="false">U82/W82</f>
        <v>0.02</v>
      </c>
      <c r="Y82" s="47" t="n">
        <f aca="false">V82/W82</f>
        <v>0.98</v>
      </c>
      <c r="Z82" s="33" t="str">
        <f aca="false">IF(W82&gt;=150, "High Demand", IF(W82&gt;=50, "Moderate Demand", "Low Demand"))</f>
        <v>Moderate Demand</v>
      </c>
      <c r="AA82" s="45" t="str">
        <f aca="false">TEXT(G82, "00") &amp; ":00"</f>
        <v>09:00</v>
      </c>
      <c r="AB82" s="43" t="n">
        <f aca="false">YEAR(B82)</f>
        <v>2011</v>
      </c>
      <c r="AC82" s="33" t="str">
        <f aca="false">TEXT(B82, "mmmm")</f>
        <v>January</v>
      </c>
      <c r="AD82" s="43" t="n">
        <f aca="false">LEN(TEXT(B82, "YYYY-MM-DD"))</f>
        <v>10</v>
      </c>
      <c r="AE82" s="45" t="str">
        <f aca="false">LEFT(TEXT(B82, "YYYY-MM-DD"), 4)</f>
        <v>2011</v>
      </c>
      <c r="AF82" s="45" t="str">
        <f aca="false">RIGHT(TEXT(B82, "YYYY-MM-DD"), 2)</f>
        <v>04</v>
      </c>
    </row>
    <row r="83" customFormat="false" ht="15" hidden="false" customHeight="false" outlineLevel="0" collapsed="false">
      <c r="A83" s="37" t="n">
        <v>79</v>
      </c>
      <c r="B83" s="38" t="s">
        <v>80</v>
      </c>
      <c r="C83" s="37" t="n">
        <v>1</v>
      </c>
      <c r="D83" s="35" t="str">
        <f aca="false">VLOOKUP(C83, Lookups_Metadata!$A$4:$B$7, 2, FALSE())</f>
        <v>Spring</v>
      </c>
      <c r="E83" s="37" t="n">
        <v>0</v>
      </c>
      <c r="F83" s="37" t="n">
        <v>1</v>
      </c>
      <c r="G83" s="37" t="n">
        <v>10</v>
      </c>
      <c r="H83" s="39" t="b">
        <f aca="false">FALSE()</f>
        <v>0</v>
      </c>
      <c r="I83" s="37" t="n">
        <v>2</v>
      </c>
      <c r="J83" s="35" t="str">
        <f aca="false">INDEX(Lookups_Metadata!$E$4:$E$10, MATCH(I83, Lookups_Metadata!$D$4:$D$10, 0))</f>
        <v>Tuesday</v>
      </c>
      <c r="K83" s="35" t="str">
        <f aca="false">IF(H83=TRUE(), "Holiday", IF(OR(I83=0, I83=6), "Weekend", "Weekday"))</f>
        <v>Weekday</v>
      </c>
      <c r="L83" s="35" t="str">
        <f aca="false">IF(AND(K83="Weekday", OR(AND(G83&gt;=7, G83&lt;=9), AND(G83&gt;=17, G83&lt;=19))), "Peak Commute", "Off-Peak")</f>
        <v>Off-Peak</v>
      </c>
      <c r="M83" s="37" t="n">
        <v>2</v>
      </c>
      <c r="N83" s="35" t="str">
        <f aca="false">VLOOKUP(M83, Lookups_Metadata!$G$4:$H$7, 2, FALSE())</f>
        <v>Mist / Cloudy</v>
      </c>
      <c r="O83" s="40" t="n">
        <v>0.16</v>
      </c>
      <c r="P83" s="40" t="n">
        <v>0.1364</v>
      </c>
      <c r="Q83" s="40" t="n">
        <f aca="false">IF(OR(P83="", ISBLANK(P83)), ROUND(0.9367*O83+0.0175, 4), P83)</f>
        <v>0.1364</v>
      </c>
      <c r="R83" s="35" t="str">
        <f aca="false">IF(OR(P83="", ISBLANK(P83)), "Imputed (Regression/Trend)", "Original")</f>
        <v>Original</v>
      </c>
      <c r="S83" s="40" t="n">
        <v>0.69</v>
      </c>
      <c r="T83" s="40" t="n">
        <v>0.3284</v>
      </c>
      <c r="U83" s="41" t="n">
        <v>5</v>
      </c>
      <c r="V83" s="41" t="n">
        <v>37</v>
      </c>
      <c r="W83" s="41" t="n">
        <f aca="false">U83+V83</f>
        <v>42</v>
      </c>
      <c r="X83" s="42" t="n">
        <f aca="false">U83/W83</f>
        <v>0.119047619047619</v>
      </c>
      <c r="Y83" s="42" t="n">
        <f aca="false">V83/W83</f>
        <v>0.880952380952381</v>
      </c>
      <c r="Z83" s="35" t="str">
        <f aca="false">IF(W83&gt;=150, "High Demand", IF(W83&gt;=50, "Moderate Demand", "Low Demand"))</f>
        <v>Low Demand</v>
      </c>
      <c r="AA83" s="39" t="str">
        <f aca="false">TEXT(G83, "00") &amp; ":00"</f>
        <v>10:00</v>
      </c>
      <c r="AB83" s="37" t="n">
        <f aca="false">YEAR(B83)</f>
        <v>2011</v>
      </c>
      <c r="AC83" s="35" t="str">
        <f aca="false">TEXT(B83, "mmmm")</f>
        <v>January</v>
      </c>
      <c r="AD83" s="37" t="n">
        <f aca="false">LEN(TEXT(B83, "YYYY-MM-DD"))</f>
        <v>10</v>
      </c>
      <c r="AE83" s="39" t="str">
        <f aca="false">LEFT(TEXT(B83, "YYYY-MM-DD"), 4)</f>
        <v>2011</v>
      </c>
      <c r="AF83" s="39" t="str">
        <f aca="false">RIGHT(TEXT(B83, "YYYY-MM-DD"), 2)</f>
        <v>04</v>
      </c>
    </row>
    <row r="84" customFormat="false" ht="15" hidden="false" customHeight="false" outlineLevel="0" collapsed="false">
      <c r="A84" s="43" t="n">
        <v>80</v>
      </c>
      <c r="B84" s="44" t="s">
        <v>80</v>
      </c>
      <c r="C84" s="43" t="n">
        <v>1</v>
      </c>
      <c r="D84" s="33" t="str">
        <f aca="false">VLOOKUP(C84, Lookups_Metadata!$A$4:$B$7, 2, FALSE())</f>
        <v>Spring</v>
      </c>
      <c r="E84" s="43" t="n">
        <v>0</v>
      </c>
      <c r="F84" s="43" t="n">
        <v>1</v>
      </c>
      <c r="G84" s="43" t="n">
        <v>11</v>
      </c>
      <c r="H84" s="45" t="b">
        <f aca="false">FALSE()</f>
        <v>0</v>
      </c>
      <c r="I84" s="43" t="n">
        <v>2</v>
      </c>
      <c r="J84" s="33" t="str">
        <f aca="false">INDEX(Lookups_Metadata!$E$4:$E$10, MATCH(I84, Lookups_Metadata!$D$4:$D$10, 0))</f>
        <v>Tuesday</v>
      </c>
      <c r="K84" s="33" t="str">
        <f aca="false">IF(H84=TRUE(), "Holiday", IF(OR(I84=0, I84=6), "Weekend", "Weekday"))</f>
        <v>Weekday</v>
      </c>
      <c r="L84" s="33" t="str">
        <f aca="false">IF(AND(K84="Weekday", OR(AND(G84&gt;=7, G84&lt;=9), AND(G84&gt;=17, G84&lt;=19))), "Peak Commute", "Off-Peak")</f>
        <v>Off-Peak</v>
      </c>
      <c r="M84" s="43" t="n">
        <v>1</v>
      </c>
      <c r="N84" s="33" t="str">
        <f aca="false">VLOOKUP(M84, Lookups_Metadata!$G$4:$H$7, 2, FALSE())</f>
        <v>Clear / Few Clouds</v>
      </c>
      <c r="O84" s="46" t="n">
        <v>0.22</v>
      </c>
      <c r="P84" s="46" t="n">
        <v>0.2121</v>
      </c>
      <c r="Q84" s="46" t="n">
        <f aca="false">IF(OR(P84="", ISBLANK(P84)), ROUND(0.9367*O84+0.0175, 4), P84)</f>
        <v>0.2121</v>
      </c>
      <c r="R84" s="33" t="str">
        <f aca="false">IF(OR(P84="", ISBLANK(P84)), "Imputed (Regression/Trend)", "Original")</f>
        <v>Original</v>
      </c>
      <c r="S84" s="46" t="n">
        <v>0.51</v>
      </c>
      <c r="T84" s="46" t="n">
        <v>0.2985</v>
      </c>
      <c r="U84" s="18" t="n">
        <v>7</v>
      </c>
      <c r="V84" s="18" t="n">
        <v>50</v>
      </c>
      <c r="W84" s="18" t="n">
        <f aca="false">U84+V84</f>
        <v>57</v>
      </c>
      <c r="X84" s="47" t="n">
        <f aca="false">U84/W84</f>
        <v>0.12280701754386</v>
      </c>
      <c r="Y84" s="47" t="n">
        <f aca="false">V84/W84</f>
        <v>0.87719298245614</v>
      </c>
      <c r="Z84" s="33" t="str">
        <f aca="false">IF(W84&gt;=150, "High Demand", IF(W84&gt;=50, "Moderate Demand", "Low Demand"))</f>
        <v>Moderate Demand</v>
      </c>
      <c r="AA84" s="45" t="str">
        <f aca="false">TEXT(G84, "00") &amp; ":00"</f>
        <v>11:00</v>
      </c>
      <c r="AB84" s="43" t="n">
        <f aca="false">YEAR(B84)</f>
        <v>2011</v>
      </c>
      <c r="AC84" s="33" t="str">
        <f aca="false">TEXT(B84, "mmmm")</f>
        <v>January</v>
      </c>
      <c r="AD84" s="43" t="n">
        <f aca="false">LEN(TEXT(B84, "YYYY-MM-DD"))</f>
        <v>10</v>
      </c>
      <c r="AE84" s="45" t="str">
        <f aca="false">LEFT(TEXT(B84, "YYYY-MM-DD"), 4)</f>
        <v>2011</v>
      </c>
      <c r="AF84" s="45" t="str">
        <f aca="false">RIGHT(TEXT(B84, "YYYY-MM-DD"), 2)</f>
        <v>04</v>
      </c>
    </row>
    <row r="85" customFormat="false" ht="15" hidden="false" customHeight="false" outlineLevel="0" collapsed="false">
      <c r="A85" s="37" t="n">
        <v>81</v>
      </c>
      <c r="B85" s="38" t="s">
        <v>80</v>
      </c>
      <c r="C85" s="37" t="n">
        <v>1</v>
      </c>
      <c r="D85" s="35" t="str">
        <f aca="false">VLOOKUP(C85, Lookups_Metadata!$A$4:$B$7, 2, FALSE())</f>
        <v>Spring</v>
      </c>
      <c r="E85" s="37" t="n">
        <v>0</v>
      </c>
      <c r="F85" s="37" t="n">
        <v>1</v>
      </c>
      <c r="G85" s="37" t="n">
        <v>12</v>
      </c>
      <c r="H85" s="39" t="b">
        <f aca="false">FALSE()</f>
        <v>0</v>
      </c>
      <c r="I85" s="37" t="n">
        <v>2</v>
      </c>
      <c r="J85" s="35" t="str">
        <f aca="false">INDEX(Lookups_Metadata!$E$4:$E$10, MATCH(I85, Lookups_Metadata!$D$4:$D$10, 0))</f>
        <v>Tuesday</v>
      </c>
      <c r="K85" s="35" t="str">
        <f aca="false">IF(H85=TRUE(), "Holiday", IF(OR(I85=0, I85=6), "Weekend", "Weekday"))</f>
        <v>Weekday</v>
      </c>
      <c r="L85" s="35" t="str">
        <f aca="false">IF(AND(K85="Weekday", OR(AND(G85&gt;=7, G85&lt;=9), AND(G85&gt;=17, G85&lt;=19))), "Peak Commute", "Off-Peak")</f>
        <v>Off-Peak</v>
      </c>
      <c r="M85" s="37" t="n">
        <v>1</v>
      </c>
      <c r="N85" s="35" t="str">
        <f aca="false">VLOOKUP(M85, Lookups_Metadata!$G$4:$H$7, 2, FALSE())</f>
        <v>Clear / Few Clouds</v>
      </c>
      <c r="O85" s="40" t="n">
        <v>0.22</v>
      </c>
      <c r="P85" s="40" t="n">
        <v>0.2273</v>
      </c>
      <c r="Q85" s="40" t="n">
        <f aca="false">IF(OR(P85="", ISBLANK(P85)), ROUND(0.9367*O85+0.0175, 4), P85)</f>
        <v>0.2273</v>
      </c>
      <c r="R85" s="35" t="str">
        <f aca="false">IF(OR(P85="", ISBLANK(P85)), "Imputed (Regression/Trend)", "Original")</f>
        <v>Original</v>
      </c>
      <c r="S85" s="40" t="n">
        <v>0.51</v>
      </c>
      <c r="T85" s="40" t="n">
        <v>0.1642</v>
      </c>
      <c r="U85" s="41" t="n">
        <v>12</v>
      </c>
      <c r="V85" s="41" t="n">
        <v>66</v>
      </c>
      <c r="W85" s="41" t="n">
        <f aca="false">U85+V85</f>
        <v>78</v>
      </c>
      <c r="X85" s="42" t="n">
        <f aca="false">U85/W85</f>
        <v>0.153846153846154</v>
      </c>
      <c r="Y85" s="42" t="n">
        <f aca="false">V85/W85</f>
        <v>0.846153846153846</v>
      </c>
      <c r="Z85" s="35" t="str">
        <f aca="false">IF(W85&gt;=150, "High Demand", IF(W85&gt;=50, "Moderate Demand", "Low Demand"))</f>
        <v>Moderate Demand</v>
      </c>
      <c r="AA85" s="39" t="str">
        <f aca="false">TEXT(G85, "00") &amp; ":00"</f>
        <v>12:00</v>
      </c>
      <c r="AB85" s="37" t="n">
        <f aca="false">YEAR(B85)</f>
        <v>2011</v>
      </c>
      <c r="AC85" s="35" t="str">
        <f aca="false">TEXT(B85, "mmmm")</f>
        <v>January</v>
      </c>
      <c r="AD85" s="37" t="n">
        <f aca="false">LEN(TEXT(B85, "YYYY-MM-DD"))</f>
        <v>10</v>
      </c>
      <c r="AE85" s="39" t="str">
        <f aca="false">LEFT(TEXT(B85, "YYYY-MM-DD"), 4)</f>
        <v>2011</v>
      </c>
      <c r="AF85" s="39" t="str">
        <f aca="false">RIGHT(TEXT(B85, "YYYY-MM-DD"), 2)</f>
        <v>04</v>
      </c>
    </row>
    <row r="86" customFormat="false" ht="15" hidden="false" customHeight="false" outlineLevel="0" collapsed="false">
      <c r="A86" s="43" t="n">
        <v>82</v>
      </c>
      <c r="B86" s="44" t="s">
        <v>80</v>
      </c>
      <c r="C86" s="43" t="n">
        <v>1</v>
      </c>
      <c r="D86" s="33" t="str">
        <f aca="false">VLOOKUP(C86, Lookups_Metadata!$A$4:$B$7, 2, FALSE())</f>
        <v>Spring</v>
      </c>
      <c r="E86" s="43" t="n">
        <v>0</v>
      </c>
      <c r="F86" s="43" t="n">
        <v>1</v>
      </c>
      <c r="G86" s="43" t="n">
        <v>13</v>
      </c>
      <c r="H86" s="45" t="b">
        <f aca="false">FALSE()</f>
        <v>0</v>
      </c>
      <c r="I86" s="43" t="n">
        <v>2</v>
      </c>
      <c r="J86" s="33" t="str">
        <f aca="false">INDEX(Lookups_Metadata!$E$4:$E$10, MATCH(I86, Lookups_Metadata!$D$4:$D$10, 0))</f>
        <v>Tuesday</v>
      </c>
      <c r="K86" s="33" t="str">
        <f aca="false">IF(H86=TRUE(), "Holiday", IF(OR(I86=0, I86=6), "Weekend", "Weekday"))</f>
        <v>Weekday</v>
      </c>
      <c r="L86" s="33" t="str">
        <f aca="false">IF(AND(K86="Weekday", OR(AND(G86&gt;=7, G86&lt;=9), AND(G86&gt;=17, G86&lt;=19))), "Peak Commute", "Off-Peak")</f>
        <v>Off-Peak</v>
      </c>
      <c r="M86" s="43" t="n">
        <v>1</v>
      </c>
      <c r="N86" s="33" t="str">
        <f aca="false">VLOOKUP(M86, Lookups_Metadata!$G$4:$H$7, 2, FALSE())</f>
        <v>Clear / Few Clouds</v>
      </c>
      <c r="O86" s="46" t="n">
        <v>0.24</v>
      </c>
      <c r="P86" s="46" t="n">
        <v>0.2273</v>
      </c>
      <c r="Q86" s="46" t="n">
        <f aca="false">IF(OR(P86="", ISBLANK(P86)), ROUND(0.9367*O86+0.0175, 4), P86)</f>
        <v>0.2273</v>
      </c>
      <c r="R86" s="33" t="str">
        <f aca="false">IF(OR(P86="", ISBLANK(P86)), "Imputed (Regression/Trend)", "Original")</f>
        <v>Original</v>
      </c>
      <c r="S86" s="46" t="n">
        <v>0.56</v>
      </c>
      <c r="T86" s="46" t="n">
        <v>0.194</v>
      </c>
      <c r="U86" s="18" t="n">
        <v>18</v>
      </c>
      <c r="V86" s="18" t="n">
        <v>79</v>
      </c>
      <c r="W86" s="18" t="n">
        <f aca="false">U86+V86</f>
        <v>97</v>
      </c>
      <c r="X86" s="47" t="n">
        <f aca="false">U86/W86</f>
        <v>0.185567010309278</v>
      </c>
      <c r="Y86" s="47" t="n">
        <f aca="false">V86/W86</f>
        <v>0.814432989690722</v>
      </c>
      <c r="Z86" s="33" t="str">
        <f aca="false">IF(W86&gt;=150, "High Demand", IF(W86&gt;=50, "Moderate Demand", "Low Demand"))</f>
        <v>Moderate Demand</v>
      </c>
      <c r="AA86" s="45" t="str">
        <f aca="false">TEXT(G86, "00") &amp; ":00"</f>
        <v>13:00</v>
      </c>
      <c r="AB86" s="43" t="n">
        <f aca="false">YEAR(B86)</f>
        <v>2011</v>
      </c>
      <c r="AC86" s="33" t="str">
        <f aca="false">TEXT(B86, "mmmm")</f>
        <v>January</v>
      </c>
      <c r="AD86" s="43" t="n">
        <f aca="false">LEN(TEXT(B86, "YYYY-MM-DD"))</f>
        <v>10</v>
      </c>
      <c r="AE86" s="45" t="str">
        <f aca="false">LEFT(TEXT(B86, "YYYY-MM-DD"), 4)</f>
        <v>2011</v>
      </c>
      <c r="AF86" s="45" t="str">
        <f aca="false">RIGHT(TEXT(B86, "YYYY-MM-DD"), 2)</f>
        <v>04</v>
      </c>
    </row>
    <row r="87" customFormat="false" ht="15" hidden="false" customHeight="false" outlineLevel="0" collapsed="false">
      <c r="A87" s="37" t="n">
        <v>83</v>
      </c>
      <c r="B87" s="38" t="s">
        <v>80</v>
      </c>
      <c r="C87" s="37" t="n">
        <v>1</v>
      </c>
      <c r="D87" s="35" t="str">
        <f aca="false">VLOOKUP(C87, Lookups_Metadata!$A$4:$B$7, 2, FALSE())</f>
        <v>Spring</v>
      </c>
      <c r="E87" s="37" t="n">
        <v>0</v>
      </c>
      <c r="F87" s="37" t="n">
        <v>1</v>
      </c>
      <c r="G87" s="37" t="n">
        <v>14</v>
      </c>
      <c r="H87" s="39" t="b">
        <f aca="false">FALSE()</f>
        <v>0</v>
      </c>
      <c r="I87" s="37" t="n">
        <v>2</v>
      </c>
      <c r="J87" s="35" t="str">
        <f aca="false">INDEX(Lookups_Metadata!$E$4:$E$10, MATCH(I87, Lookups_Metadata!$D$4:$D$10, 0))</f>
        <v>Tuesday</v>
      </c>
      <c r="K87" s="35" t="str">
        <f aca="false">IF(H87=TRUE(), "Holiday", IF(OR(I87=0, I87=6), "Weekend", "Weekday"))</f>
        <v>Weekday</v>
      </c>
      <c r="L87" s="35" t="str">
        <f aca="false">IF(AND(K87="Weekday", OR(AND(G87&gt;=7, G87&lt;=9), AND(G87&gt;=17, G87&lt;=19))), "Peak Commute", "Off-Peak")</f>
        <v>Off-Peak</v>
      </c>
      <c r="M87" s="37" t="n">
        <v>1</v>
      </c>
      <c r="N87" s="35" t="str">
        <f aca="false">VLOOKUP(M87, Lookups_Metadata!$G$4:$H$7, 2, FALSE())</f>
        <v>Clear / Few Clouds</v>
      </c>
      <c r="O87" s="40" t="n">
        <v>0.26</v>
      </c>
      <c r="P87" s="40" t="n">
        <v>0.2576</v>
      </c>
      <c r="Q87" s="40" t="n">
        <f aca="false">IF(OR(P87="", ISBLANK(P87)), ROUND(0.9367*O87+0.0175, 4), P87)</f>
        <v>0.2576</v>
      </c>
      <c r="R87" s="35" t="str">
        <f aca="false">IF(OR(P87="", ISBLANK(P87)), "Imputed (Regression/Trend)", "Original")</f>
        <v>Original</v>
      </c>
      <c r="S87" s="40" t="n">
        <v>0.52</v>
      </c>
      <c r="T87" s="40" t="n">
        <v>0.2239</v>
      </c>
      <c r="U87" s="41" t="n">
        <v>9</v>
      </c>
      <c r="V87" s="41" t="n">
        <v>54</v>
      </c>
      <c r="W87" s="41" t="n">
        <f aca="false">U87+V87</f>
        <v>63</v>
      </c>
      <c r="X87" s="42" t="n">
        <f aca="false">U87/W87</f>
        <v>0.142857142857143</v>
      </c>
      <c r="Y87" s="42" t="n">
        <f aca="false">V87/W87</f>
        <v>0.857142857142857</v>
      </c>
      <c r="Z87" s="35" t="str">
        <f aca="false">IF(W87&gt;=150, "High Demand", IF(W87&gt;=50, "Moderate Demand", "Low Demand"))</f>
        <v>Moderate Demand</v>
      </c>
      <c r="AA87" s="39" t="str">
        <f aca="false">TEXT(G87, "00") &amp; ":00"</f>
        <v>14:00</v>
      </c>
      <c r="AB87" s="37" t="n">
        <f aca="false">YEAR(B87)</f>
        <v>2011</v>
      </c>
      <c r="AC87" s="35" t="str">
        <f aca="false">TEXT(B87, "mmmm")</f>
        <v>January</v>
      </c>
      <c r="AD87" s="37" t="n">
        <f aca="false">LEN(TEXT(B87, "YYYY-MM-DD"))</f>
        <v>10</v>
      </c>
      <c r="AE87" s="39" t="str">
        <f aca="false">LEFT(TEXT(B87, "YYYY-MM-DD"), 4)</f>
        <v>2011</v>
      </c>
      <c r="AF87" s="39" t="str">
        <f aca="false">RIGHT(TEXT(B87, "YYYY-MM-DD"), 2)</f>
        <v>04</v>
      </c>
    </row>
    <row r="88" customFormat="false" ht="15" hidden="false" customHeight="false" outlineLevel="0" collapsed="false">
      <c r="A88" s="43" t="n">
        <v>84</v>
      </c>
      <c r="B88" s="44" t="s">
        <v>80</v>
      </c>
      <c r="C88" s="43" t="n">
        <v>1</v>
      </c>
      <c r="D88" s="33" t="str">
        <f aca="false">VLOOKUP(C88, Lookups_Metadata!$A$4:$B$7, 2, FALSE())</f>
        <v>Spring</v>
      </c>
      <c r="E88" s="43" t="n">
        <v>0</v>
      </c>
      <c r="F88" s="43" t="n">
        <v>1</v>
      </c>
      <c r="G88" s="43" t="n">
        <v>15</v>
      </c>
      <c r="H88" s="45" t="b">
        <f aca="false">FALSE()</f>
        <v>0</v>
      </c>
      <c r="I88" s="43" t="n">
        <v>2</v>
      </c>
      <c r="J88" s="33" t="str">
        <f aca="false">INDEX(Lookups_Metadata!$E$4:$E$10, MATCH(I88, Lookups_Metadata!$D$4:$D$10, 0))</f>
        <v>Tuesday</v>
      </c>
      <c r="K88" s="33" t="str">
        <f aca="false">IF(H88=TRUE(), "Holiday", IF(OR(I88=0, I88=6), "Weekend", "Weekday"))</f>
        <v>Weekday</v>
      </c>
      <c r="L88" s="33" t="str">
        <f aca="false">IF(AND(K88="Weekday", OR(AND(G88&gt;=7, G88&lt;=9), AND(G88&gt;=17, G88&lt;=19))), "Peak Commute", "Off-Peak")</f>
        <v>Off-Peak</v>
      </c>
      <c r="M88" s="43" t="n">
        <v>1</v>
      </c>
      <c r="N88" s="33" t="str">
        <f aca="false">VLOOKUP(M88, Lookups_Metadata!$G$4:$H$7, 2, FALSE())</f>
        <v>Clear / Few Clouds</v>
      </c>
      <c r="O88" s="46" t="n">
        <v>0.28</v>
      </c>
      <c r="P88" s="46" t="n">
        <v>0.2727</v>
      </c>
      <c r="Q88" s="46" t="n">
        <f aca="false">IF(OR(P88="", ISBLANK(P88)), ROUND(0.9367*O88+0.0175, 4), P88)</f>
        <v>0.2727</v>
      </c>
      <c r="R88" s="33" t="str">
        <f aca="false">IF(OR(P88="", ISBLANK(P88)), "Imputed (Regression/Trend)", "Original")</f>
        <v>Original</v>
      </c>
      <c r="S88" s="46" t="n">
        <v>0.52</v>
      </c>
      <c r="T88" s="46" t="n">
        <v>0.2537</v>
      </c>
      <c r="U88" s="18" t="n">
        <v>17</v>
      </c>
      <c r="V88" s="18" t="n">
        <v>48</v>
      </c>
      <c r="W88" s="18" t="n">
        <f aca="false">U88+V88</f>
        <v>65</v>
      </c>
      <c r="X88" s="47" t="n">
        <f aca="false">U88/W88</f>
        <v>0.261538461538462</v>
      </c>
      <c r="Y88" s="47" t="n">
        <f aca="false">V88/W88</f>
        <v>0.738461538461539</v>
      </c>
      <c r="Z88" s="33" t="str">
        <f aca="false">IF(W88&gt;=150, "High Demand", IF(W88&gt;=50, "Moderate Demand", "Low Demand"))</f>
        <v>Moderate Demand</v>
      </c>
      <c r="AA88" s="45" t="str">
        <f aca="false">TEXT(G88, "00") &amp; ":00"</f>
        <v>15:00</v>
      </c>
      <c r="AB88" s="43" t="n">
        <f aca="false">YEAR(B88)</f>
        <v>2011</v>
      </c>
      <c r="AC88" s="33" t="str">
        <f aca="false">TEXT(B88, "mmmm")</f>
        <v>January</v>
      </c>
      <c r="AD88" s="43" t="n">
        <f aca="false">LEN(TEXT(B88, "YYYY-MM-DD"))</f>
        <v>10</v>
      </c>
      <c r="AE88" s="45" t="str">
        <f aca="false">LEFT(TEXT(B88, "YYYY-MM-DD"), 4)</f>
        <v>2011</v>
      </c>
      <c r="AF88" s="45" t="str">
        <f aca="false">RIGHT(TEXT(B88, "YYYY-MM-DD"), 2)</f>
        <v>04</v>
      </c>
    </row>
    <row r="89" customFormat="false" ht="15" hidden="false" customHeight="false" outlineLevel="0" collapsed="false">
      <c r="A89" s="37" t="n">
        <v>85</v>
      </c>
      <c r="B89" s="38" t="s">
        <v>80</v>
      </c>
      <c r="C89" s="37" t="n">
        <v>1</v>
      </c>
      <c r="D89" s="35" t="str">
        <f aca="false">VLOOKUP(C89, Lookups_Metadata!$A$4:$B$7, 2, FALSE())</f>
        <v>Spring</v>
      </c>
      <c r="E89" s="37" t="n">
        <v>0</v>
      </c>
      <c r="F89" s="37" t="n">
        <v>1</v>
      </c>
      <c r="G89" s="37" t="n">
        <v>16</v>
      </c>
      <c r="H89" s="39" t="b">
        <f aca="false">FALSE()</f>
        <v>0</v>
      </c>
      <c r="I89" s="37" t="n">
        <v>2</v>
      </c>
      <c r="J89" s="35" t="str">
        <f aca="false">INDEX(Lookups_Metadata!$E$4:$E$10, MATCH(I89, Lookups_Metadata!$D$4:$D$10, 0))</f>
        <v>Tuesday</v>
      </c>
      <c r="K89" s="35" t="str">
        <f aca="false">IF(H89=TRUE(), "Holiday", IF(OR(I89=0, I89=6), "Weekend", "Weekday"))</f>
        <v>Weekday</v>
      </c>
      <c r="L89" s="35" t="str">
        <f aca="false">IF(AND(K89="Weekday", OR(AND(G89&gt;=7, G89&lt;=9), AND(G89&gt;=17, G89&lt;=19))), "Peak Commute", "Off-Peak")</f>
        <v>Off-Peak</v>
      </c>
      <c r="M89" s="37" t="n">
        <v>1</v>
      </c>
      <c r="N89" s="35" t="str">
        <f aca="false">VLOOKUP(M89, Lookups_Metadata!$G$4:$H$7, 2, FALSE())</f>
        <v>Clear / Few Clouds</v>
      </c>
      <c r="O89" s="40" t="n">
        <v>0.3</v>
      </c>
      <c r="P89" s="40" t="n">
        <v>0.2879</v>
      </c>
      <c r="Q89" s="40" t="n">
        <f aca="false">IF(OR(P89="", ISBLANK(P89)), ROUND(0.9367*O89+0.0175, 4), P89)</f>
        <v>0.2879</v>
      </c>
      <c r="R89" s="35" t="str">
        <f aca="false">IF(OR(P89="", ISBLANK(P89)), "Imputed (Regression/Trend)", "Original")</f>
        <v>Original</v>
      </c>
      <c r="S89" s="40" t="n">
        <v>0.49</v>
      </c>
      <c r="T89" s="40" t="n">
        <v>0.2537</v>
      </c>
      <c r="U89" s="41" t="n">
        <v>15</v>
      </c>
      <c r="V89" s="41" t="n">
        <v>68</v>
      </c>
      <c r="W89" s="41" t="n">
        <f aca="false">U89+V89</f>
        <v>83</v>
      </c>
      <c r="X89" s="42" t="n">
        <f aca="false">U89/W89</f>
        <v>0.180722891566265</v>
      </c>
      <c r="Y89" s="42" t="n">
        <f aca="false">V89/W89</f>
        <v>0.819277108433735</v>
      </c>
      <c r="Z89" s="35" t="str">
        <f aca="false">IF(W89&gt;=150, "High Demand", IF(W89&gt;=50, "Moderate Demand", "Low Demand"))</f>
        <v>Moderate Demand</v>
      </c>
      <c r="AA89" s="39" t="str">
        <f aca="false">TEXT(G89, "00") &amp; ":00"</f>
        <v>16:00</v>
      </c>
      <c r="AB89" s="37" t="n">
        <f aca="false">YEAR(B89)</f>
        <v>2011</v>
      </c>
      <c r="AC89" s="35" t="str">
        <f aca="false">TEXT(B89, "mmmm")</f>
        <v>January</v>
      </c>
      <c r="AD89" s="37" t="n">
        <f aca="false">LEN(TEXT(B89, "YYYY-MM-DD"))</f>
        <v>10</v>
      </c>
      <c r="AE89" s="39" t="str">
        <f aca="false">LEFT(TEXT(B89, "YYYY-MM-DD"), 4)</f>
        <v>2011</v>
      </c>
      <c r="AF89" s="39" t="str">
        <f aca="false">RIGHT(TEXT(B89, "YYYY-MM-DD"), 2)</f>
        <v>04</v>
      </c>
    </row>
    <row r="90" customFormat="false" ht="15" hidden="false" customHeight="false" outlineLevel="0" collapsed="false">
      <c r="A90" s="43" t="n">
        <v>86</v>
      </c>
      <c r="B90" s="44" t="s">
        <v>80</v>
      </c>
      <c r="C90" s="43" t="n">
        <v>1</v>
      </c>
      <c r="D90" s="33" t="str">
        <f aca="false">VLOOKUP(C90, Lookups_Metadata!$A$4:$B$7, 2, FALSE())</f>
        <v>Spring</v>
      </c>
      <c r="E90" s="43" t="n">
        <v>0</v>
      </c>
      <c r="F90" s="43" t="n">
        <v>1</v>
      </c>
      <c r="G90" s="43" t="n">
        <v>17</v>
      </c>
      <c r="H90" s="45" t="b">
        <f aca="false">FALSE()</f>
        <v>0</v>
      </c>
      <c r="I90" s="43" t="n">
        <v>2</v>
      </c>
      <c r="J90" s="33" t="str">
        <f aca="false">INDEX(Lookups_Metadata!$E$4:$E$10, MATCH(I90, Lookups_Metadata!$D$4:$D$10, 0))</f>
        <v>Tuesday</v>
      </c>
      <c r="K90" s="33" t="str">
        <f aca="false">IF(H90=TRUE(), "Holiday", IF(OR(I90=0, I90=6), "Weekend", "Weekday"))</f>
        <v>Weekday</v>
      </c>
      <c r="L90" s="33" t="str">
        <f aca="false">IF(AND(K90="Weekday", OR(AND(G90&gt;=7, G90&lt;=9), AND(G90&gt;=17, G90&lt;=19))), "Peak Commute", "Off-Peak")</f>
        <v>Peak Commute</v>
      </c>
      <c r="M90" s="43" t="n">
        <v>1</v>
      </c>
      <c r="N90" s="33" t="str">
        <f aca="false">VLOOKUP(M90, Lookups_Metadata!$G$4:$H$7, 2, FALSE())</f>
        <v>Clear / Few Clouds</v>
      </c>
      <c r="O90" s="46" t="n">
        <v>0.28</v>
      </c>
      <c r="P90" s="46" t="n">
        <v>0.2727</v>
      </c>
      <c r="Q90" s="46" t="n">
        <f aca="false">IF(OR(P90="", ISBLANK(P90)), ROUND(0.9367*O90+0.0175, 4), P90)</f>
        <v>0.2727</v>
      </c>
      <c r="R90" s="33" t="str">
        <f aca="false">IF(OR(P90="", ISBLANK(P90)), "Imputed (Regression/Trend)", "Original")</f>
        <v>Original</v>
      </c>
      <c r="S90" s="46" t="n">
        <v>0.48</v>
      </c>
      <c r="T90" s="46" t="n">
        <v>0.2239</v>
      </c>
      <c r="U90" s="18" t="n">
        <v>10</v>
      </c>
      <c r="V90" s="18" t="n">
        <v>202</v>
      </c>
      <c r="W90" s="18" t="n">
        <f aca="false">U90+V90</f>
        <v>212</v>
      </c>
      <c r="X90" s="47" t="n">
        <f aca="false">U90/W90</f>
        <v>0.0471698113207547</v>
      </c>
      <c r="Y90" s="47" t="n">
        <f aca="false">V90/W90</f>
        <v>0.952830188679245</v>
      </c>
      <c r="Z90" s="33" t="str">
        <f aca="false">IF(W90&gt;=150, "High Demand", IF(W90&gt;=50, "Moderate Demand", "Low Demand"))</f>
        <v>High Demand</v>
      </c>
      <c r="AA90" s="45" t="str">
        <f aca="false">TEXT(G90, "00") &amp; ":00"</f>
        <v>17:00</v>
      </c>
      <c r="AB90" s="43" t="n">
        <f aca="false">YEAR(B90)</f>
        <v>2011</v>
      </c>
      <c r="AC90" s="33" t="str">
        <f aca="false">TEXT(B90, "mmmm")</f>
        <v>January</v>
      </c>
      <c r="AD90" s="43" t="n">
        <f aca="false">LEN(TEXT(B90, "YYYY-MM-DD"))</f>
        <v>10</v>
      </c>
      <c r="AE90" s="45" t="str">
        <f aca="false">LEFT(TEXT(B90, "YYYY-MM-DD"), 4)</f>
        <v>2011</v>
      </c>
      <c r="AF90" s="45" t="str">
        <f aca="false">RIGHT(TEXT(B90, "YYYY-MM-DD"), 2)</f>
        <v>04</v>
      </c>
    </row>
    <row r="91" customFormat="false" ht="15" hidden="false" customHeight="false" outlineLevel="0" collapsed="false">
      <c r="A91" s="37" t="n">
        <v>87</v>
      </c>
      <c r="B91" s="38" t="s">
        <v>80</v>
      </c>
      <c r="C91" s="37" t="n">
        <v>1</v>
      </c>
      <c r="D91" s="35" t="str">
        <f aca="false">VLOOKUP(C91, Lookups_Metadata!$A$4:$B$7, 2, FALSE())</f>
        <v>Spring</v>
      </c>
      <c r="E91" s="37" t="n">
        <v>0</v>
      </c>
      <c r="F91" s="37" t="n">
        <v>1</v>
      </c>
      <c r="G91" s="37" t="n">
        <v>18</v>
      </c>
      <c r="H91" s="39" t="b">
        <f aca="false">FALSE()</f>
        <v>0</v>
      </c>
      <c r="I91" s="37" t="n">
        <v>2</v>
      </c>
      <c r="J91" s="35" t="str">
        <f aca="false">INDEX(Lookups_Metadata!$E$4:$E$10, MATCH(I91, Lookups_Metadata!$D$4:$D$10, 0))</f>
        <v>Tuesday</v>
      </c>
      <c r="K91" s="35" t="str">
        <f aca="false">IF(H91=TRUE(), "Holiday", IF(OR(I91=0, I91=6), "Weekend", "Weekday"))</f>
        <v>Weekday</v>
      </c>
      <c r="L91" s="35" t="str">
        <f aca="false">IF(AND(K91="Weekday", OR(AND(G91&gt;=7, G91&lt;=9), AND(G91&gt;=17, G91&lt;=19))), "Peak Commute", "Off-Peak")</f>
        <v>Peak Commute</v>
      </c>
      <c r="M91" s="37" t="n">
        <v>1</v>
      </c>
      <c r="N91" s="35" t="str">
        <f aca="false">VLOOKUP(M91, Lookups_Metadata!$G$4:$H$7, 2, FALSE())</f>
        <v>Clear / Few Clouds</v>
      </c>
      <c r="O91" s="40" t="n">
        <v>0.26</v>
      </c>
      <c r="P91" s="40" t="n">
        <v>0.2576</v>
      </c>
      <c r="Q91" s="40" t="n">
        <f aca="false">IF(OR(P91="", ISBLANK(P91)), ROUND(0.9367*O91+0.0175, 4), P91)</f>
        <v>0.2576</v>
      </c>
      <c r="R91" s="35" t="str">
        <f aca="false">IF(OR(P91="", ISBLANK(P91)), "Imputed (Regression/Trend)", "Original")</f>
        <v>Original</v>
      </c>
      <c r="S91" s="40" t="n">
        <v>0.48</v>
      </c>
      <c r="T91" s="40" t="n">
        <v>0.194</v>
      </c>
      <c r="U91" s="41" t="n">
        <v>3</v>
      </c>
      <c r="V91" s="41" t="n">
        <v>179</v>
      </c>
      <c r="W91" s="41" t="n">
        <f aca="false">U91+V91</f>
        <v>182</v>
      </c>
      <c r="X91" s="42" t="n">
        <f aca="false">U91/W91</f>
        <v>0.0164835164835165</v>
      </c>
      <c r="Y91" s="42" t="n">
        <f aca="false">V91/W91</f>
        <v>0.983516483516484</v>
      </c>
      <c r="Z91" s="35" t="str">
        <f aca="false">IF(W91&gt;=150, "High Demand", IF(W91&gt;=50, "Moderate Demand", "Low Demand"))</f>
        <v>High Demand</v>
      </c>
      <c r="AA91" s="39" t="str">
        <f aca="false">TEXT(G91, "00") &amp; ":00"</f>
        <v>18:00</v>
      </c>
      <c r="AB91" s="37" t="n">
        <f aca="false">YEAR(B91)</f>
        <v>2011</v>
      </c>
      <c r="AC91" s="35" t="str">
        <f aca="false">TEXT(B91, "mmmm")</f>
        <v>January</v>
      </c>
      <c r="AD91" s="37" t="n">
        <f aca="false">LEN(TEXT(B91, "YYYY-MM-DD"))</f>
        <v>10</v>
      </c>
      <c r="AE91" s="39" t="str">
        <f aca="false">LEFT(TEXT(B91, "YYYY-MM-DD"), 4)</f>
        <v>2011</v>
      </c>
      <c r="AF91" s="39" t="str">
        <f aca="false">RIGHT(TEXT(B91, "YYYY-MM-DD"), 2)</f>
        <v>04</v>
      </c>
    </row>
    <row r="92" customFormat="false" ht="15" hidden="false" customHeight="false" outlineLevel="0" collapsed="false">
      <c r="A92" s="43" t="n">
        <v>88</v>
      </c>
      <c r="B92" s="44" t="s">
        <v>80</v>
      </c>
      <c r="C92" s="43" t="n">
        <v>1</v>
      </c>
      <c r="D92" s="33" t="str">
        <f aca="false">VLOOKUP(C92, Lookups_Metadata!$A$4:$B$7, 2, FALSE())</f>
        <v>Spring</v>
      </c>
      <c r="E92" s="43" t="n">
        <v>0</v>
      </c>
      <c r="F92" s="43" t="n">
        <v>1</v>
      </c>
      <c r="G92" s="43" t="n">
        <v>19</v>
      </c>
      <c r="H92" s="45" t="b">
        <f aca="false">FALSE()</f>
        <v>0</v>
      </c>
      <c r="I92" s="43" t="n">
        <v>2</v>
      </c>
      <c r="J92" s="33" t="str">
        <f aca="false">INDEX(Lookups_Metadata!$E$4:$E$10, MATCH(I92, Lookups_Metadata!$D$4:$D$10, 0))</f>
        <v>Tuesday</v>
      </c>
      <c r="K92" s="33" t="str">
        <f aca="false">IF(H92=TRUE(), "Holiday", IF(OR(I92=0, I92=6), "Weekend", "Weekday"))</f>
        <v>Weekday</v>
      </c>
      <c r="L92" s="33" t="str">
        <f aca="false">IF(AND(K92="Weekday", OR(AND(G92&gt;=7, G92&lt;=9), AND(G92&gt;=17, G92&lt;=19))), "Peak Commute", "Off-Peak")</f>
        <v>Peak Commute</v>
      </c>
      <c r="M92" s="43" t="n">
        <v>1</v>
      </c>
      <c r="N92" s="33" t="str">
        <f aca="false">VLOOKUP(M92, Lookups_Metadata!$G$4:$H$7, 2, FALSE())</f>
        <v>Clear / Few Clouds</v>
      </c>
      <c r="O92" s="46" t="n">
        <v>0.24</v>
      </c>
      <c r="P92" s="46" t="n">
        <v>0.2576</v>
      </c>
      <c r="Q92" s="46" t="n">
        <f aca="false">IF(OR(P92="", ISBLANK(P92)), ROUND(0.9367*O92+0.0175, 4), P92)</f>
        <v>0.2576</v>
      </c>
      <c r="R92" s="33" t="str">
        <f aca="false">IF(OR(P92="", ISBLANK(P92)), "Imputed (Regression/Trend)", "Original")</f>
        <v>Original</v>
      </c>
      <c r="S92" s="46" t="n">
        <v>0.48</v>
      </c>
      <c r="T92" s="46" t="n">
        <v>0.1045</v>
      </c>
      <c r="U92" s="18" t="n">
        <v>2</v>
      </c>
      <c r="V92" s="18" t="n">
        <v>110</v>
      </c>
      <c r="W92" s="18" t="n">
        <f aca="false">U92+V92</f>
        <v>112</v>
      </c>
      <c r="X92" s="47" t="n">
        <f aca="false">U92/W92</f>
        <v>0.0178571428571429</v>
      </c>
      <c r="Y92" s="47" t="n">
        <f aca="false">V92/W92</f>
        <v>0.982142857142857</v>
      </c>
      <c r="Z92" s="33" t="str">
        <f aca="false">IF(W92&gt;=150, "High Demand", IF(W92&gt;=50, "Moderate Demand", "Low Demand"))</f>
        <v>Moderate Demand</v>
      </c>
      <c r="AA92" s="45" t="str">
        <f aca="false">TEXT(G92, "00") &amp; ":00"</f>
        <v>19:00</v>
      </c>
      <c r="AB92" s="43" t="n">
        <f aca="false">YEAR(B92)</f>
        <v>2011</v>
      </c>
      <c r="AC92" s="33" t="str">
        <f aca="false">TEXT(B92, "mmmm")</f>
        <v>January</v>
      </c>
      <c r="AD92" s="43" t="n">
        <f aca="false">LEN(TEXT(B92, "YYYY-MM-DD"))</f>
        <v>10</v>
      </c>
      <c r="AE92" s="45" t="str">
        <f aca="false">LEFT(TEXT(B92, "YYYY-MM-DD"), 4)</f>
        <v>2011</v>
      </c>
      <c r="AF92" s="45" t="str">
        <f aca="false">RIGHT(TEXT(B92, "YYYY-MM-DD"), 2)</f>
        <v>04</v>
      </c>
    </row>
    <row r="93" customFormat="false" ht="15" hidden="false" customHeight="false" outlineLevel="0" collapsed="false">
      <c r="A93" s="37" t="n">
        <v>89</v>
      </c>
      <c r="B93" s="38" t="s">
        <v>80</v>
      </c>
      <c r="C93" s="37" t="n">
        <v>1</v>
      </c>
      <c r="D93" s="35" t="str">
        <f aca="false">VLOOKUP(C93, Lookups_Metadata!$A$4:$B$7, 2, FALSE())</f>
        <v>Spring</v>
      </c>
      <c r="E93" s="37" t="n">
        <v>0</v>
      </c>
      <c r="F93" s="37" t="n">
        <v>1</v>
      </c>
      <c r="G93" s="37" t="n">
        <v>20</v>
      </c>
      <c r="H93" s="39" t="b">
        <f aca="false">FALSE()</f>
        <v>0</v>
      </c>
      <c r="I93" s="37" t="n">
        <v>2</v>
      </c>
      <c r="J93" s="35" t="str">
        <f aca="false">INDEX(Lookups_Metadata!$E$4:$E$10, MATCH(I93, Lookups_Metadata!$D$4:$D$10, 0))</f>
        <v>Tuesday</v>
      </c>
      <c r="K93" s="35" t="str">
        <f aca="false">IF(H93=TRUE(), "Holiday", IF(OR(I93=0, I93=6), "Weekend", "Weekday"))</f>
        <v>Weekday</v>
      </c>
      <c r="L93" s="35" t="str">
        <f aca="false">IF(AND(K93="Weekday", OR(AND(G93&gt;=7, G93&lt;=9), AND(G93&gt;=17, G93&lt;=19))), "Peak Commute", "Off-Peak")</f>
        <v>Off-Peak</v>
      </c>
      <c r="M93" s="37" t="n">
        <v>1</v>
      </c>
      <c r="N93" s="35" t="str">
        <f aca="false">VLOOKUP(M93, Lookups_Metadata!$G$4:$H$7, 2, FALSE())</f>
        <v>Clear / Few Clouds</v>
      </c>
      <c r="O93" s="40" t="n">
        <v>0.24</v>
      </c>
      <c r="P93" s="40" t="n">
        <v>0.2576</v>
      </c>
      <c r="Q93" s="40" t="n">
        <f aca="false">IF(OR(P93="", ISBLANK(P93)), ROUND(0.9367*O93+0.0175, 4), P93)</f>
        <v>0.2576</v>
      </c>
      <c r="R93" s="35" t="str">
        <f aca="false">IF(OR(P93="", ISBLANK(P93)), "Imputed (Regression/Trend)", "Original")</f>
        <v>Original</v>
      </c>
      <c r="S93" s="40" t="n">
        <v>0.48</v>
      </c>
      <c r="T93" s="40" t="n">
        <v>0.1045</v>
      </c>
      <c r="U93" s="41" t="n">
        <v>1</v>
      </c>
      <c r="V93" s="41" t="n">
        <v>53</v>
      </c>
      <c r="W93" s="41" t="n">
        <f aca="false">U93+V93</f>
        <v>54</v>
      </c>
      <c r="X93" s="42" t="n">
        <f aca="false">U93/W93</f>
        <v>0.0185185185185185</v>
      </c>
      <c r="Y93" s="42" t="n">
        <f aca="false">V93/W93</f>
        <v>0.981481481481482</v>
      </c>
      <c r="Z93" s="35" t="str">
        <f aca="false">IF(W93&gt;=150, "High Demand", IF(W93&gt;=50, "Moderate Demand", "Low Demand"))</f>
        <v>Moderate Demand</v>
      </c>
      <c r="AA93" s="39" t="str">
        <f aca="false">TEXT(G93, "00") &amp; ":00"</f>
        <v>20:00</v>
      </c>
      <c r="AB93" s="37" t="n">
        <f aca="false">YEAR(B93)</f>
        <v>2011</v>
      </c>
      <c r="AC93" s="35" t="str">
        <f aca="false">TEXT(B93, "mmmm")</f>
        <v>January</v>
      </c>
      <c r="AD93" s="37" t="n">
        <f aca="false">LEN(TEXT(B93, "YYYY-MM-DD"))</f>
        <v>10</v>
      </c>
      <c r="AE93" s="39" t="str">
        <f aca="false">LEFT(TEXT(B93, "YYYY-MM-DD"), 4)</f>
        <v>2011</v>
      </c>
      <c r="AF93" s="39" t="str">
        <f aca="false">RIGHT(TEXT(B93, "YYYY-MM-DD"), 2)</f>
        <v>04</v>
      </c>
    </row>
    <row r="94" customFormat="false" ht="15" hidden="false" customHeight="false" outlineLevel="0" collapsed="false">
      <c r="A94" s="43" t="n">
        <v>90</v>
      </c>
      <c r="B94" s="44" t="s">
        <v>80</v>
      </c>
      <c r="C94" s="43" t="n">
        <v>1</v>
      </c>
      <c r="D94" s="33" t="str">
        <f aca="false">VLOOKUP(C94, Lookups_Metadata!$A$4:$B$7, 2, FALSE())</f>
        <v>Spring</v>
      </c>
      <c r="E94" s="43" t="n">
        <v>0</v>
      </c>
      <c r="F94" s="43" t="n">
        <v>1</v>
      </c>
      <c r="G94" s="43" t="n">
        <v>21</v>
      </c>
      <c r="H94" s="45" t="b">
        <f aca="false">FALSE()</f>
        <v>0</v>
      </c>
      <c r="I94" s="43" t="n">
        <v>2</v>
      </c>
      <c r="J94" s="33" t="str">
        <f aca="false">INDEX(Lookups_Metadata!$E$4:$E$10, MATCH(I94, Lookups_Metadata!$D$4:$D$10, 0))</f>
        <v>Tuesday</v>
      </c>
      <c r="K94" s="33" t="str">
        <f aca="false">IF(H94=TRUE(), "Holiday", IF(OR(I94=0, I94=6), "Weekend", "Weekday"))</f>
        <v>Weekday</v>
      </c>
      <c r="L94" s="33" t="str">
        <f aca="false">IF(AND(K94="Weekday", OR(AND(G94&gt;=7, G94&lt;=9), AND(G94&gt;=17, G94&lt;=19))), "Peak Commute", "Off-Peak")</f>
        <v>Off-Peak</v>
      </c>
      <c r="M94" s="43" t="n">
        <v>1</v>
      </c>
      <c r="N94" s="33" t="str">
        <f aca="false">VLOOKUP(M94, Lookups_Metadata!$G$4:$H$7, 2, FALSE())</f>
        <v>Clear / Few Clouds</v>
      </c>
      <c r="O94" s="46" t="n">
        <v>0.22</v>
      </c>
      <c r="P94" s="46" t="n">
        <v>0.2727</v>
      </c>
      <c r="Q94" s="46" t="n">
        <f aca="false">IF(OR(P94="", ISBLANK(P94)), ROUND(0.9367*O94+0.0175, 4), P94)</f>
        <v>0.2727</v>
      </c>
      <c r="R94" s="33" t="str">
        <f aca="false">IF(OR(P94="", ISBLANK(P94)), "Imputed (Regression/Trend)", "Original")</f>
        <v>Original</v>
      </c>
      <c r="S94" s="46" t="n">
        <v>0.64</v>
      </c>
      <c r="T94" s="46" t="n">
        <v>0</v>
      </c>
      <c r="U94" s="18" t="n">
        <v>0</v>
      </c>
      <c r="V94" s="18" t="n">
        <v>48</v>
      </c>
      <c r="W94" s="18" t="n">
        <f aca="false">U94+V94</f>
        <v>48</v>
      </c>
      <c r="X94" s="47" t="n">
        <f aca="false">U94/W94</f>
        <v>0</v>
      </c>
      <c r="Y94" s="47" t="n">
        <f aca="false">V94/W94</f>
        <v>1</v>
      </c>
      <c r="Z94" s="33" t="str">
        <f aca="false">IF(W94&gt;=150, "High Demand", IF(W94&gt;=50, "Moderate Demand", "Low Demand"))</f>
        <v>Low Demand</v>
      </c>
      <c r="AA94" s="45" t="str">
        <f aca="false">TEXT(G94, "00") &amp; ":00"</f>
        <v>21:00</v>
      </c>
      <c r="AB94" s="43" t="n">
        <f aca="false">YEAR(B94)</f>
        <v>2011</v>
      </c>
      <c r="AC94" s="33" t="str">
        <f aca="false">TEXT(B94, "mmmm")</f>
        <v>January</v>
      </c>
      <c r="AD94" s="43" t="n">
        <f aca="false">LEN(TEXT(B94, "YYYY-MM-DD"))</f>
        <v>10</v>
      </c>
      <c r="AE94" s="45" t="str">
        <f aca="false">LEFT(TEXT(B94, "YYYY-MM-DD"), 4)</f>
        <v>2011</v>
      </c>
      <c r="AF94" s="45" t="str">
        <f aca="false">RIGHT(TEXT(B94, "YYYY-MM-DD"), 2)</f>
        <v>04</v>
      </c>
    </row>
    <row r="95" customFormat="false" ht="15" hidden="false" customHeight="false" outlineLevel="0" collapsed="false">
      <c r="A95" s="37" t="n">
        <v>91</v>
      </c>
      <c r="B95" s="38" t="s">
        <v>80</v>
      </c>
      <c r="C95" s="37" t="n">
        <v>1</v>
      </c>
      <c r="D95" s="35" t="str">
        <f aca="false">VLOOKUP(C95, Lookups_Metadata!$A$4:$B$7, 2, FALSE())</f>
        <v>Spring</v>
      </c>
      <c r="E95" s="37" t="n">
        <v>0</v>
      </c>
      <c r="F95" s="37" t="n">
        <v>1</v>
      </c>
      <c r="G95" s="37" t="n">
        <v>22</v>
      </c>
      <c r="H95" s="39" t="b">
        <f aca="false">FALSE()</f>
        <v>0</v>
      </c>
      <c r="I95" s="37" t="n">
        <v>2</v>
      </c>
      <c r="J95" s="35" t="str">
        <f aca="false">INDEX(Lookups_Metadata!$E$4:$E$10, MATCH(I95, Lookups_Metadata!$D$4:$D$10, 0))</f>
        <v>Tuesday</v>
      </c>
      <c r="K95" s="35" t="str">
        <f aca="false">IF(H95=TRUE(), "Holiday", IF(OR(I95=0, I95=6), "Weekend", "Weekday"))</f>
        <v>Weekday</v>
      </c>
      <c r="L95" s="35" t="str">
        <f aca="false">IF(AND(K95="Weekday", OR(AND(G95&gt;=7, G95&lt;=9), AND(G95&gt;=17, G95&lt;=19))), "Peak Commute", "Off-Peak")</f>
        <v>Off-Peak</v>
      </c>
      <c r="M95" s="37" t="n">
        <v>1</v>
      </c>
      <c r="N95" s="35" t="str">
        <f aca="false">VLOOKUP(M95, Lookups_Metadata!$G$4:$H$7, 2, FALSE())</f>
        <v>Clear / Few Clouds</v>
      </c>
      <c r="O95" s="40" t="n">
        <v>0.22</v>
      </c>
      <c r="P95" s="40" t="n">
        <v>0.2576</v>
      </c>
      <c r="Q95" s="40" t="n">
        <f aca="false">IF(OR(P95="", ISBLANK(P95)), ROUND(0.9367*O95+0.0175, 4), P95)</f>
        <v>0.2576</v>
      </c>
      <c r="R95" s="35" t="str">
        <f aca="false">IF(OR(P95="", ISBLANK(P95)), "Imputed (Regression/Trend)", "Original")</f>
        <v>Original</v>
      </c>
      <c r="S95" s="40" t="n">
        <v>0.64</v>
      </c>
      <c r="T95" s="40" t="n">
        <v>0.0896</v>
      </c>
      <c r="U95" s="41" t="n">
        <v>1</v>
      </c>
      <c r="V95" s="41" t="n">
        <v>34</v>
      </c>
      <c r="W95" s="41" t="n">
        <f aca="false">U95+V95</f>
        <v>35</v>
      </c>
      <c r="X95" s="42" t="n">
        <f aca="false">U95/W95</f>
        <v>0.0285714285714286</v>
      </c>
      <c r="Y95" s="42" t="n">
        <f aca="false">V95/W95</f>
        <v>0.971428571428571</v>
      </c>
      <c r="Z95" s="35" t="str">
        <f aca="false">IF(W95&gt;=150, "High Demand", IF(W95&gt;=50, "Moderate Demand", "Low Demand"))</f>
        <v>Low Demand</v>
      </c>
      <c r="AA95" s="39" t="str">
        <f aca="false">TEXT(G95, "00") &amp; ":00"</f>
        <v>22:00</v>
      </c>
      <c r="AB95" s="37" t="n">
        <f aca="false">YEAR(B95)</f>
        <v>2011</v>
      </c>
      <c r="AC95" s="35" t="str">
        <f aca="false">TEXT(B95, "mmmm")</f>
        <v>January</v>
      </c>
      <c r="AD95" s="37" t="n">
        <f aca="false">LEN(TEXT(B95, "YYYY-MM-DD"))</f>
        <v>10</v>
      </c>
      <c r="AE95" s="39" t="str">
        <f aca="false">LEFT(TEXT(B95, "YYYY-MM-DD"), 4)</f>
        <v>2011</v>
      </c>
      <c r="AF95" s="39" t="str">
        <f aca="false">RIGHT(TEXT(B95, "YYYY-MM-DD"), 2)</f>
        <v>04</v>
      </c>
    </row>
    <row r="96" customFormat="false" ht="15" hidden="false" customHeight="false" outlineLevel="0" collapsed="false">
      <c r="A96" s="43" t="n">
        <v>92</v>
      </c>
      <c r="B96" s="44" t="s">
        <v>80</v>
      </c>
      <c r="C96" s="43" t="n">
        <v>1</v>
      </c>
      <c r="D96" s="33" t="str">
        <f aca="false">VLOOKUP(C96, Lookups_Metadata!$A$4:$B$7, 2, FALSE())</f>
        <v>Spring</v>
      </c>
      <c r="E96" s="43" t="n">
        <v>0</v>
      </c>
      <c r="F96" s="43" t="n">
        <v>1</v>
      </c>
      <c r="G96" s="43" t="n">
        <v>23</v>
      </c>
      <c r="H96" s="45" t="b">
        <f aca="false">FALSE()</f>
        <v>0</v>
      </c>
      <c r="I96" s="43" t="n">
        <v>2</v>
      </c>
      <c r="J96" s="33" t="str">
        <f aca="false">INDEX(Lookups_Metadata!$E$4:$E$10, MATCH(I96, Lookups_Metadata!$D$4:$D$10, 0))</f>
        <v>Tuesday</v>
      </c>
      <c r="K96" s="33" t="str">
        <f aca="false">IF(H96=TRUE(), "Holiday", IF(OR(I96=0, I96=6), "Weekend", "Weekday"))</f>
        <v>Weekday</v>
      </c>
      <c r="L96" s="33" t="str">
        <f aca="false">IF(AND(K96="Weekday", OR(AND(G96&gt;=7, G96&lt;=9), AND(G96&gt;=17, G96&lt;=19))), "Peak Commute", "Off-Peak")</f>
        <v>Off-Peak</v>
      </c>
      <c r="M96" s="43" t="n">
        <v>1</v>
      </c>
      <c r="N96" s="33" t="str">
        <f aca="false">VLOOKUP(M96, Lookups_Metadata!$G$4:$H$7, 2, FALSE())</f>
        <v>Clear / Few Clouds</v>
      </c>
      <c r="O96" s="46" t="n">
        <v>0.2</v>
      </c>
      <c r="P96" s="46" t="n">
        <v>0.2273</v>
      </c>
      <c r="Q96" s="46" t="n">
        <f aca="false">IF(OR(P96="", ISBLANK(P96)), ROUND(0.9367*O96+0.0175, 4), P96)</f>
        <v>0.2273</v>
      </c>
      <c r="R96" s="33" t="str">
        <f aca="false">IF(OR(P96="", ISBLANK(P96)), "Imputed (Regression/Trend)", "Original")</f>
        <v>Original</v>
      </c>
      <c r="S96" s="46" t="n">
        <v>0.69</v>
      </c>
      <c r="T96" s="46" t="n">
        <v>0.0896</v>
      </c>
      <c r="U96" s="18" t="n">
        <v>2</v>
      </c>
      <c r="V96" s="18" t="n">
        <v>9</v>
      </c>
      <c r="W96" s="18" t="n">
        <f aca="false">U96+V96</f>
        <v>11</v>
      </c>
      <c r="X96" s="47" t="n">
        <f aca="false">U96/W96</f>
        <v>0.181818181818182</v>
      </c>
      <c r="Y96" s="47" t="n">
        <f aca="false">V96/W96</f>
        <v>0.818181818181818</v>
      </c>
      <c r="Z96" s="33" t="str">
        <f aca="false">IF(W96&gt;=150, "High Demand", IF(W96&gt;=50, "Moderate Demand", "Low Demand"))</f>
        <v>Low Demand</v>
      </c>
      <c r="AA96" s="45" t="str">
        <f aca="false">TEXT(G96, "00") &amp; ":00"</f>
        <v>23:00</v>
      </c>
      <c r="AB96" s="43" t="n">
        <f aca="false">YEAR(B96)</f>
        <v>2011</v>
      </c>
      <c r="AC96" s="33" t="str">
        <f aca="false">TEXT(B96, "mmmm")</f>
        <v>January</v>
      </c>
      <c r="AD96" s="43" t="n">
        <f aca="false">LEN(TEXT(B96, "YYYY-MM-DD"))</f>
        <v>10</v>
      </c>
      <c r="AE96" s="45" t="str">
        <f aca="false">LEFT(TEXT(B96, "YYYY-MM-DD"), 4)</f>
        <v>2011</v>
      </c>
      <c r="AF96" s="45" t="str">
        <f aca="false">RIGHT(TEXT(B96, "YYYY-MM-DD"), 2)</f>
        <v>04</v>
      </c>
    </row>
    <row r="97" customFormat="false" ht="15" hidden="false" customHeight="false" outlineLevel="0" collapsed="false">
      <c r="A97" s="37" t="n">
        <v>93</v>
      </c>
      <c r="B97" s="38" t="s">
        <v>81</v>
      </c>
      <c r="C97" s="37" t="n">
        <v>1</v>
      </c>
      <c r="D97" s="35" t="str">
        <f aca="false">VLOOKUP(C97, Lookups_Metadata!$A$4:$B$7, 2, FALSE())</f>
        <v>Spring</v>
      </c>
      <c r="E97" s="37" t="n">
        <v>0</v>
      </c>
      <c r="F97" s="37" t="n">
        <v>1</v>
      </c>
      <c r="G97" s="37" t="n">
        <v>0</v>
      </c>
      <c r="H97" s="39" t="b">
        <f aca="false">FALSE()</f>
        <v>0</v>
      </c>
      <c r="I97" s="37" t="n">
        <v>3</v>
      </c>
      <c r="J97" s="35" t="str">
        <f aca="false">INDEX(Lookups_Metadata!$E$4:$E$10, MATCH(I97, Lookups_Metadata!$D$4:$D$10, 0))</f>
        <v>Wednesday</v>
      </c>
      <c r="K97" s="35" t="str">
        <f aca="false">IF(H97=TRUE(), "Holiday", IF(OR(I97=0, I97=6), "Weekend", "Weekday"))</f>
        <v>Weekday</v>
      </c>
      <c r="L97" s="35" t="str">
        <f aca="false">IF(AND(K97="Weekday", OR(AND(G97&gt;=7, G97&lt;=9), AND(G97&gt;=17, G97&lt;=19))), "Peak Commute", "Off-Peak")</f>
        <v>Off-Peak</v>
      </c>
      <c r="M97" s="37" t="n">
        <v>1</v>
      </c>
      <c r="N97" s="35" t="str">
        <f aca="false">VLOOKUP(M97, Lookups_Metadata!$G$4:$H$7, 2, FALSE())</f>
        <v>Clear / Few Clouds</v>
      </c>
      <c r="O97" s="40" t="n">
        <v>0.2</v>
      </c>
      <c r="P97" s="40" t="n">
        <v>0.2576</v>
      </c>
      <c r="Q97" s="40" t="n">
        <f aca="false">IF(OR(P97="", ISBLANK(P97)), ROUND(0.9367*O97+0.0175, 4), P97)</f>
        <v>0.2576</v>
      </c>
      <c r="R97" s="35" t="str">
        <f aca="false">IF(OR(P97="", ISBLANK(P97)), "Imputed (Regression/Trend)", "Original")</f>
        <v>Original</v>
      </c>
      <c r="S97" s="40" t="n">
        <v>0.64</v>
      </c>
      <c r="T97" s="40" t="n">
        <v>0</v>
      </c>
      <c r="U97" s="41" t="n">
        <v>0</v>
      </c>
      <c r="V97" s="41" t="n">
        <v>6</v>
      </c>
      <c r="W97" s="41" t="n">
        <f aca="false">U97+V97</f>
        <v>6</v>
      </c>
      <c r="X97" s="42" t="n">
        <f aca="false">U97/W97</f>
        <v>0</v>
      </c>
      <c r="Y97" s="42" t="n">
        <f aca="false">V97/W97</f>
        <v>1</v>
      </c>
      <c r="Z97" s="35" t="str">
        <f aca="false">IF(W97&gt;=150, "High Demand", IF(W97&gt;=50, "Moderate Demand", "Low Demand"))</f>
        <v>Low Demand</v>
      </c>
      <c r="AA97" s="39" t="str">
        <f aca="false">TEXT(G97, "00") &amp; ":00"</f>
        <v>00:00</v>
      </c>
      <c r="AB97" s="37" t="n">
        <f aca="false">YEAR(B97)</f>
        <v>2011</v>
      </c>
      <c r="AC97" s="35" t="str">
        <f aca="false">TEXT(B97, "mmmm")</f>
        <v>January</v>
      </c>
      <c r="AD97" s="37" t="n">
        <f aca="false">LEN(TEXT(B97, "YYYY-MM-DD"))</f>
        <v>10</v>
      </c>
      <c r="AE97" s="39" t="str">
        <f aca="false">LEFT(TEXT(B97, "YYYY-MM-DD"), 4)</f>
        <v>2011</v>
      </c>
      <c r="AF97" s="39" t="str">
        <f aca="false">RIGHT(TEXT(B97, "YYYY-MM-DD"), 2)</f>
        <v>05</v>
      </c>
    </row>
    <row r="98" customFormat="false" ht="15" hidden="false" customHeight="false" outlineLevel="0" collapsed="false">
      <c r="A98" s="43" t="n">
        <v>94</v>
      </c>
      <c r="B98" s="44" t="s">
        <v>81</v>
      </c>
      <c r="C98" s="43" t="n">
        <v>1</v>
      </c>
      <c r="D98" s="33" t="str">
        <f aca="false">VLOOKUP(C98, Lookups_Metadata!$A$4:$B$7, 2, FALSE())</f>
        <v>Spring</v>
      </c>
      <c r="E98" s="43" t="n">
        <v>0</v>
      </c>
      <c r="F98" s="43" t="n">
        <v>1</v>
      </c>
      <c r="G98" s="43" t="n">
        <v>1</v>
      </c>
      <c r="H98" s="45" t="b">
        <f aca="false">FALSE()</f>
        <v>0</v>
      </c>
      <c r="I98" s="43" t="n">
        <v>3</v>
      </c>
      <c r="J98" s="33" t="str">
        <f aca="false">INDEX(Lookups_Metadata!$E$4:$E$10, MATCH(I98, Lookups_Metadata!$D$4:$D$10, 0))</f>
        <v>Wednesday</v>
      </c>
      <c r="K98" s="33" t="str">
        <f aca="false">IF(H98=TRUE(), "Holiday", IF(OR(I98=0, I98=6), "Weekend", "Weekday"))</f>
        <v>Weekday</v>
      </c>
      <c r="L98" s="33" t="str">
        <f aca="false">IF(AND(K98="Weekday", OR(AND(G98&gt;=7, G98&lt;=9), AND(G98&gt;=17, G98&lt;=19))), "Peak Commute", "Off-Peak")</f>
        <v>Off-Peak</v>
      </c>
      <c r="M98" s="43" t="n">
        <v>1</v>
      </c>
      <c r="N98" s="33" t="str">
        <f aca="false">VLOOKUP(M98, Lookups_Metadata!$G$4:$H$7, 2, FALSE())</f>
        <v>Clear / Few Clouds</v>
      </c>
      <c r="O98" s="46" t="n">
        <v>0.16</v>
      </c>
      <c r="P98" s="46" t="n">
        <v>0.197</v>
      </c>
      <c r="Q98" s="46" t="n">
        <f aca="false">IF(OR(P98="", ISBLANK(P98)), ROUND(0.9367*O98+0.0175, 4), P98)</f>
        <v>0.197</v>
      </c>
      <c r="R98" s="33" t="str">
        <f aca="false">IF(OR(P98="", ISBLANK(P98)), "Imputed (Regression/Trend)", "Original")</f>
        <v>Original</v>
      </c>
      <c r="S98" s="46" t="n">
        <v>0.74</v>
      </c>
      <c r="T98" s="46" t="n">
        <v>0.0896</v>
      </c>
      <c r="U98" s="18" t="n">
        <v>0</v>
      </c>
      <c r="V98" s="18" t="n">
        <v>6</v>
      </c>
      <c r="W98" s="18" t="n">
        <f aca="false">U98+V98</f>
        <v>6</v>
      </c>
      <c r="X98" s="47" t="n">
        <f aca="false">U98/W98</f>
        <v>0</v>
      </c>
      <c r="Y98" s="47" t="n">
        <f aca="false">V98/W98</f>
        <v>1</v>
      </c>
      <c r="Z98" s="33" t="str">
        <f aca="false">IF(W98&gt;=150, "High Demand", IF(W98&gt;=50, "Moderate Demand", "Low Demand"))</f>
        <v>Low Demand</v>
      </c>
      <c r="AA98" s="45" t="str">
        <f aca="false">TEXT(G98, "00") &amp; ":00"</f>
        <v>01:00</v>
      </c>
      <c r="AB98" s="43" t="n">
        <f aca="false">YEAR(B98)</f>
        <v>2011</v>
      </c>
      <c r="AC98" s="33" t="str">
        <f aca="false">TEXT(B98, "mmmm")</f>
        <v>January</v>
      </c>
      <c r="AD98" s="43" t="n">
        <f aca="false">LEN(TEXT(B98, "YYYY-MM-DD"))</f>
        <v>10</v>
      </c>
      <c r="AE98" s="45" t="str">
        <f aca="false">LEFT(TEXT(B98, "YYYY-MM-DD"), 4)</f>
        <v>2011</v>
      </c>
      <c r="AF98" s="45" t="str">
        <f aca="false">RIGHT(TEXT(B98, "YYYY-MM-DD"), 2)</f>
        <v>05</v>
      </c>
    </row>
    <row r="99" customFormat="false" ht="15" hidden="false" customHeight="false" outlineLevel="0" collapsed="false">
      <c r="A99" s="37" t="n">
        <v>95</v>
      </c>
      <c r="B99" s="38" t="s">
        <v>81</v>
      </c>
      <c r="C99" s="37" t="n">
        <v>1</v>
      </c>
      <c r="D99" s="35" t="str">
        <f aca="false">VLOOKUP(C99, Lookups_Metadata!$A$4:$B$7, 2, FALSE())</f>
        <v>Spring</v>
      </c>
      <c r="E99" s="37" t="n">
        <v>0</v>
      </c>
      <c r="F99" s="37" t="n">
        <v>1</v>
      </c>
      <c r="G99" s="37" t="n">
        <v>2</v>
      </c>
      <c r="H99" s="39" t="b">
        <f aca="false">FALSE()</f>
        <v>0</v>
      </c>
      <c r="I99" s="37" t="n">
        <v>3</v>
      </c>
      <c r="J99" s="35" t="str">
        <f aca="false">INDEX(Lookups_Metadata!$E$4:$E$10, MATCH(I99, Lookups_Metadata!$D$4:$D$10, 0))</f>
        <v>Wednesday</v>
      </c>
      <c r="K99" s="35" t="str">
        <f aca="false">IF(H99=TRUE(), "Holiday", IF(OR(I99=0, I99=6), "Weekend", "Weekday"))</f>
        <v>Weekday</v>
      </c>
      <c r="L99" s="35" t="str">
        <f aca="false">IF(AND(K99="Weekday", OR(AND(G99&gt;=7, G99&lt;=9), AND(G99&gt;=17, G99&lt;=19))), "Peak Commute", "Off-Peak")</f>
        <v>Off-Peak</v>
      </c>
      <c r="M99" s="37" t="n">
        <v>1</v>
      </c>
      <c r="N99" s="35" t="str">
        <f aca="false">VLOOKUP(M99, Lookups_Metadata!$G$4:$H$7, 2, FALSE())</f>
        <v>Clear / Few Clouds</v>
      </c>
      <c r="O99" s="40" t="n">
        <v>0.16</v>
      </c>
      <c r="P99" s="40" t="n">
        <v>0.197</v>
      </c>
      <c r="Q99" s="40" t="n">
        <f aca="false">IF(OR(P99="", ISBLANK(P99)), ROUND(0.9367*O99+0.0175, 4), P99)</f>
        <v>0.197</v>
      </c>
      <c r="R99" s="35" t="str">
        <f aca="false">IF(OR(P99="", ISBLANK(P99)), "Imputed (Regression/Trend)", "Original")</f>
        <v>Original</v>
      </c>
      <c r="S99" s="40" t="n">
        <v>0.74</v>
      </c>
      <c r="T99" s="40" t="n">
        <v>0.0896</v>
      </c>
      <c r="U99" s="41" t="n">
        <v>0</v>
      </c>
      <c r="V99" s="41" t="n">
        <v>2</v>
      </c>
      <c r="W99" s="41" t="n">
        <f aca="false">U99+V99</f>
        <v>2</v>
      </c>
      <c r="X99" s="42" t="n">
        <f aca="false">U99/W99</f>
        <v>0</v>
      </c>
      <c r="Y99" s="42" t="n">
        <f aca="false">V99/W99</f>
        <v>1</v>
      </c>
      <c r="Z99" s="35" t="str">
        <f aca="false">IF(W99&gt;=150, "High Demand", IF(W99&gt;=50, "Moderate Demand", "Low Demand"))</f>
        <v>Low Demand</v>
      </c>
      <c r="AA99" s="39" t="str">
        <f aca="false">TEXT(G99, "00") &amp; ":00"</f>
        <v>02:00</v>
      </c>
      <c r="AB99" s="37" t="n">
        <f aca="false">YEAR(B99)</f>
        <v>2011</v>
      </c>
      <c r="AC99" s="35" t="str">
        <f aca="false">TEXT(B99, "mmmm")</f>
        <v>January</v>
      </c>
      <c r="AD99" s="37" t="n">
        <f aca="false">LEN(TEXT(B99, "YYYY-MM-DD"))</f>
        <v>10</v>
      </c>
      <c r="AE99" s="39" t="str">
        <f aca="false">LEFT(TEXT(B99, "YYYY-MM-DD"), 4)</f>
        <v>2011</v>
      </c>
      <c r="AF99" s="39" t="str">
        <f aca="false">RIGHT(TEXT(B99, "YYYY-MM-DD"), 2)</f>
        <v>05</v>
      </c>
    </row>
    <row r="100" customFormat="false" ht="15" hidden="false" customHeight="false" outlineLevel="0" collapsed="false">
      <c r="A100" s="43" t="n">
        <v>96</v>
      </c>
      <c r="B100" s="44" t="s">
        <v>81</v>
      </c>
      <c r="C100" s="43" t="n">
        <v>1</v>
      </c>
      <c r="D100" s="33" t="str">
        <f aca="false">VLOOKUP(C100, Lookups_Metadata!$A$4:$B$7, 2, FALSE())</f>
        <v>Spring</v>
      </c>
      <c r="E100" s="43" t="n">
        <v>0</v>
      </c>
      <c r="F100" s="43" t="n">
        <v>1</v>
      </c>
      <c r="G100" s="43" t="n">
        <v>4</v>
      </c>
      <c r="H100" s="45" t="b">
        <f aca="false">FALSE()</f>
        <v>0</v>
      </c>
      <c r="I100" s="43" t="n">
        <v>3</v>
      </c>
      <c r="J100" s="33" t="str">
        <f aca="false">INDEX(Lookups_Metadata!$E$4:$E$10, MATCH(I100, Lookups_Metadata!$D$4:$D$10, 0))</f>
        <v>Wednesday</v>
      </c>
      <c r="K100" s="33" t="str">
        <f aca="false">IF(H100=TRUE(), "Holiday", IF(OR(I100=0, I100=6), "Weekend", "Weekday"))</f>
        <v>Weekday</v>
      </c>
      <c r="L100" s="33" t="str">
        <f aca="false">IF(AND(K100="Weekday", OR(AND(G100&gt;=7, G100&lt;=9), AND(G100&gt;=17, G100&lt;=19))), "Peak Commute", "Off-Peak")</f>
        <v>Off-Peak</v>
      </c>
      <c r="M100" s="43" t="n">
        <v>1</v>
      </c>
      <c r="N100" s="33" t="str">
        <f aca="false">VLOOKUP(M100, Lookups_Metadata!$G$4:$H$7, 2, FALSE())</f>
        <v>Clear / Few Clouds</v>
      </c>
      <c r="O100" s="46" t="n">
        <v>0.24</v>
      </c>
      <c r="P100" s="46" t="n">
        <v>0.2273</v>
      </c>
      <c r="Q100" s="46" t="n">
        <f aca="false">IF(OR(P100="", ISBLANK(P100)), ROUND(0.9367*O100+0.0175, 4), P100)</f>
        <v>0.2273</v>
      </c>
      <c r="R100" s="33" t="str">
        <f aca="false">IF(OR(P100="", ISBLANK(P100)), "Imputed (Regression/Trend)", "Original")</f>
        <v>Original</v>
      </c>
      <c r="S100" s="46" t="n">
        <v>0.48</v>
      </c>
      <c r="T100" s="46" t="n">
        <v>0.2239</v>
      </c>
      <c r="U100" s="18" t="n">
        <v>0</v>
      </c>
      <c r="V100" s="18" t="n">
        <v>2</v>
      </c>
      <c r="W100" s="18" t="n">
        <f aca="false">U100+V100</f>
        <v>2</v>
      </c>
      <c r="X100" s="47" t="n">
        <f aca="false">U100/W100</f>
        <v>0</v>
      </c>
      <c r="Y100" s="47" t="n">
        <f aca="false">V100/W100</f>
        <v>1</v>
      </c>
      <c r="Z100" s="33" t="str">
        <f aca="false">IF(W100&gt;=150, "High Demand", IF(W100&gt;=50, "Moderate Demand", "Low Demand"))</f>
        <v>Low Demand</v>
      </c>
      <c r="AA100" s="45" t="str">
        <f aca="false">TEXT(G100, "00") &amp; ":00"</f>
        <v>04:00</v>
      </c>
      <c r="AB100" s="43" t="n">
        <f aca="false">YEAR(B100)</f>
        <v>2011</v>
      </c>
      <c r="AC100" s="33" t="str">
        <f aca="false">TEXT(B100, "mmmm")</f>
        <v>January</v>
      </c>
      <c r="AD100" s="43" t="n">
        <f aca="false">LEN(TEXT(B100, "YYYY-MM-DD"))</f>
        <v>10</v>
      </c>
      <c r="AE100" s="45" t="str">
        <f aca="false">LEFT(TEXT(B100, "YYYY-MM-DD"), 4)</f>
        <v>2011</v>
      </c>
      <c r="AF100" s="45" t="str">
        <f aca="false">RIGHT(TEXT(B100, "YYYY-MM-DD"), 2)</f>
        <v>05</v>
      </c>
    </row>
    <row r="101" customFormat="false" ht="15" hidden="false" customHeight="false" outlineLevel="0" collapsed="false">
      <c r="A101" s="37" t="n">
        <v>97</v>
      </c>
      <c r="B101" s="38" t="s">
        <v>81</v>
      </c>
      <c r="C101" s="37" t="n">
        <v>1</v>
      </c>
      <c r="D101" s="35" t="str">
        <f aca="false">VLOOKUP(C101, Lookups_Metadata!$A$4:$B$7, 2, FALSE())</f>
        <v>Spring</v>
      </c>
      <c r="E101" s="37" t="n">
        <v>0</v>
      </c>
      <c r="F101" s="37" t="n">
        <v>1</v>
      </c>
      <c r="G101" s="37" t="n">
        <v>5</v>
      </c>
      <c r="H101" s="39" t="b">
        <f aca="false">FALSE()</f>
        <v>0</v>
      </c>
      <c r="I101" s="37" t="n">
        <v>3</v>
      </c>
      <c r="J101" s="35" t="str">
        <f aca="false">INDEX(Lookups_Metadata!$E$4:$E$10, MATCH(I101, Lookups_Metadata!$D$4:$D$10, 0))</f>
        <v>Wednesday</v>
      </c>
      <c r="K101" s="35" t="str">
        <f aca="false">IF(H101=TRUE(), "Holiday", IF(OR(I101=0, I101=6), "Weekend", "Weekday"))</f>
        <v>Weekday</v>
      </c>
      <c r="L101" s="35" t="str">
        <f aca="false">IF(AND(K101="Weekday", OR(AND(G101&gt;=7, G101&lt;=9), AND(G101&gt;=17, G101&lt;=19))), "Peak Commute", "Off-Peak")</f>
        <v>Off-Peak</v>
      </c>
      <c r="M101" s="37" t="n">
        <v>1</v>
      </c>
      <c r="N101" s="35" t="str">
        <f aca="false">VLOOKUP(M101, Lookups_Metadata!$G$4:$H$7, 2, FALSE())</f>
        <v>Clear / Few Clouds</v>
      </c>
      <c r="O101" s="40" t="n">
        <v>0.22</v>
      </c>
      <c r="P101" s="40" t="n">
        <v>0.2273</v>
      </c>
      <c r="Q101" s="40" t="n">
        <f aca="false">IF(OR(P101="", ISBLANK(P101)), ROUND(0.9367*O101+0.0175, 4), P101)</f>
        <v>0.2273</v>
      </c>
      <c r="R101" s="35" t="str">
        <f aca="false">IF(OR(P101="", ISBLANK(P101)), "Imputed (Regression/Trend)", "Original")</f>
        <v>Original</v>
      </c>
      <c r="S101" s="40" t="n">
        <v>0.47</v>
      </c>
      <c r="T101" s="40" t="n">
        <v>0.1642</v>
      </c>
      <c r="U101" s="41" t="n">
        <v>0</v>
      </c>
      <c r="V101" s="41" t="n">
        <v>3</v>
      </c>
      <c r="W101" s="41" t="n">
        <f aca="false">U101+V101</f>
        <v>3</v>
      </c>
      <c r="X101" s="42" t="n">
        <f aca="false">U101/W101</f>
        <v>0</v>
      </c>
      <c r="Y101" s="42" t="n">
        <f aca="false">V101/W101</f>
        <v>1</v>
      </c>
      <c r="Z101" s="35" t="str">
        <f aca="false">IF(W101&gt;=150, "High Demand", IF(W101&gt;=50, "Moderate Demand", "Low Demand"))</f>
        <v>Low Demand</v>
      </c>
      <c r="AA101" s="39" t="str">
        <f aca="false">TEXT(G101, "00") &amp; ":00"</f>
        <v>05:00</v>
      </c>
      <c r="AB101" s="37" t="n">
        <f aca="false">YEAR(B101)</f>
        <v>2011</v>
      </c>
      <c r="AC101" s="35" t="str">
        <f aca="false">TEXT(B101, "mmmm")</f>
        <v>January</v>
      </c>
      <c r="AD101" s="37" t="n">
        <f aca="false">LEN(TEXT(B101, "YYYY-MM-DD"))</f>
        <v>10</v>
      </c>
      <c r="AE101" s="39" t="str">
        <f aca="false">LEFT(TEXT(B101, "YYYY-MM-DD"), 4)</f>
        <v>2011</v>
      </c>
      <c r="AF101" s="39" t="str">
        <f aca="false">RIGHT(TEXT(B101, "YYYY-MM-DD"), 2)</f>
        <v>05</v>
      </c>
    </row>
    <row r="102" customFormat="false" ht="15" hidden="false" customHeight="false" outlineLevel="0" collapsed="false">
      <c r="A102" s="43" t="n">
        <v>98</v>
      </c>
      <c r="B102" s="44" t="s">
        <v>81</v>
      </c>
      <c r="C102" s="43" t="n">
        <v>1</v>
      </c>
      <c r="D102" s="33" t="str">
        <f aca="false">VLOOKUP(C102, Lookups_Metadata!$A$4:$B$7, 2, FALSE())</f>
        <v>Spring</v>
      </c>
      <c r="E102" s="43" t="n">
        <v>0</v>
      </c>
      <c r="F102" s="43" t="n">
        <v>1</v>
      </c>
      <c r="G102" s="43" t="n">
        <v>6</v>
      </c>
      <c r="H102" s="45" t="b">
        <f aca="false">FALSE()</f>
        <v>0</v>
      </c>
      <c r="I102" s="43" t="n">
        <v>3</v>
      </c>
      <c r="J102" s="33" t="str">
        <f aca="false">INDEX(Lookups_Metadata!$E$4:$E$10, MATCH(I102, Lookups_Metadata!$D$4:$D$10, 0))</f>
        <v>Wednesday</v>
      </c>
      <c r="K102" s="33" t="str">
        <f aca="false">IF(H102=TRUE(), "Holiday", IF(OR(I102=0, I102=6), "Weekend", "Weekday"))</f>
        <v>Weekday</v>
      </c>
      <c r="L102" s="33" t="str">
        <f aca="false">IF(AND(K102="Weekday", OR(AND(G102&gt;=7, G102&lt;=9), AND(G102&gt;=17, G102&lt;=19))), "Peak Commute", "Off-Peak")</f>
        <v>Off-Peak</v>
      </c>
      <c r="M102" s="43" t="n">
        <v>1</v>
      </c>
      <c r="N102" s="33" t="str">
        <f aca="false">VLOOKUP(M102, Lookups_Metadata!$G$4:$H$7, 2, FALSE())</f>
        <v>Clear / Few Clouds</v>
      </c>
      <c r="O102" s="46" t="n">
        <v>0.2</v>
      </c>
      <c r="P102" s="46" t="n">
        <v>0.197</v>
      </c>
      <c r="Q102" s="46" t="n">
        <f aca="false">IF(OR(P102="", ISBLANK(P102)), ROUND(0.9367*O102+0.0175, 4), P102)</f>
        <v>0.197</v>
      </c>
      <c r="R102" s="33" t="str">
        <f aca="false">IF(OR(P102="", ISBLANK(P102)), "Imputed (Regression/Trend)", "Original")</f>
        <v>Original</v>
      </c>
      <c r="S102" s="46" t="n">
        <v>0.47</v>
      </c>
      <c r="T102" s="46" t="n">
        <v>0.2239</v>
      </c>
      <c r="U102" s="18" t="n">
        <v>0</v>
      </c>
      <c r="V102" s="18" t="n">
        <v>33</v>
      </c>
      <c r="W102" s="18" t="n">
        <f aca="false">U102+V102</f>
        <v>33</v>
      </c>
      <c r="X102" s="47" t="n">
        <f aca="false">U102/W102</f>
        <v>0</v>
      </c>
      <c r="Y102" s="47" t="n">
        <f aca="false">V102/W102</f>
        <v>1</v>
      </c>
      <c r="Z102" s="33" t="str">
        <f aca="false">IF(W102&gt;=150, "High Demand", IF(W102&gt;=50, "Moderate Demand", "Low Demand"))</f>
        <v>Low Demand</v>
      </c>
      <c r="AA102" s="45" t="str">
        <f aca="false">TEXT(G102, "00") &amp; ":00"</f>
        <v>06:00</v>
      </c>
      <c r="AB102" s="43" t="n">
        <f aca="false">YEAR(B102)</f>
        <v>2011</v>
      </c>
      <c r="AC102" s="33" t="str">
        <f aca="false">TEXT(B102, "mmmm")</f>
        <v>January</v>
      </c>
      <c r="AD102" s="43" t="n">
        <f aca="false">LEN(TEXT(B102, "YYYY-MM-DD"))</f>
        <v>10</v>
      </c>
      <c r="AE102" s="45" t="str">
        <f aca="false">LEFT(TEXT(B102, "YYYY-MM-DD"), 4)</f>
        <v>2011</v>
      </c>
      <c r="AF102" s="45" t="str">
        <f aca="false">RIGHT(TEXT(B102, "YYYY-MM-DD"), 2)</f>
        <v>05</v>
      </c>
    </row>
    <row r="103" customFormat="false" ht="15" hidden="false" customHeight="false" outlineLevel="0" collapsed="false">
      <c r="A103" s="37" t="n">
        <v>99</v>
      </c>
      <c r="B103" s="38" t="s">
        <v>81</v>
      </c>
      <c r="C103" s="37" t="n">
        <v>1</v>
      </c>
      <c r="D103" s="35" t="str">
        <f aca="false">VLOOKUP(C103, Lookups_Metadata!$A$4:$B$7, 2, FALSE())</f>
        <v>Spring</v>
      </c>
      <c r="E103" s="37" t="n">
        <v>0</v>
      </c>
      <c r="F103" s="37" t="n">
        <v>1</v>
      </c>
      <c r="G103" s="37" t="n">
        <v>7</v>
      </c>
      <c r="H103" s="39" t="b">
        <f aca="false">FALSE()</f>
        <v>0</v>
      </c>
      <c r="I103" s="37" t="n">
        <v>3</v>
      </c>
      <c r="J103" s="35" t="str">
        <f aca="false">INDEX(Lookups_Metadata!$E$4:$E$10, MATCH(I103, Lookups_Metadata!$D$4:$D$10, 0))</f>
        <v>Wednesday</v>
      </c>
      <c r="K103" s="35" t="str">
        <f aca="false">IF(H103=TRUE(), "Holiday", IF(OR(I103=0, I103=6), "Weekend", "Weekday"))</f>
        <v>Weekday</v>
      </c>
      <c r="L103" s="35" t="str">
        <f aca="false">IF(AND(K103="Weekday", OR(AND(G103&gt;=7, G103&lt;=9), AND(G103&gt;=17, G103&lt;=19))), "Peak Commute", "Off-Peak")</f>
        <v>Peak Commute</v>
      </c>
      <c r="M103" s="37" t="n">
        <v>1</v>
      </c>
      <c r="N103" s="35" t="str">
        <f aca="false">VLOOKUP(M103, Lookups_Metadata!$G$4:$H$7, 2, FALSE())</f>
        <v>Clear / Few Clouds</v>
      </c>
      <c r="O103" s="40" t="n">
        <v>0.18</v>
      </c>
      <c r="P103" s="40" t="n">
        <v>0.1818</v>
      </c>
      <c r="Q103" s="40" t="n">
        <f aca="false">IF(OR(P103="", ISBLANK(P103)), ROUND(0.9367*O103+0.0175, 4), P103)</f>
        <v>0.1818</v>
      </c>
      <c r="R103" s="35" t="str">
        <f aca="false">IF(OR(P103="", ISBLANK(P103)), "Imputed (Regression/Trend)", "Original")</f>
        <v>Original</v>
      </c>
      <c r="S103" s="40" t="n">
        <v>0.43</v>
      </c>
      <c r="T103" s="40" t="n">
        <v>0.194</v>
      </c>
      <c r="U103" s="41" t="n">
        <v>1</v>
      </c>
      <c r="V103" s="41" t="n">
        <v>87</v>
      </c>
      <c r="W103" s="41" t="n">
        <f aca="false">U103+V103</f>
        <v>88</v>
      </c>
      <c r="X103" s="42" t="n">
        <f aca="false">U103/W103</f>
        <v>0.0113636363636364</v>
      </c>
      <c r="Y103" s="42" t="n">
        <f aca="false">V103/W103</f>
        <v>0.988636363636364</v>
      </c>
      <c r="Z103" s="35" t="str">
        <f aca="false">IF(W103&gt;=150, "High Demand", IF(W103&gt;=50, "Moderate Demand", "Low Demand"))</f>
        <v>Moderate Demand</v>
      </c>
      <c r="AA103" s="39" t="str">
        <f aca="false">TEXT(G103, "00") &amp; ":00"</f>
        <v>07:00</v>
      </c>
      <c r="AB103" s="37" t="n">
        <f aca="false">YEAR(B103)</f>
        <v>2011</v>
      </c>
      <c r="AC103" s="35" t="str">
        <f aca="false">TEXT(B103, "mmmm")</f>
        <v>January</v>
      </c>
      <c r="AD103" s="37" t="n">
        <f aca="false">LEN(TEXT(B103, "YYYY-MM-DD"))</f>
        <v>10</v>
      </c>
      <c r="AE103" s="39" t="str">
        <f aca="false">LEFT(TEXT(B103, "YYYY-MM-DD"), 4)</f>
        <v>2011</v>
      </c>
      <c r="AF103" s="39" t="str">
        <f aca="false">RIGHT(TEXT(B103, "YYYY-MM-DD"), 2)</f>
        <v>05</v>
      </c>
    </row>
    <row r="104" customFormat="false" ht="15" hidden="false" customHeight="false" outlineLevel="0" collapsed="false">
      <c r="A104" s="43" t="n">
        <v>100</v>
      </c>
      <c r="B104" s="44" t="s">
        <v>81</v>
      </c>
      <c r="C104" s="43" t="n">
        <v>1</v>
      </c>
      <c r="D104" s="33" t="str">
        <f aca="false">VLOOKUP(C104, Lookups_Metadata!$A$4:$B$7, 2, FALSE())</f>
        <v>Spring</v>
      </c>
      <c r="E104" s="43" t="n">
        <v>0</v>
      </c>
      <c r="F104" s="43" t="n">
        <v>1</v>
      </c>
      <c r="G104" s="43" t="n">
        <v>8</v>
      </c>
      <c r="H104" s="45" t="b">
        <f aca="false">FALSE()</f>
        <v>0</v>
      </c>
      <c r="I104" s="43" t="n">
        <v>3</v>
      </c>
      <c r="J104" s="33" t="str">
        <f aca="false">INDEX(Lookups_Metadata!$E$4:$E$10, MATCH(I104, Lookups_Metadata!$D$4:$D$10, 0))</f>
        <v>Wednesday</v>
      </c>
      <c r="K104" s="33" t="str">
        <f aca="false">IF(H104=TRUE(), "Holiday", IF(OR(I104=0, I104=6), "Weekend", "Weekday"))</f>
        <v>Weekday</v>
      </c>
      <c r="L104" s="33" t="str">
        <f aca="false">IF(AND(K104="Weekday", OR(AND(G104&gt;=7, G104&lt;=9), AND(G104&gt;=17, G104&lt;=19))), "Peak Commute", "Off-Peak")</f>
        <v>Peak Commute</v>
      </c>
      <c r="M104" s="43" t="n">
        <v>1</v>
      </c>
      <c r="N104" s="33" t="str">
        <f aca="false">VLOOKUP(M104, Lookups_Metadata!$G$4:$H$7, 2, FALSE())</f>
        <v>Clear / Few Clouds</v>
      </c>
      <c r="O104" s="46" t="n">
        <v>0.2</v>
      </c>
      <c r="P104" s="46" t="n">
        <v>0.1818</v>
      </c>
      <c r="Q104" s="46" t="n">
        <f aca="false">IF(OR(P104="", ISBLANK(P104)), ROUND(0.9367*O104+0.0175, 4), P104)</f>
        <v>0.1818</v>
      </c>
      <c r="R104" s="33" t="str">
        <f aca="false">IF(OR(P104="", ISBLANK(P104)), "Imputed (Regression/Trend)", "Original")</f>
        <v>Original</v>
      </c>
      <c r="S104" s="46" t="n">
        <v>0.4</v>
      </c>
      <c r="T104" s="46" t="n">
        <v>0.2985</v>
      </c>
      <c r="U104" s="18" t="n">
        <v>3</v>
      </c>
      <c r="V104" s="18" t="n">
        <v>192</v>
      </c>
      <c r="W104" s="18" t="n">
        <f aca="false">U104+V104</f>
        <v>195</v>
      </c>
      <c r="X104" s="47" t="n">
        <f aca="false">U104/W104</f>
        <v>0.0153846153846154</v>
      </c>
      <c r="Y104" s="47" t="n">
        <f aca="false">V104/W104</f>
        <v>0.984615384615385</v>
      </c>
      <c r="Z104" s="33" t="str">
        <f aca="false">IF(W104&gt;=150, "High Demand", IF(W104&gt;=50, "Moderate Demand", "Low Demand"))</f>
        <v>High Demand</v>
      </c>
      <c r="AA104" s="45" t="str">
        <f aca="false">TEXT(G104, "00") &amp; ":00"</f>
        <v>08:00</v>
      </c>
      <c r="AB104" s="43" t="n">
        <f aca="false">YEAR(B104)</f>
        <v>2011</v>
      </c>
      <c r="AC104" s="33" t="str">
        <f aca="false">TEXT(B104, "mmmm")</f>
        <v>January</v>
      </c>
      <c r="AD104" s="43" t="n">
        <f aca="false">LEN(TEXT(B104, "YYYY-MM-DD"))</f>
        <v>10</v>
      </c>
      <c r="AE104" s="45" t="str">
        <f aca="false">LEFT(TEXT(B104, "YYYY-MM-DD"), 4)</f>
        <v>2011</v>
      </c>
      <c r="AF104" s="45" t="str">
        <f aca="false">RIGHT(TEXT(B104, "YYYY-MM-DD"), 2)</f>
        <v>05</v>
      </c>
    </row>
    <row r="105" customFormat="false" ht="15" hidden="false" customHeight="false" outlineLevel="0" collapsed="false">
      <c r="A105" s="37" t="n">
        <v>101</v>
      </c>
      <c r="B105" s="38" t="s">
        <v>81</v>
      </c>
      <c r="C105" s="37" t="n">
        <v>1</v>
      </c>
      <c r="D105" s="35" t="str">
        <f aca="false">VLOOKUP(C105, Lookups_Metadata!$A$4:$B$7, 2, FALSE())</f>
        <v>Spring</v>
      </c>
      <c r="E105" s="37" t="n">
        <v>0</v>
      </c>
      <c r="F105" s="37" t="n">
        <v>1</v>
      </c>
      <c r="G105" s="37" t="n">
        <v>9</v>
      </c>
      <c r="H105" s="39" t="b">
        <f aca="false">FALSE()</f>
        <v>0</v>
      </c>
      <c r="I105" s="37" t="n">
        <v>3</v>
      </c>
      <c r="J105" s="35" t="str">
        <f aca="false">INDEX(Lookups_Metadata!$E$4:$E$10, MATCH(I105, Lookups_Metadata!$D$4:$D$10, 0))</f>
        <v>Wednesday</v>
      </c>
      <c r="K105" s="35" t="str">
        <f aca="false">IF(H105=TRUE(), "Holiday", IF(OR(I105=0, I105=6), "Weekend", "Weekday"))</f>
        <v>Weekday</v>
      </c>
      <c r="L105" s="35" t="str">
        <f aca="false">IF(AND(K105="Weekday", OR(AND(G105&gt;=7, G105&lt;=9), AND(G105&gt;=17, G105&lt;=19))), "Peak Commute", "Off-Peak")</f>
        <v>Peak Commute</v>
      </c>
      <c r="M105" s="37" t="n">
        <v>1</v>
      </c>
      <c r="N105" s="35" t="str">
        <f aca="false">VLOOKUP(M105, Lookups_Metadata!$G$4:$H$7, 2, FALSE())</f>
        <v>Clear / Few Clouds</v>
      </c>
      <c r="O105" s="40" t="n">
        <v>0.22</v>
      </c>
      <c r="P105" s="40" t="n">
        <v>0.197</v>
      </c>
      <c r="Q105" s="40" t="n">
        <f aca="false">IF(OR(P105="", ISBLANK(P105)), ROUND(0.9367*O105+0.0175, 4), P105)</f>
        <v>0.197</v>
      </c>
      <c r="R105" s="35" t="str">
        <f aca="false">IF(OR(P105="", ISBLANK(P105)), "Imputed (Regression/Trend)", "Original")</f>
        <v>Original</v>
      </c>
      <c r="S105" s="40" t="n">
        <v>0.37</v>
      </c>
      <c r="T105" s="40" t="n">
        <v>0.3284</v>
      </c>
      <c r="U105" s="41" t="n">
        <v>6</v>
      </c>
      <c r="V105" s="41" t="n">
        <v>109</v>
      </c>
      <c r="W105" s="41" t="n">
        <f aca="false">U105+V105</f>
        <v>115</v>
      </c>
      <c r="X105" s="42" t="n">
        <f aca="false">U105/W105</f>
        <v>0.0521739130434783</v>
      </c>
      <c r="Y105" s="42" t="n">
        <f aca="false">V105/W105</f>
        <v>0.947826086956522</v>
      </c>
      <c r="Z105" s="35" t="str">
        <f aca="false">IF(W105&gt;=150, "High Demand", IF(W105&gt;=50, "Moderate Demand", "Low Demand"))</f>
        <v>Moderate Demand</v>
      </c>
      <c r="AA105" s="39" t="str">
        <f aca="false">TEXT(G105, "00") &amp; ":00"</f>
        <v>09:00</v>
      </c>
      <c r="AB105" s="37" t="n">
        <f aca="false">YEAR(B105)</f>
        <v>2011</v>
      </c>
      <c r="AC105" s="35" t="str">
        <f aca="false">TEXT(B105, "mmmm")</f>
        <v>January</v>
      </c>
      <c r="AD105" s="37" t="n">
        <f aca="false">LEN(TEXT(B105, "YYYY-MM-DD"))</f>
        <v>10</v>
      </c>
      <c r="AE105" s="39" t="str">
        <f aca="false">LEFT(TEXT(B105, "YYYY-MM-DD"), 4)</f>
        <v>2011</v>
      </c>
      <c r="AF105" s="39" t="str">
        <f aca="false">RIGHT(TEXT(B105, "YYYY-MM-DD"), 2)</f>
        <v>05</v>
      </c>
    </row>
    <row r="106" customFormat="false" ht="15" hidden="false" customHeight="false" outlineLevel="0" collapsed="false">
      <c r="A106" s="43" t="n">
        <v>102</v>
      </c>
      <c r="B106" s="44" t="s">
        <v>81</v>
      </c>
      <c r="C106" s="43" t="n">
        <v>1</v>
      </c>
      <c r="D106" s="33" t="str">
        <f aca="false">VLOOKUP(C106, Lookups_Metadata!$A$4:$B$7, 2, FALSE())</f>
        <v>Spring</v>
      </c>
      <c r="E106" s="43" t="n">
        <v>0</v>
      </c>
      <c r="F106" s="43" t="n">
        <v>1</v>
      </c>
      <c r="G106" s="43" t="n">
        <v>10</v>
      </c>
      <c r="H106" s="45" t="b">
        <f aca="false">FALSE()</f>
        <v>0</v>
      </c>
      <c r="I106" s="43" t="n">
        <v>3</v>
      </c>
      <c r="J106" s="33" t="str">
        <f aca="false">INDEX(Lookups_Metadata!$E$4:$E$10, MATCH(I106, Lookups_Metadata!$D$4:$D$10, 0))</f>
        <v>Wednesday</v>
      </c>
      <c r="K106" s="33" t="str">
        <f aca="false">IF(H106=TRUE(), "Holiday", IF(OR(I106=0, I106=6), "Weekend", "Weekday"))</f>
        <v>Weekday</v>
      </c>
      <c r="L106" s="33" t="str">
        <f aca="false">IF(AND(K106="Weekday", OR(AND(G106&gt;=7, G106&lt;=9), AND(G106&gt;=17, G106&lt;=19))), "Peak Commute", "Off-Peak")</f>
        <v>Off-Peak</v>
      </c>
      <c r="M106" s="43" t="n">
        <v>1</v>
      </c>
      <c r="N106" s="33" t="str">
        <f aca="false">VLOOKUP(M106, Lookups_Metadata!$G$4:$H$7, 2, FALSE())</f>
        <v>Clear / Few Clouds</v>
      </c>
      <c r="O106" s="46" t="n">
        <v>0.22</v>
      </c>
      <c r="P106" s="46" t="n">
        <v>0.197</v>
      </c>
      <c r="Q106" s="46" t="n">
        <f aca="false">IF(OR(P106="", ISBLANK(P106)), ROUND(0.9367*O106+0.0175, 4), P106)</f>
        <v>0.197</v>
      </c>
      <c r="R106" s="33" t="str">
        <f aca="false">IF(OR(P106="", ISBLANK(P106)), "Imputed (Regression/Trend)", "Original")</f>
        <v>Original</v>
      </c>
      <c r="S106" s="46" t="n">
        <v>0.37</v>
      </c>
      <c r="T106" s="46" t="n">
        <v>0.3284</v>
      </c>
      <c r="U106" s="18" t="n">
        <v>4</v>
      </c>
      <c r="V106" s="18" t="n">
        <v>53</v>
      </c>
      <c r="W106" s="18" t="n">
        <f aca="false">U106+V106</f>
        <v>57</v>
      </c>
      <c r="X106" s="47" t="n">
        <f aca="false">U106/W106</f>
        <v>0.0701754385964912</v>
      </c>
      <c r="Y106" s="47" t="n">
        <f aca="false">V106/W106</f>
        <v>0.929824561403509</v>
      </c>
      <c r="Z106" s="33" t="str">
        <f aca="false">IF(W106&gt;=150, "High Demand", IF(W106&gt;=50, "Moderate Demand", "Low Demand"))</f>
        <v>Moderate Demand</v>
      </c>
      <c r="AA106" s="45" t="str">
        <f aca="false">TEXT(G106, "00") &amp; ":00"</f>
        <v>10:00</v>
      </c>
      <c r="AB106" s="43" t="n">
        <f aca="false">YEAR(B106)</f>
        <v>2011</v>
      </c>
      <c r="AC106" s="33" t="str">
        <f aca="false">TEXT(B106, "mmmm")</f>
        <v>January</v>
      </c>
      <c r="AD106" s="43" t="n">
        <f aca="false">LEN(TEXT(B106, "YYYY-MM-DD"))</f>
        <v>10</v>
      </c>
      <c r="AE106" s="45" t="str">
        <f aca="false">LEFT(TEXT(B106, "YYYY-MM-DD"), 4)</f>
        <v>2011</v>
      </c>
      <c r="AF106" s="45" t="str">
        <f aca="false">RIGHT(TEXT(B106, "YYYY-MM-DD"), 2)</f>
        <v>05</v>
      </c>
    </row>
    <row r="107" customFormat="false" ht="15" hidden="false" customHeight="false" outlineLevel="0" collapsed="false">
      <c r="A107" s="37" t="n">
        <v>103</v>
      </c>
      <c r="B107" s="38" t="s">
        <v>81</v>
      </c>
      <c r="C107" s="37" t="n">
        <v>1</v>
      </c>
      <c r="D107" s="35" t="str">
        <f aca="false">VLOOKUP(C107, Lookups_Metadata!$A$4:$B$7, 2, FALSE())</f>
        <v>Spring</v>
      </c>
      <c r="E107" s="37" t="n">
        <v>0</v>
      </c>
      <c r="F107" s="37" t="n">
        <v>1</v>
      </c>
      <c r="G107" s="37" t="n">
        <v>11</v>
      </c>
      <c r="H107" s="39" t="b">
        <f aca="false">FALSE()</f>
        <v>0</v>
      </c>
      <c r="I107" s="37" t="n">
        <v>3</v>
      </c>
      <c r="J107" s="35" t="str">
        <f aca="false">INDEX(Lookups_Metadata!$E$4:$E$10, MATCH(I107, Lookups_Metadata!$D$4:$D$10, 0))</f>
        <v>Wednesday</v>
      </c>
      <c r="K107" s="35" t="str">
        <f aca="false">IF(H107=TRUE(), "Holiday", IF(OR(I107=0, I107=6), "Weekend", "Weekday"))</f>
        <v>Weekday</v>
      </c>
      <c r="L107" s="35" t="str">
        <f aca="false">IF(AND(K107="Weekday", OR(AND(G107&gt;=7, G107&lt;=9), AND(G107&gt;=17, G107&lt;=19))), "Peak Commute", "Off-Peak")</f>
        <v>Off-Peak</v>
      </c>
      <c r="M107" s="37" t="n">
        <v>1</v>
      </c>
      <c r="N107" s="35" t="str">
        <f aca="false">VLOOKUP(M107, Lookups_Metadata!$G$4:$H$7, 2, FALSE())</f>
        <v>Clear / Few Clouds</v>
      </c>
      <c r="O107" s="40" t="n">
        <v>0.26</v>
      </c>
      <c r="P107" s="40" t="n">
        <v>0.2273</v>
      </c>
      <c r="Q107" s="40" t="n">
        <f aca="false">IF(OR(P107="", ISBLANK(P107)), ROUND(0.9367*O107+0.0175, 4), P107)</f>
        <v>0.2273</v>
      </c>
      <c r="R107" s="35" t="str">
        <f aca="false">IF(OR(P107="", ISBLANK(P107)), "Imputed (Regression/Trend)", "Original")</f>
        <v>Original</v>
      </c>
      <c r="S107" s="40" t="n">
        <v>0.33</v>
      </c>
      <c r="T107" s="40" t="n">
        <v>0.3284</v>
      </c>
      <c r="U107" s="41" t="n">
        <v>12</v>
      </c>
      <c r="V107" s="41" t="n">
        <v>34</v>
      </c>
      <c r="W107" s="41" t="n">
        <f aca="false">U107+V107</f>
        <v>46</v>
      </c>
      <c r="X107" s="42" t="n">
        <f aca="false">U107/W107</f>
        <v>0.260869565217391</v>
      </c>
      <c r="Y107" s="42" t="n">
        <f aca="false">V107/W107</f>
        <v>0.739130434782609</v>
      </c>
      <c r="Z107" s="35" t="str">
        <f aca="false">IF(W107&gt;=150, "High Demand", IF(W107&gt;=50, "Moderate Demand", "Low Demand"))</f>
        <v>Low Demand</v>
      </c>
      <c r="AA107" s="39" t="str">
        <f aca="false">TEXT(G107, "00") &amp; ":00"</f>
        <v>11:00</v>
      </c>
      <c r="AB107" s="37" t="n">
        <f aca="false">YEAR(B107)</f>
        <v>2011</v>
      </c>
      <c r="AC107" s="35" t="str">
        <f aca="false">TEXT(B107, "mmmm")</f>
        <v>January</v>
      </c>
      <c r="AD107" s="37" t="n">
        <f aca="false">LEN(TEXT(B107, "YYYY-MM-DD"))</f>
        <v>10</v>
      </c>
      <c r="AE107" s="39" t="str">
        <f aca="false">LEFT(TEXT(B107, "YYYY-MM-DD"), 4)</f>
        <v>2011</v>
      </c>
      <c r="AF107" s="39" t="str">
        <f aca="false">RIGHT(TEXT(B107, "YYYY-MM-DD"), 2)</f>
        <v>05</v>
      </c>
    </row>
    <row r="108" customFormat="false" ht="15" hidden="false" customHeight="false" outlineLevel="0" collapsed="false">
      <c r="A108" s="43" t="n">
        <v>104</v>
      </c>
      <c r="B108" s="44" t="s">
        <v>81</v>
      </c>
      <c r="C108" s="43" t="n">
        <v>1</v>
      </c>
      <c r="D108" s="33" t="str">
        <f aca="false">VLOOKUP(C108, Lookups_Metadata!$A$4:$B$7, 2, FALSE())</f>
        <v>Spring</v>
      </c>
      <c r="E108" s="43" t="n">
        <v>0</v>
      </c>
      <c r="F108" s="43" t="n">
        <v>1</v>
      </c>
      <c r="G108" s="43" t="n">
        <v>12</v>
      </c>
      <c r="H108" s="45" t="b">
        <f aca="false">FALSE()</f>
        <v>0</v>
      </c>
      <c r="I108" s="43" t="n">
        <v>3</v>
      </c>
      <c r="J108" s="33" t="str">
        <f aca="false">INDEX(Lookups_Metadata!$E$4:$E$10, MATCH(I108, Lookups_Metadata!$D$4:$D$10, 0))</f>
        <v>Wednesday</v>
      </c>
      <c r="K108" s="33" t="str">
        <f aca="false">IF(H108=TRUE(), "Holiday", IF(OR(I108=0, I108=6), "Weekend", "Weekday"))</f>
        <v>Weekday</v>
      </c>
      <c r="L108" s="33" t="str">
        <f aca="false">IF(AND(K108="Weekday", OR(AND(G108&gt;=7, G108&lt;=9), AND(G108&gt;=17, G108&lt;=19))), "Peak Commute", "Off-Peak")</f>
        <v>Off-Peak</v>
      </c>
      <c r="M108" s="43" t="n">
        <v>1</v>
      </c>
      <c r="N108" s="33" t="str">
        <f aca="false">VLOOKUP(M108, Lookups_Metadata!$G$4:$H$7, 2, FALSE())</f>
        <v>Clear / Few Clouds</v>
      </c>
      <c r="O108" s="46" t="n">
        <v>0.26</v>
      </c>
      <c r="P108" s="46" t="n">
        <v>0.2273</v>
      </c>
      <c r="Q108" s="46" t="n">
        <f aca="false">IF(OR(P108="", ISBLANK(P108)), ROUND(0.9367*O108+0.0175, 4), P108)</f>
        <v>0.2273</v>
      </c>
      <c r="R108" s="33" t="str">
        <f aca="false">IF(OR(P108="", ISBLANK(P108)), "Imputed (Regression/Trend)", "Original")</f>
        <v>Original</v>
      </c>
      <c r="S108" s="46" t="n">
        <v>0.33</v>
      </c>
      <c r="T108" s="46" t="n">
        <v>0.3284</v>
      </c>
      <c r="U108" s="18" t="n">
        <v>5</v>
      </c>
      <c r="V108" s="18" t="n">
        <v>74</v>
      </c>
      <c r="W108" s="18" t="n">
        <f aca="false">U108+V108</f>
        <v>79</v>
      </c>
      <c r="X108" s="47" t="n">
        <f aca="false">U108/W108</f>
        <v>0.0632911392405063</v>
      </c>
      <c r="Y108" s="47" t="n">
        <f aca="false">V108/W108</f>
        <v>0.936708860759494</v>
      </c>
      <c r="Z108" s="33" t="str">
        <f aca="false">IF(W108&gt;=150, "High Demand", IF(W108&gt;=50, "Moderate Demand", "Low Demand"))</f>
        <v>Moderate Demand</v>
      </c>
      <c r="AA108" s="45" t="str">
        <f aca="false">TEXT(G108, "00") &amp; ":00"</f>
        <v>12:00</v>
      </c>
      <c r="AB108" s="43" t="n">
        <f aca="false">YEAR(B108)</f>
        <v>2011</v>
      </c>
      <c r="AC108" s="33" t="str">
        <f aca="false">TEXT(B108, "mmmm")</f>
        <v>January</v>
      </c>
      <c r="AD108" s="43" t="n">
        <f aca="false">LEN(TEXT(B108, "YYYY-MM-DD"))</f>
        <v>10</v>
      </c>
      <c r="AE108" s="45" t="str">
        <f aca="false">LEFT(TEXT(B108, "YYYY-MM-DD"), 4)</f>
        <v>2011</v>
      </c>
      <c r="AF108" s="45" t="str">
        <f aca="false">RIGHT(TEXT(B108, "YYYY-MM-DD"), 2)</f>
        <v>05</v>
      </c>
    </row>
    <row r="109" customFormat="false" ht="15" hidden="false" customHeight="false" outlineLevel="0" collapsed="false">
      <c r="A109" s="37" t="n">
        <v>105</v>
      </c>
      <c r="B109" s="38" t="s">
        <v>81</v>
      </c>
      <c r="C109" s="37" t="n">
        <v>1</v>
      </c>
      <c r="D109" s="35" t="str">
        <f aca="false">VLOOKUP(C109, Lookups_Metadata!$A$4:$B$7, 2, FALSE())</f>
        <v>Spring</v>
      </c>
      <c r="E109" s="37" t="n">
        <v>0</v>
      </c>
      <c r="F109" s="37" t="n">
        <v>1</v>
      </c>
      <c r="G109" s="37" t="n">
        <v>13</v>
      </c>
      <c r="H109" s="39" t="b">
        <f aca="false">FALSE()</f>
        <v>0</v>
      </c>
      <c r="I109" s="37" t="n">
        <v>3</v>
      </c>
      <c r="J109" s="35" t="str">
        <f aca="false">INDEX(Lookups_Metadata!$E$4:$E$10, MATCH(I109, Lookups_Metadata!$D$4:$D$10, 0))</f>
        <v>Wednesday</v>
      </c>
      <c r="K109" s="35" t="str">
        <f aca="false">IF(H109=TRUE(), "Holiday", IF(OR(I109=0, I109=6), "Weekend", "Weekday"))</f>
        <v>Weekday</v>
      </c>
      <c r="L109" s="35" t="str">
        <f aca="false">IF(AND(K109="Weekday", OR(AND(G109&gt;=7, G109&lt;=9), AND(G109&gt;=17, G109&lt;=19))), "Peak Commute", "Off-Peak")</f>
        <v>Off-Peak</v>
      </c>
      <c r="M109" s="37" t="n">
        <v>1</v>
      </c>
      <c r="N109" s="35" t="str">
        <f aca="false">VLOOKUP(M109, Lookups_Metadata!$G$4:$H$7, 2, FALSE())</f>
        <v>Clear / Few Clouds</v>
      </c>
      <c r="O109" s="40" t="n">
        <v>0.28</v>
      </c>
      <c r="P109" s="40" t="n">
        <v>0.2576</v>
      </c>
      <c r="Q109" s="40" t="n">
        <f aca="false">IF(OR(P109="", ISBLANK(P109)), ROUND(0.9367*O109+0.0175, 4), P109)</f>
        <v>0.2576</v>
      </c>
      <c r="R109" s="35" t="str">
        <f aca="false">IF(OR(P109="", ISBLANK(P109)), "Imputed (Regression/Trend)", "Original")</f>
        <v>Original</v>
      </c>
      <c r="S109" s="40" t="n">
        <v>0.3</v>
      </c>
      <c r="T109" s="40" t="n">
        <v>0.2985</v>
      </c>
      <c r="U109" s="41" t="n">
        <v>6</v>
      </c>
      <c r="V109" s="41" t="n">
        <v>65</v>
      </c>
      <c r="W109" s="41" t="n">
        <f aca="false">U109+V109</f>
        <v>71</v>
      </c>
      <c r="X109" s="42" t="n">
        <f aca="false">U109/W109</f>
        <v>0.0845070422535211</v>
      </c>
      <c r="Y109" s="42" t="n">
        <f aca="false">V109/W109</f>
        <v>0.915492957746479</v>
      </c>
      <c r="Z109" s="35" t="str">
        <f aca="false">IF(W109&gt;=150, "High Demand", IF(W109&gt;=50, "Moderate Demand", "Low Demand"))</f>
        <v>Moderate Demand</v>
      </c>
      <c r="AA109" s="39" t="str">
        <f aca="false">TEXT(G109, "00") &amp; ":00"</f>
        <v>13:00</v>
      </c>
      <c r="AB109" s="37" t="n">
        <f aca="false">YEAR(B109)</f>
        <v>2011</v>
      </c>
      <c r="AC109" s="35" t="str">
        <f aca="false">TEXT(B109, "mmmm")</f>
        <v>January</v>
      </c>
      <c r="AD109" s="37" t="n">
        <f aca="false">LEN(TEXT(B109, "YYYY-MM-DD"))</f>
        <v>10</v>
      </c>
      <c r="AE109" s="39" t="str">
        <f aca="false">LEFT(TEXT(B109, "YYYY-MM-DD"), 4)</f>
        <v>2011</v>
      </c>
      <c r="AF109" s="39" t="str">
        <f aca="false">RIGHT(TEXT(B109, "YYYY-MM-DD"), 2)</f>
        <v>05</v>
      </c>
    </row>
    <row r="110" customFormat="false" ht="15" hidden="false" customHeight="false" outlineLevel="0" collapsed="false">
      <c r="A110" s="43" t="n">
        <v>106</v>
      </c>
      <c r="B110" s="44" t="s">
        <v>81</v>
      </c>
      <c r="C110" s="43" t="n">
        <v>1</v>
      </c>
      <c r="D110" s="33" t="str">
        <f aca="false">VLOOKUP(C110, Lookups_Metadata!$A$4:$B$7, 2, FALSE())</f>
        <v>Spring</v>
      </c>
      <c r="E110" s="43" t="n">
        <v>0</v>
      </c>
      <c r="F110" s="43" t="n">
        <v>1</v>
      </c>
      <c r="G110" s="43" t="n">
        <v>14</v>
      </c>
      <c r="H110" s="45" t="b">
        <f aca="false">FALSE()</f>
        <v>0</v>
      </c>
      <c r="I110" s="43" t="n">
        <v>3</v>
      </c>
      <c r="J110" s="33" t="str">
        <f aca="false">INDEX(Lookups_Metadata!$E$4:$E$10, MATCH(I110, Lookups_Metadata!$D$4:$D$10, 0))</f>
        <v>Wednesday</v>
      </c>
      <c r="K110" s="33" t="str">
        <f aca="false">IF(H110=TRUE(), "Holiday", IF(OR(I110=0, I110=6), "Weekend", "Weekday"))</f>
        <v>Weekday</v>
      </c>
      <c r="L110" s="33" t="str">
        <f aca="false">IF(AND(K110="Weekday", OR(AND(G110&gt;=7, G110&lt;=9), AND(G110&gt;=17, G110&lt;=19))), "Peak Commute", "Off-Peak")</f>
        <v>Off-Peak</v>
      </c>
      <c r="M110" s="43" t="n">
        <v>1</v>
      </c>
      <c r="N110" s="33" t="str">
        <f aca="false">VLOOKUP(M110, Lookups_Metadata!$G$4:$H$7, 2, FALSE())</f>
        <v>Clear / Few Clouds</v>
      </c>
      <c r="O110" s="46" t="n">
        <v>0.3</v>
      </c>
      <c r="P110" s="46" t="n">
        <v>0.2879</v>
      </c>
      <c r="Q110" s="46" t="n">
        <f aca="false">IF(OR(P110="", ISBLANK(P110)), ROUND(0.9367*O110+0.0175, 4), P110)</f>
        <v>0.2879</v>
      </c>
      <c r="R110" s="33" t="str">
        <f aca="false">IF(OR(P110="", ISBLANK(P110)), "Imputed (Regression/Trend)", "Original")</f>
        <v>Original</v>
      </c>
      <c r="S110" s="46" t="n">
        <v>0.28</v>
      </c>
      <c r="T110" s="46" t="n">
        <v>0.194</v>
      </c>
      <c r="U110" s="18" t="n">
        <v>10</v>
      </c>
      <c r="V110" s="18" t="n">
        <v>52</v>
      </c>
      <c r="W110" s="18" t="n">
        <f aca="false">U110+V110</f>
        <v>62</v>
      </c>
      <c r="X110" s="47" t="n">
        <f aca="false">U110/W110</f>
        <v>0.161290322580645</v>
      </c>
      <c r="Y110" s="47" t="n">
        <f aca="false">V110/W110</f>
        <v>0.838709677419355</v>
      </c>
      <c r="Z110" s="33" t="str">
        <f aca="false">IF(W110&gt;=150, "High Demand", IF(W110&gt;=50, "Moderate Demand", "Low Demand"))</f>
        <v>Moderate Demand</v>
      </c>
      <c r="AA110" s="45" t="str">
        <f aca="false">TEXT(G110, "00") &amp; ":00"</f>
        <v>14:00</v>
      </c>
      <c r="AB110" s="43" t="n">
        <f aca="false">YEAR(B110)</f>
        <v>2011</v>
      </c>
      <c r="AC110" s="33" t="str">
        <f aca="false">TEXT(B110, "mmmm")</f>
        <v>January</v>
      </c>
      <c r="AD110" s="43" t="n">
        <f aca="false">LEN(TEXT(B110, "YYYY-MM-DD"))</f>
        <v>10</v>
      </c>
      <c r="AE110" s="45" t="str">
        <f aca="false">LEFT(TEXT(B110, "YYYY-MM-DD"), 4)</f>
        <v>2011</v>
      </c>
      <c r="AF110" s="45" t="str">
        <f aca="false">RIGHT(TEXT(B110, "YYYY-MM-DD"), 2)</f>
        <v>05</v>
      </c>
    </row>
    <row r="111" customFormat="false" ht="15" hidden="false" customHeight="false" outlineLevel="0" collapsed="false">
      <c r="A111" s="37" t="n">
        <v>107</v>
      </c>
      <c r="B111" s="38" t="s">
        <v>81</v>
      </c>
      <c r="C111" s="37" t="n">
        <v>1</v>
      </c>
      <c r="D111" s="35" t="str">
        <f aca="false">VLOOKUP(C111, Lookups_Metadata!$A$4:$B$7, 2, FALSE())</f>
        <v>Spring</v>
      </c>
      <c r="E111" s="37" t="n">
        <v>0</v>
      </c>
      <c r="F111" s="37" t="n">
        <v>1</v>
      </c>
      <c r="G111" s="37" t="n">
        <v>15</v>
      </c>
      <c r="H111" s="39" t="b">
        <f aca="false">FALSE()</f>
        <v>0</v>
      </c>
      <c r="I111" s="37" t="n">
        <v>3</v>
      </c>
      <c r="J111" s="35" t="str">
        <f aca="false">INDEX(Lookups_Metadata!$E$4:$E$10, MATCH(I111, Lookups_Metadata!$D$4:$D$10, 0))</f>
        <v>Wednesday</v>
      </c>
      <c r="K111" s="35" t="str">
        <f aca="false">IF(H111=TRUE(), "Holiday", IF(OR(I111=0, I111=6), "Weekend", "Weekday"))</f>
        <v>Weekday</v>
      </c>
      <c r="L111" s="35" t="str">
        <f aca="false">IF(AND(K111="Weekday", OR(AND(G111&gt;=7, G111&lt;=9), AND(G111&gt;=17, G111&lt;=19))), "Peak Commute", "Off-Peak")</f>
        <v>Off-Peak</v>
      </c>
      <c r="M111" s="37" t="n">
        <v>1</v>
      </c>
      <c r="N111" s="35" t="str">
        <f aca="false">VLOOKUP(M111, Lookups_Metadata!$G$4:$H$7, 2, FALSE())</f>
        <v>Clear / Few Clouds</v>
      </c>
      <c r="O111" s="40" t="n">
        <v>0.3</v>
      </c>
      <c r="P111" s="40" t="n">
        <v>0.2879</v>
      </c>
      <c r="Q111" s="40" t="n">
        <f aca="false">IF(OR(P111="", ISBLANK(P111)), ROUND(0.9367*O111+0.0175, 4), P111)</f>
        <v>0.2879</v>
      </c>
      <c r="R111" s="35" t="str">
        <f aca="false">IF(OR(P111="", ISBLANK(P111)), "Imputed (Regression/Trend)", "Original")</f>
        <v>Original</v>
      </c>
      <c r="S111" s="40" t="n">
        <v>0.28</v>
      </c>
      <c r="T111" s="40" t="n">
        <v>0.194</v>
      </c>
      <c r="U111" s="41" t="n">
        <v>7</v>
      </c>
      <c r="V111" s="41" t="n">
        <v>55</v>
      </c>
      <c r="W111" s="41" t="n">
        <f aca="false">U111+V111</f>
        <v>62</v>
      </c>
      <c r="X111" s="42" t="n">
        <f aca="false">U111/W111</f>
        <v>0.112903225806452</v>
      </c>
      <c r="Y111" s="42" t="n">
        <f aca="false">V111/W111</f>
        <v>0.887096774193548</v>
      </c>
      <c r="Z111" s="35" t="str">
        <f aca="false">IF(W111&gt;=150, "High Demand", IF(W111&gt;=50, "Moderate Demand", "Low Demand"))</f>
        <v>Moderate Demand</v>
      </c>
      <c r="AA111" s="39" t="str">
        <f aca="false">TEXT(G111, "00") &amp; ":00"</f>
        <v>15:00</v>
      </c>
      <c r="AB111" s="37" t="n">
        <f aca="false">YEAR(B111)</f>
        <v>2011</v>
      </c>
      <c r="AC111" s="35" t="str">
        <f aca="false">TEXT(B111, "mmmm")</f>
        <v>January</v>
      </c>
      <c r="AD111" s="37" t="n">
        <f aca="false">LEN(TEXT(B111, "YYYY-MM-DD"))</f>
        <v>10</v>
      </c>
      <c r="AE111" s="39" t="str">
        <f aca="false">LEFT(TEXT(B111, "YYYY-MM-DD"), 4)</f>
        <v>2011</v>
      </c>
      <c r="AF111" s="39" t="str">
        <f aca="false">RIGHT(TEXT(B111, "YYYY-MM-DD"), 2)</f>
        <v>05</v>
      </c>
    </row>
    <row r="112" customFormat="false" ht="15" hidden="false" customHeight="false" outlineLevel="0" collapsed="false">
      <c r="A112" s="43" t="n">
        <v>108</v>
      </c>
      <c r="B112" s="44" t="s">
        <v>81</v>
      </c>
      <c r="C112" s="43" t="n">
        <v>1</v>
      </c>
      <c r="D112" s="33" t="str">
        <f aca="false">VLOOKUP(C112, Lookups_Metadata!$A$4:$B$7, 2, FALSE())</f>
        <v>Spring</v>
      </c>
      <c r="E112" s="43" t="n">
        <v>0</v>
      </c>
      <c r="F112" s="43" t="n">
        <v>1</v>
      </c>
      <c r="G112" s="43" t="n">
        <v>16</v>
      </c>
      <c r="H112" s="45" t="b">
        <f aca="false">FALSE()</f>
        <v>0</v>
      </c>
      <c r="I112" s="43" t="n">
        <v>3</v>
      </c>
      <c r="J112" s="33" t="str">
        <f aca="false">INDEX(Lookups_Metadata!$E$4:$E$10, MATCH(I112, Lookups_Metadata!$D$4:$D$10, 0))</f>
        <v>Wednesday</v>
      </c>
      <c r="K112" s="33" t="str">
        <f aca="false">IF(H112=TRUE(), "Holiday", IF(OR(I112=0, I112=6), "Weekend", "Weekday"))</f>
        <v>Weekday</v>
      </c>
      <c r="L112" s="33" t="str">
        <f aca="false">IF(AND(K112="Weekday", OR(AND(G112&gt;=7, G112&lt;=9), AND(G112&gt;=17, G112&lt;=19))), "Peak Commute", "Off-Peak")</f>
        <v>Off-Peak</v>
      </c>
      <c r="M112" s="43" t="n">
        <v>1</v>
      </c>
      <c r="N112" s="33" t="str">
        <f aca="false">VLOOKUP(M112, Lookups_Metadata!$G$4:$H$7, 2, FALSE())</f>
        <v>Clear / Few Clouds</v>
      </c>
      <c r="O112" s="46" t="n">
        <v>0.3</v>
      </c>
      <c r="P112" s="46" t="n">
        <v>0.3182</v>
      </c>
      <c r="Q112" s="46" t="n">
        <f aca="false">IF(OR(P112="", ISBLANK(P112)), ROUND(0.9367*O112+0.0175, 4), P112)</f>
        <v>0.3182</v>
      </c>
      <c r="R112" s="33" t="str">
        <f aca="false">IF(OR(P112="", ISBLANK(P112)), "Imputed (Regression/Trend)", "Original")</f>
        <v>Original</v>
      </c>
      <c r="S112" s="46" t="n">
        <v>0.28</v>
      </c>
      <c r="T112" s="46" t="n">
        <v>0.0896</v>
      </c>
      <c r="U112" s="18" t="n">
        <v>4</v>
      </c>
      <c r="V112" s="18" t="n">
        <v>85</v>
      </c>
      <c r="W112" s="18" t="n">
        <f aca="false">U112+V112</f>
        <v>89</v>
      </c>
      <c r="X112" s="47" t="n">
        <f aca="false">U112/W112</f>
        <v>0.0449438202247191</v>
      </c>
      <c r="Y112" s="47" t="n">
        <f aca="false">V112/W112</f>
        <v>0.955056179775281</v>
      </c>
      <c r="Z112" s="33" t="str">
        <f aca="false">IF(W112&gt;=150, "High Demand", IF(W112&gt;=50, "Moderate Demand", "Low Demand"))</f>
        <v>Moderate Demand</v>
      </c>
      <c r="AA112" s="45" t="str">
        <f aca="false">TEXT(G112, "00") &amp; ":00"</f>
        <v>16:00</v>
      </c>
      <c r="AB112" s="43" t="n">
        <f aca="false">YEAR(B112)</f>
        <v>2011</v>
      </c>
      <c r="AC112" s="33" t="str">
        <f aca="false">TEXT(B112, "mmmm")</f>
        <v>January</v>
      </c>
      <c r="AD112" s="43" t="n">
        <f aca="false">LEN(TEXT(B112, "YYYY-MM-DD"))</f>
        <v>10</v>
      </c>
      <c r="AE112" s="45" t="str">
        <f aca="false">LEFT(TEXT(B112, "YYYY-MM-DD"), 4)</f>
        <v>2011</v>
      </c>
      <c r="AF112" s="45" t="str">
        <f aca="false">RIGHT(TEXT(B112, "YYYY-MM-DD"), 2)</f>
        <v>05</v>
      </c>
    </row>
    <row r="113" customFormat="false" ht="15" hidden="false" customHeight="false" outlineLevel="0" collapsed="false">
      <c r="A113" s="37" t="n">
        <v>109</v>
      </c>
      <c r="B113" s="38" t="s">
        <v>81</v>
      </c>
      <c r="C113" s="37" t="n">
        <v>1</v>
      </c>
      <c r="D113" s="35" t="str">
        <f aca="false">VLOOKUP(C113, Lookups_Metadata!$A$4:$B$7, 2, FALSE())</f>
        <v>Spring</v>
      </c>
      <c r="E113" s="37" t="n">
        <v>0</v>
      </c>
      <c r="F113" s="37" t="n">
        <v>1</v>
      </c>
      <c r="G113" s="37" t="n">
        <v>17</v>
      </c>
      <c r="H113" s="39" t="b">
        <f aca="false">FALSE()</f>
        <v>0</v>
      </c>
      <c r="I113" s="37" t="n">
        <v>3</v>
      </c>
      <c r="J113" s="35" t="str">
        <f aca="false">INDEX(Lookups_Metadata!$E$4:$E$10, MATCH(I113, Lookups_Metadata!$D$4:$D$10, 0))</f>
        <v>Wednesday</v>
      </c>
      <c r="K113" s="35" t="str">
        <f aca="false">IF(H113=TRUE(), "Holiday", IF(OR(I113=0, I113=6), "Weekend", "Weekday"))</f>
        <v>Weekday</v>
      </c>
      <c r="L113" s="35" t="str">
        <f aca="false">IF(AND(K113="Weekday", OR(AND(G113&gt;=7, G113&lt;=9), AND(G113&gt;=17, G113&lt;=19))), "Peak Commute", "Off-Peak")</f>
        <v>Peak Commute</v>
      </c>
      <c r="M113" s="37" t="n">
        <v>1</v>
      </c>
      <c r="N113" s="35" t="str">
        <f aca="false">VLOOKUP(M113, Lookups_Metadata!$G$4:$H$7, 2, FALSE())</f>
        <v>Clear / Few Clouds</v>
      </c>
      <c r="O113" s="40" t="n">
        <v>0.24</v>
      </c>
      <c r="P113" s="40" t="n">
        <v>0.2273</v>
      </c>
      <c r="Q113" s="40" t="n">
        <f aca="false">IF(OR(P113="", ISBLANK(P113)), ROUND(0.9367*O113+0.0175, 4), P113)</f>
        <v>0.2273</v>
      </c>
      <c r="R113" s="35" t="str">
        <f aca="false">IF(OR(P113="", ISBLANK(P113)), "Imputed (Regression/Trend)", "Original")</f>
        <v>Original</v>
      </c>
      <c r="S113" s="40" t="n">
        <v>0.38</v>
      </c>
      <c r="T113" s="40" t="n">
        <v>0.194</v>
      </c>
      <c r="U113" s="41" t="n">
        <v>4</v>
      </c>
      <c r="V113" s="41" t="n">
        <v>186</v>
      </c>
      <c r="W113" s="41" t="n">
        <f aca="false">U113+V113</f>
        <v>190</v>
      </c>
      <c r="X113" s="42" t="n">
        <f aca="false">U113/W113</f>
        <v>0.0210526315789474</v>
      </c>
      <c r="Y113" s="42" t="n">
        <f aca="false">V113/W113</f>
        <v>0.978947368421053</v>
      </c>
      <c r="Z113" s="35" t="str">
        <f aca="false">IF(W113&gt;=150, "High Demand", IF(W113&gt;=50, "Moderate Demand", "Low Demand"))</f>
        <v>High Demand</v>
      </c>
      <c r="AA113" s="39" t="str">
        <f aca="false">TEXT(G113, "00") &amp; ":00"</f>
        <v>17:00</v>
      </c>
      <c r="AB113" s="37" t="n">
        <f aca="false">YEAR(B113)</f>
        <v>2011</v>
      </c>
      <c r="AC113" s="35" t="str">
        <f aca="false">TEXT(B113, "mmmm")</f>
        <v>January</v>
      </c>
      <c r="AD113" s="37" t="n">
        <f aca="false">LEN(TEXT(B113, "YYYY-MM-DD"))</f>
        <v>10</v>
      </c>
      <c r="AE113" s="39" t="str">
        <f aca="false">LEFT(TEXT(B113, "YYYY-MM-DD"), 4)</f>
        <v>2011</v>
      </c>
      <c r="AF113" s="39" t="str">
        <f aca="false">RIGHT(TEXT(B113, "YYYY-MM-DD"), 2)</f>
        <v>05</v>
      </c>
    </row>
    <row r="114" customFormat="false" ht="15" hidden="false" customHeight="false" outlineLevel="0" collapsed="false">
      <c r="A114" s="43" t="n">
        <v>110</v>
      </c>
      <c r="B114" s="44" t="s">
        <v>81</v>
      </c>
      <c r="C114" s="43" t="n">
        <v>1</v>
      </c>
      <c r="D114" s="33" t="str">
        <f aca="false">VLOOKUP(C114, Lookups_Metadata!$A$4:$B$7, 2, FALSE())</f>
        <v>Spring</v>
      </c>
      <c r="E114" s="43" t="n">
        <v>0</v>
      </c>
      <c r="F114" s="43" t="n">
        <v>1</v>
      </c>
      <c r="G114" s="43" t="n">
        <v>18</v>
      </c>
      <c r="H114" s="45" t="b">
        <f aca="false">FALSE()</f>
        <v>0</v>
      </c>
      <c r="I114" s="43" t="n">
        <v>3</v>
      </c>
      <c r="J114" s="33" t="str">
        <f aca="false">INDEX(Lookups_Metadata!$E$4:$E$10, MATCH(I114, Lookups_Metadata!$D$4:$D$10, 0))</f>
        <v>Wednesday</v>
      </c>
      <c r="K114" s="33" t="str">
        <f aca="false">IF(H114=TRUE(), "Holiday", IF(OR(I114=0, I114=6), "Weekend", "Weekday"))</f>
        <v>Weekday</v>
      </c>
      <c r="L114" s="33" t="str">
        <f aca="false">IF(AND(K114="Weekday", OR(AND(G114&gt;=7, G114&lt;=9), AND(G114&gt;=17, G114&lt;=19))), "Peak Commute", "Off-Peak")</f>
        <v>Peak Commute</v>
      </c>
      <c r="M114" s="43" t="n">
        <v>1</v>
      </c>
      <c r="N114" s="33" t="str">
        <f aca="false">VLOOKUP(M114, Lookups_Metadata!$G$4:$H$7, 2, FALSE())</f>
        <v>Clear / Few Clouds</v>
      </c>
      <c r="O114" s="46" t="n">
        <v>0.24</v>
      </c>
      <c r="P114" s="46" t="n">
        <v>0.2424</v>
      </c>
      <c r="Q114" s="46" t="n">
        <f aca="false">IF(OR(P114="", ISBLANK(P114)), ROUND(0.9367*O114+0.0175, 4), P114)</f>
        <v>0.2424</v>
      </c>
      <c r="R114" s="33" t="str">
        <f aca="false">IF(OR(P114="", ISBLANK(P114)), "Imputed (Regression/Trend)", "Original")</f>
        <v>Original</v>
      </c>
      <c r="S114" s="46" t="n">
        <v>0.38</v>
      </c>
      <c r="T114" s="46" t="n">
        <v>0.1343</v>
      </c>
      <c r="U114" s="18" t="n">
        <v>3</v>
      </c>
      <c r="V114" s="18" t="n">
        <v>166</v>
      </c>
      <c r="W114" s="18" t="n">
        <f aca="false">U114+V114</f>
        <v>169</v>
      </c>
      <c r="X114" s="47" t="n">
        <f aca="false">U114/W114</f>
        <v>0.0177514792899408</v>
      </c>
      <c r="Y114" s="47" t="n">
        <f aca="false">V114/W114</f>
        <v>0.982248520710059</v>
      </c>
      <c r="Z114" s="33" t="str">
        <f aca="false">IF(W114&gt;=150, "High Demand", IF(W114&gt;=50, "Moderate Demand", "Low Demand"))</f>
        <v>High Demand</v>
      </c>
      <c r="AA114" s="45" t="str">
        <f aca="false">TEXT(G114, "00") &amp; ":00"</f>
        <v>18:00</v>
      </c>
      <c r="AB114" s="43" t="n">
        <f aca="false">YEAR(B114)</f>
        <v>2011</v>
      </c>
      <c r="AC114" s="33" t="str">
        <f aca="false">TEXT(B114, "mmmm")</f>
        <v>January</v>
      </c>
      <c r="AD114" s="43" t="n">
        <f aca="false">LEN(TEXT(B114, "YYYY-MM-DD"))</f>
        <v>10</v>
      </c>
      <c r="AE114" s="45" t="str">
        <f aca="false">LEFT(TEXT(B114, "YYYY-MM-DD"), 4)</f>
        <v>2011</v>
      </c>
      <c r="AF114" s="45" t="str">
        <f aca="false">RIGHT(TEXT(B114, "YYYY-MM-DD"), 2)</f>
        <v>05</v>
      </c>
    </row>
    <row r="115" customFormat="false" ht="15" hidden="false" customHeight="false" outlineLevel="0" collapsed="false">
      <c r="A115" s="37" t="n">
        <v>111</v>
      </c>
      <c r="B115" s="38" t="s">
        <v>81</v>
      </c>
      <c r="C115" s="37" t="n">
        <v>1</v>
      </c>
      <c r="D115" s="35" t="str">
        <f aca="false">VLOOKUP(C115, Lookups_Metadata!$A$4:$B$7, 2, FALSE())</f>
        <v>Spring</v>
      </c>
      <c r="E115" s="37" t="n">
        <v>0</v>
      </c>
      <c r="F115" s="37" t="n">
        <v>1</v>
      </c>
      <c r="G115" s="37" t="n">
        <v>19</v>
      </c>
      <c r="H115" s="39" t="b">
        <f aca="false">FALSE()</f>
        <v>0</v>
      </c>
      <c r="I115" s="37" t="n">
        <v>3</v>
      </c>
      <c r="J115" s="35" t="str">
        <f aca="false">INDEX(Lookups_Metadata!$E$4:$E$10, MATCH(I115, Lookups_Metadata!$D$4:$D$10, 0))</f>
        <v>Wednesday</v>
      </c>
      <c r="K115" s="35" t="str">
        <f aca="false">IF(H115=TRUE(), "Holiday", IF(OR(I115=0, I115=6), "Weekend", "Weekday"))</f>
        <v>Weekday</v>
      </c>
      <c r="L115" s="35" t="str">
        <f aca="false">IF(AND(K115="Weekday", OR(AND(G115&gt;=7, G115&lt;=9), AND(G115&gt;=17, G115&lt;=19))), "Peak Commute", "Off-Peak")</f>
        <v>Peak Commute</v>
      </c>
      <c r="M115" s="37" t="n">
        <v>1</v>
      </c>
      <c r="N115" s="35" t="str">
        <f aca="false">VLOOKUP(M115, Lookups_Metadata!$G$4:$H$7, 2, FALSE())</f>
        <v>Clear / Few Clouds</v>
      </c>
      <c r="O115" s="40" t="n">
        <v>0.24</v>
      </c>
      <c r="P115" s="40" t="n">
        <v>0.2576</v>
      </c>
      <c r="Q115" s="40" t="n">
        <f aca="false">IF(OR(P115="", ISBLANK(P115)), ROUND(0.9367*O115+0.0175, 4), P115)</f>
        <v>0.2576</v>
      </c>
      <c r="R115" s="35" t="str">
        <f aca="false">IF(OR(P115="", ISBLANK(P115)), "Imputed (Regression/Trend)", "Original")</f>
        <v>Original</v>
      </c>
      <c r="S115" s="40" t="n">
        <v>0.38</v>
      </c>
      <c r="T115" s="40" t="n">
        <v>0.1045</v>
      </c>
      <c r="U115" s="41" t="n">
        <v>5</v>
      </c>
      <c r="V115" s="41" t="n">
        <v>127</v>
      </c>
      <c r="W115" s="41" t="n">
        <f aca="false">U115+V115</f>
        <v>132</v>
      </c>
      <c r="X115" s="42" t="n">
        <f aca="false">U115/W115</f>
        <v>0.0378787878787879</v>
      </c>
      <c r="Y115" s="42" t="n">
        <f aca="false">V115/W115</f>
        <v>0.962121212121212</v>
      </c>
      <c r="Z115" s="35" t="str">
        <f aca="false">IF(W115&gt;=150, "High Demand", IF(W115&gt;=50, "Moderate Demand", "Low Demand"))</f>
        <v>Moderate Demand</v>
      </c>
      <c r="AA115" s="39" t="str">
        <f aca="false">TEXT(G115, "00") &amp; ":00"</f>
        <v>19:00</v>
      </c>
      <c r="AB115" s="37" t="n">
        <f aca="false">YEAR(B115)</f>
        <v>2011</v>
      </c>
      <c r="AC115" s="35" t="str">
        <f aca="false">TEXT(B115, "mmmm")</f>
        <v>January</v>
      </c>
      <c r="AD115" s="37" t="n">
        <f aca="false">LEN(TEXT(B115, "YYYY-MM-DD"))</f>
        <v>10</v>
      </c>
      <c r="AE115" s="39" t="str">
        <f aca="false">LEFT(TEXT(B115, "YYYY-MM-DD"), 4)</f>
        <v>2011</v>
      </c>
      <c r="AF115" s="39" t="str">
        <f aca="false">RIGHT(TEXT(B115, "YYYY-MM-DD"), 2)</f>
        <v>05</v>
      </c>
    </row>
    <row r="116" customFormat="false" ht="15" hidden="false" customHeight="false" outlineLevel="0" collapsed="false">
      <c r="A116" s="43" t="n">
        <v>112</v>
      </c>
      <c r="B116" s="44" t="s">
        <v>81</v>
      </c>
      <c r="C116" s="43" t="n">
        <v>1</v>
      </c>
      <c r="D116" s="33" t="str">
        <f aca="false">VLOOKUP(C116, Lookups_Metadata!$A$4:$B$7, 2, FALSE())</f>
        <v>Spring</v>
      </c>
      <c r="E116" s="43" t="n">
        <v>0</v>
      </c>
      <c r="F116" s="43" t="n">
        <v>1</v>
      </c>
      <c r="G116" s="43" t="n">
        <v>20</v>
      </c>
      <c r="H116" s="45" t="b">
        <f aca="false">FALSE()</f>
        <v>0</v>
      </c>
      <c r="I116" s="43" t="n">
        <v>3</v>
      </c>
      <c r="J116" s="33" t="str">
        <f aca="false">INDEX(Lookups_Metadata!$E$4:$E$10, MATCH(I116, Lookups_Metadata!$D$4:$D$10, 0))</f>
        <v>Wednesday</v>
      </c>
      <c r="K116" s="33" t="str">
        <f aca="false">IF(H116=TRUE(), "Holiday", IF(OR(I116=0, I116=6), "Weekend", "Weekday"))</f>
        <v>Weekday</v>
      </c>
      <c r="L116" s="33" t="str">
        <f aca="false">IF(AND(K116="Weekday", OR(AND(G116&gt;=7, G116&lt;=9), AND(G116&gt;=17, G116&lt;=19))), "Peak Commute", "Off-Peak")</f>
        <v>Off-Peak</v>
      </c>
      <c r="M116" s="43" t="n">
        <v>1</v>
      </c>
      <c r="N116" s="33" t="str">
        <f aca="false">VLOOKUP(M116, Lookups_Metadata!$G$4:$H$7, 2, FALSE())</f>
        <v>Clear / Few Clouds</v>
      </c>
      <c r="O116" s="46" t="n">
        <v>0.22</v>
      </c>
      <c r="P116" s="46" t="n">
        <v>0.2273</v>
      </c>
      <c r="Q116" s="46" t="n">
        <f aca="false">IF(OR(P116="", ISBLANK(P116)), ROUND(0.9367*O116+0.0175, 4), P116)</f>
        <v>0.2273</v>
      </c>
      <c r="R116" s="33" t="str">
        <f aca="false">IF(OR(P116="", ISBLANK(P116)), "Imputed (Regression/Trend)", "Original")</f>
        <v>Original</v>
      </c>
      <c r="S116" s="46" t="n">
        <v>0.47</v>
      </c>
      <c r="T116" s="46" t="n">
        <v>0.1642</v>
      </c>
      <c r="U116" s="18" t="n">
        <v>7</v>
      </c>
      <c r="V116" s="18" t="n">
        <v>82</v>
      </c>
      <c r="W116" s="18" t="n">
        <f aca="false">U116+V116</f>
        <v>89</v>
      </c>
      <c r="X116" s="47" t="n">
        <f aca="false">U116/W116</f>
        <v>0.0786516853932584</v>
      </c>
      <c r="Y116" s="47" t="n">
        <f aca="false">V116/W116</f>
        <v>0.921348314606742</v>
      </c>
      <c r="Z116" s="33" t="str">
        <f aca="false">IF(W116&gt;=150, "High Demand", IF(W116&gt;=50, "Moderate Demand", "Low Demand"))</f>
        <v>Moderate Demand</v>
      </c>
      <c r="AA116" s="45" t="str">
        <f aca="false">TEXT(G116, "00") &amp; ":00"</f>
        <v>20:00</v>
      </c>
      <c r="AB116" s="43" t="n">
        <f aca="false">YEAR(B116)</f>
        <v>2011</v>
      </c>
      <c r="AC116" s="33" t="str">
        <f aca="false">TEXT(B116, "mmmm")</f>
        <v>January</v>
      </c>
      <c r="AD116" s="43" t="n">
        <f aca="false">LEN(TEXT(B116, "YYYY-MM-DD"))</f>
        <v>10</v>
      </c>
      <c r="AE116" s="45" t="str">
        <f aca="false">LEFT(TEXT(B116, "YYYY-MM-DD"), 4)</f>
        <v>2011</v>
      </c>
      <c r="AF116" s="45" t="str">
        <f aca="false">RIGHT(TEXT(B116, "YYYY-MM-DD"), 2)</f>
        <v>05</v>
      </c>
    </row>
    <row r="117" customFormat="false" ht="15" hidden="false" customHeight="false" outlineLevel="0" collapsed="false">
      <c r="A117" s="37" t="n">
        <v>113</v>
      </c>
      <c r="B117" s="38" t="s">
        <v>81</v>
      </c>
      <c r="C117" s="37" t="n">
        <v>1</v>
      </c>
      <c r="D117" s="35" t="str">
        <f aca="false">VLOOKUP(C117, Lookups_Metadata!$A$4:$B$7, 2, FALSE())</f>
        <v>Spring</v>
      </c>
      <c r="E117" s="37" t="n">
        <v>0</v>
      </c>
      <c r="F117" s="37" t="n">
        <v>1</v>
      </c>
      <c r="G117" s="37" t="n">
        <v>21</v>
      </c>
      <c r="H117" s="39" t="b">
        <f aca="false">FALSE()</f>
        <v>0</v>
      </c>
      <c r="I117" s="37" t="n">
        <v>3</v>
      </c>
      <c r="J117" s="35" t="str">
        <f aca="false">INDEX(Lookups_Metadata!$E$4:$E$10, MATCH(I117, Lookups_Metadata!$D$4:$D$10, 0))</f>
        <v>Wednesday</v>
      </c>
      <c r="K117" s="35" t="str">
        <f aca="false">IF(H117=TRUE(), "Holiday", IF(OR(I117=0, I117=6), "Weekend", "Weekday"))</f>
        <v>Weekday</v>
      </c>
      <c r="L117" s="35" t="str">
        <f aca="false">IF(AND(K117="Weekday", OR(AND(G117&gt;=7, G117&lt;=9), AND(G117&gt;=17, G117&lt;=19))), "Peak Commute", "Off-Peak")</f>
        <v>Off-Peak</v>
      </c>
      <c r="M117" s="37" t="n">
        <v>1</v>
      </c>
      <c r="N117" s="35" t="str">
        <f aca="false">VLOOKUP(M117, Lookups_Metadata!$G$4:$H$7, 2, FALSE())</f>
        <v>Clear / Few Clouds</v>
      </c>
      <c r="O117" s="40" t="n">
        <v>0.2</v>
      </c>
      <c r="P117" s="40" t="n">
        <v>0.197</v>
      </c>
      <c r="Q117" s="40" t="n">
        <f aca="false">IF(OR(P117="", ISBLANK(P117)), ROUND(0.9367*O117+0.0175, 4), P117)</f>
        <v>0.197</v>
      </c>
      <c r="R117" s="35" t="str">
        <f aca="false">IF(OR(P117="", ISBLANK(P117)), "Imputed (Regression/Trend)", "Original")</f>
        <v>Original</v>
      </c>
      <c r="S117" s="40" t="n">
        <v>0.51</v>
      </c>
      <c r="T117" s="40" t="n">
        <v>0.194</v>
      </c>
      <c r="U117" s="41" t="n">
        <v>3</v>
      </c>
      <c r="V117" s="41" t="n">
        <v>40</v>
      </c>
      <c r="W117" s="41" t="n">
        <f aca="false">U117+V117</f>
        <v>43</v>
      </c>
      <c r="X117" s="42" t="n">
        <f aca="false">U117/W117</f>
        <v>0.0697674418604651</v>
      </c>
      <c r="Y117" s="42" t="n">
        <f aca="false">V117/W117</f>
        <v>0.930232558139535</v>
      </c>
      <c r="Z117" s="35" t="str">
        <f aca="false">IF(W117&gt;=150, "High Demand", IF(W117&gt;=50, "Moderate Demand", "Low Demand"))</f>
        <v>Low Demand</v>
      </c>
      <c r="AA117" s="39" t="str">
        <f aca="false">TEXT(G117, "00") &amp; ":00"</f>
        <v>21:00</v>
      </c>
      <c r="AB117" s="37" t="n">
        <f aca="false">YEAR(B117)</f>
        <v>2011</v>
      </c>
      <c r="AC117" s="35" t="str">
        <f aca="false">TEXT(B117, "mmmm")</f>
        <v>January</v>
      </c>
      <c r="AD117" s="37" t="n">
        <f aca="false">LEN(TEXT(B117, "YYYY-MM-DD"))</f>
        <v>10</v>
      </c>
      <c r="AE117" s="39" t="str">
        <f aca="false">LEFT(TEXT(B117, "YYYY-MM-DD"), 4)</f>
        <v>2011</v>
      </c>
      <c r="AF117" s="39" t="str">
        <f aca="false">RIGHT(TEXT(B117, "YYYY-MM-DD"), 2)</f>
        <v>05</v>
      </c>
    </row>
    <row r="118" customFormat="false" ht="15" hidden="false" customHeight="false" outlineLevel="0" collapsed="false">
      <c r="A118" s="43" t="n">
        <v>114</v>
      </c>
      <c r="B118" s="44" t="s">
        <v>81</v>
      </c>
      <c r="C118" s="43" t="n">
        <v>1</v>
      </c>
      <c r="D118" s="33" t="str">
        <f aca="false">VLOOKUP(C118, Lookups_Metadata!$A$4:$B$7, 2, FALSE())</f>
        <v>Spring</v>
      </c>
      <c r="E118" s="43" t="n">
        <v>0</v>
      </c>
      <c r="F118" s="43" t="n">
        <v>1</v>
      </c>
      <c r="G118" s="43" t="n">
        <v>22</v>
      </c>
      <c r="H118" s="45" t="b">
        <f aca="false">FALSE()</f>
        <v>0</v>
      </c>
      <c r="I118" s="43" t="n">
        <v>3</v>
      </c>
      <c r="J118" s="33" t="str">
        <f aca="false">INDEX(Lookups_Metadata!$E$4:$E$10, MATCH(I118, Lookups_Metadata!$D$4:$D$10, 0))</f>
        <v>Wednesday</v>
      </c>
      <c r="K118" s="33" t="str">
        <f aca="false">IF(H118=TRUE(), "Holiday", IF(OR(I118=0, I118=6), "Weekend", "Weekday"))</f>
        <v>Weekday</v>
      </c>
      <c r="L118" s="33" t="str">
        <f aca="false">IF(AND(K118="Weekday", OR(AND(G118&gt;=7, G118&lt;=9), AND(G118&gt;=17, G118&lt;=19))), "Peak Commute", "Off-Peak")</f>
        <v>Off-Peak</v>
      </c>
      <c r="M118" s="43" t="n">
        <v>1</v>
      </c>
      <c r="N118" s="33" t="str">
        <f aca="false">VLOOKUP(M118, Lookups_Metadata!$G$4:$H$7, 2, FALSE())</f>
        <v>Clear / Few Clouds</v>
      </c>
      <c r="O118" s="46" t="n">
        <v>0.18</v>
      </c>
      <c r="P118" s="46" t="n">
        <v>0.197</v>
      </c>
      <c r="Q118" s="46" t="n">
        <f aca="false">IF(OR(P118="", ISBLANK(P118)), ROUND(0.9367*O118+0.0175, 4), P118)</f>
        <v>0.197</v>
      </c>
      <c r="R118" s="33" t="str">
        <f aca="false">IF(OR(P118="", ISBLANK(P118)), "Imputed (Regression/Trend)", "Original")</f>
        <v>Original</v>
      </c>
      <c r="S118" s="46" t="n">
        <v>0.55</v>
      </c>
      <c r="T118" s="46" t="n">
        <v>0.1343</v>
      </c>
      <c r="U118" s="18" t="n">
        <v>1</v>
      </c>
      <c r="V118" s="18" t="n">
        <v>41</v>
      </c>
      <c r="W118" s="18" t="n">
        <f aca="false">U118+V118</f>
        <v>42</v>
      </c>
      <c r="X118" s="47" t="n">
        <f aca="false">U118/W118</f>
        <v>0.0238095238095238</v>
      </c>
      <c r="Y118" s="47" t="n">
        <f aca="false">V118/W118</f>
        <v>0.976190476190476</v>
      </c>
      <c r="Z118" s="33" t="str">
        <f aca="false">IF(W118&gt;=150, "High Demand", IF(W118&gt;=50, "Moderate Demand", "Low Demand"))</f>
        <v>Low Demand</v>
      </c>
      <c r="AA118" s="45" t="str">
        <f aca="false">TEXT(G118, "00") &amp; ":00"</f>
        <v>22:00</v>
      </c>
      <c r="AB118" s="43" t="n">
        <f aca="false">YEAR(B118)</f>
        <v>2011</v>
      </c>
      <c r="AC118" s="33" t="str">
        <f aca="false">TEXT(B118, "mmmm")</f>
        <v>January</v>
      </c>
      <c r="AD118" s="43" t="n">
        <f aca="false">LEN(TEXT(B118, "YYYY-MM-DD"))</f>
        <v>10</v>
      </c>
      <c r="AE118" s="45" t="str">
        <f aca="false">LEFT(TEXT(B118, "YYYY-MM-DD"), 4)</f>
        <v>2011</v>
      </c>
      <c r="AF118" s="45" t="str">
        <f aca="false">RIGHT(TEXT(B118, "YYYY-MM-DD"), 2)</f>
        <v>05</v>
      </c>
    </row>
    <row r="119" customFormat="false" ht="15" hidden="false" customHeight="false" outlineLevel="0" collapsed="false">
      <c r="A119" s="37" t="n">
        <v>115</v>
      </c>
      <c r="B119" s="38" t="s">
        <v>81</v>
      </c>
      <c r="C119" s="37" t="n">
        <v>1</v>
      </c>
      <c r="D119" s="35" t="str">
        <f aca="false">VLOOKUP(C119, Lookups_Metadata!$A$4:$B$7, 2, FALSE())</f>
        <v>Spring</v>
      </c>
      <c r="E119" s="37" t="n">
        <v>0</v>
      </c>
      <c r="F119" s="37" t="n">
        <v>1</v>
      </c>
      <c r="G119" s="37" t="n">
        <v>23</v>
      </c>
      <c r="H119" s="39" t="b">
        <f aca="false">FALSE()</f>
        <v>0</v>
      </c>
      <c r="I119" s="37" t="n">
        <v>3</v>
      </c>
      <c r="J119" s="35" t="str">
        <f aca="false">INDEX(Lookups_Metadata!$E$4:$E$10, MATCH(I119, Lookups_Metadata!$D$4:$D$10, 0))</f>
        <v>Wednesday</v>
      </c>
      <c r="K119" s="35" t="str">
        <f aca="false">IF(H119=TRUE(), "Holiday", IF(OR(I119=0, I119=6), "Weekend", "Weekday"))</f>
        <v>Weekday</v>
      </c>
      <c r="L119" s="35" t="str">
        <f aca="false">IF(AND(K119="Weekday", OR(AND(G119&gt;=7, G119&lt;=9), AND(G119&gt;=17, G119&lt;=19))), "Peak Commute", "Off-Peak")</f>
        <v>Off-Peak</v>
      </c>
      <c r="M119" s="37" t="n">
        <v>1</v>
      </c>
      <c r="N119" s="35" t="str">
        <f aca="false">VLOOKUP(M119, Lookups_Metadata!$G$4:$H$7, 2, FALSE())</f>
        <v>Clear / Few Clouds</v>
      </c>
      <c r="O119" s="40" t="n">
        <v>0.2</v>
      </c>
      <c r="P119" s="40" t="n">
        <v>0.2576</v>
      </c>
      <c r="Q119" s="40" t="n">
        <f aca="false">IF(OR(P119="", ISBLANK(P119)), ROUND(0.9367*O119+0.0175, 4), P119)</f>
        <v>0.2576</v>
      </c>
      <c r="R119" s="35" t="str">
        <f aca="false">IF(OR(P119="", ISBLANK(P119)), "Imputed (Regression/Trend)", "Original")</f>
        <v>Original</v>
      </c>
      <c r="S119" s="40" t="n">
        <v>0.47</v>
      </c>
      <c r="T119" s="40" t="n">
        <v>0</v>
      </c>
      <c r="U119" s="41" t="n">
        <v>1</v>
      </c>
      <c r="V119" s="41" t="n">
        <v>18</v>
      </c>
      <c r="W119" s="41" t="n">
        <f aca="false">U119+V119</f>
        <v>19</v>
      </c>
      <c r="X119" s="42" t="n">
        <f aca="false">U119/W119</f>
        <v>0.0526315789473684</v>
      </c>
      <c r="Y119" s="42" t="n">
        <f aca="false">V119/W119</f>
        <v>0.947368421052632</v>
      </c>
      <c r="Z119" s="35" t="str">
        <f aca="false">IF(W119&gt;=150, "High Demand", IF(W119&gt;=50, "Moderate Demand", "Low Demand"))</f>
        <v>Low Demand</v>
      </c>
      <c r="AA119" s="39" t="str">
        <f aca="false">TEXT(G119, "00") &amp; ":00"</f>
        <v>23:00</v>
      </c>
      <c r="AB119" s="37" t="n">
        <f aca="false">YEAR(B119)</f>
        <v>2011</v>
      </c>
      <c r="AC119" s="35" t="str">
        <f aca="false">TEXT(B119, "mmmm")</f>
        <v>January</v>
      </c>
      <c r="AD119" s="37" t="n">
        <f aca="false">LEN(TEXT(B119, "YYYY-MM-DD"))</f>
        <v>10</v>
      </c>
      <c r="AE119" s="39" t="str">
        <f aca="false">LEFT(TEXT(B119, "YYYY-MM-DD"), 4)</f>
        <v>2011</v>
      </c>
      <c r="AF119" s="39" t="str">
        <f aca="false">RIGHT(TEXT(B119, "YYYY-MM-DD"), 2)</f>
        <v>05</v>
      </c>
    </row>
    <row r="120" customFormat="false" ht="15" hidden="false" customHeight="false" outlineLevel="0" collapsed="false">
      <c r="A120" s="43" t="n">
        <v>116</v>
      </c>
      <c r="B120" s="44" t="s">
        <v>82</v>
      </c>
      <c r="C120" s="43" t="n">
        <v>1</v>
      </c>
      <c r="D120" s="33" t="str">
        <f aca="false">VLOOKUP(C120, Lookups_Metadata!$A$4:$B$7, 2, FALSE())</f>
        <v>Spring</v>
      </c>
      <c r="E120" s="43" t="n">
        <v>0</v>
      </c>
      <c r="F120" s="43" t="n">
        <v>1</v>
      </c>
      <c r="G120" s="43" t="n">
        <v>0</v>
      </c>
      <c r="H120" s="45" t="b">
        <f aca="false">FALSE()</f>
        <v>0</v>
      </c>
      <c r="I120" s="43" t="n">
        <v>4</v>
      </c>
      <c r="J120" s="33" t="str">
        <f aca="false">INDEX(Lookups_Metadata!$E$4:$E$10, MATCH(I120, Lookups_Metadata!$D$4:$D$10, 0))</f>
        <v>Thursday</v>
      </c>
      <c r="K120" s="33" t="str">
        <f aca="false">IF(H120=TRUE(), "Holiday", IF(OR(I120=0, I120=6), "Weekend", "Weekday"))</f>
        <v>Weekday</v>
      </c>
      <c r="L120" s="33" t="str">
        <f aca="false">IF(AND(K120="Weekday", OR(AND(G120&gt;=7, G120&lt;=9), AND(G120&gt;=17, G120&lt;=19))), "Peak Commute", "Off-Peak")</f>
        <v>Off-Peak</v>
      </c>
      <c r="M120" s="43" t="n">
        <v>1</v>
      </c>
      <c r="N120" s="33" t="str">
        <f aca="false">VLOOKUP(M120, Lookups_Metadata!$G$4:$H$7, 2, FALSE())</f>
        <v>Clear / Few Clouds</v>
      </c>
      <c r="O120" s="46" t="n">
        <v>0.18</v>
      </c>
      <c r="P120" s="46" t="n">
        <v>0.2424</v>
      </c>
      <c r="Q120" s="46" t="n">
        <f aca="false">IF(OR(P120="", ISBLANK(P120)), ROUND(0.9367*O120+0.0175, 4), P120)</f>
        <v>0.2424</v>
      </c>
      <c r="R120" s="33" t="str">
        <f aca="false">IF(OR(P120="", ISBLANK(P120)), "Imputed (Regression/Trend)", "Original")</f>
        <v>Original</v>
      </c>
      <c r="S120" s="46" t="n">
        <v>0.55</v>
      </c>
      <c r="T120" s="46" t="n">
        <v>0</v>
      </c>
      <c r="U120" s="18" t="n">
        <v>0</v>
      </c>
      <c r="V120" s="18" t="n">
        <v>11</v>
      </c>
      <c r="W120" s="18" t="n">
        <f aca="false">U120+V120</f>
        <v>11</v>
      </c>
      <c r="X120" s="47" t="n">
        <f aca="false">U120/W120</f>
        <v>0</v>
      </c>
      <c r="Y120" s="47" t="n">
        <f aca="false">V120/W120</f>
        <v>1</v>
      </c>
      <c r="Z120" s="33" t="str">
        <f aca="false">IF(W120&gt;=150, "High Demand", IF(W120&gt;=50, "Moderate Demand", "Low Demand"))</f>
        <v>Low Demand</v>
      </c>
      <c r="AA120" s="45" t="str">
        <f aca="false">TEXT(G120, "00") &amp; ":00"</f>
        <v>00:00</v>
      </c>
      <c r="AB120" s="43" t="n">
        <f aca="false">YEAR(B120)</f>
        <v>2011</v>
      </c>
      <c r="AC120" s="33" t="str">
        <f aca="false">TEXT(B120, "mmmm")</f>
        <v>January</v>
      </c>
      <c r="AD120" s="43" t="n">
        <f aca="false">LEN(TEXT(B120, "YYYY-MM-DD"))</f>
        <v>10</v>
      </c>
      <c r="AE120" s="45" t="str">
        <f aca="false">LEFT(TEXT(B120, "YYYY-MM-DD"), 4)</f>
        <v>2011</v>
      </c>
      <c r="AF120" s="45" t="str">
        <f aca="false">RIGHT(TEXT(B120, "YYYY-MM-DD"), 2)</f>
        <v>06</v>
      </c>
    </row>
    <row r="121" customFormat="false" ht="15" hidden="false" customHeight="false" outlineLevel="0" collapsed="false">
      <c r="A121" s="37" t="n">
        <v>117</v>
      </c>
      <c r="B121" s="38" t="s">
        <v>82</v>
      </c>
      <c r="C121" s="37" t="n">
        <v>1</v>
      </c>
      <c r="D121" s="35" t="str">
        <f aca="false">VLOOKUP(C121, Lookups_Metadata!$A$4:$B$7, 2, FALSE())</f>
        <v>Spring</v>
      </c>
      <c r="E121" s="37" t="n">
        <v>0</v>
      </c>
      <c r="F121" s="37" t="n">
        <v>1</v>
      </c>
      <c r="G121" s="37" t="n">
        <v>1</v>
      </c>
      <c r="H121" s="39" t="b">
        <f aca="false">FALSE()</f>
        <v>0</v>
      </c>
      <c r="I121" s="37" t="n">
        <v>4</v>
      </c>
      <c r="J121" s="35" t="str">
        <f aca="false">INDEX(Lookups_Metadata!$E$4:$E$10, MATCH(I121, Lookups_Metadata!$D$4:$D$10, 0))</f>
        <v>Thursday</v>
      </c>
      <c r="K121" s="35" t="str">
        <f aca="false">IF(H121=TRUE(), "Holiday", IF(OR(I121=0, I121=6), "Weekend", "Weekday"))</f>
        <v>Weekday</v>
      </c>
      <c r="L121" s="35" t="str">
        <f aca="false">IF(AND(K121="Weekday", OR(AND(G121&gt;=7, G121&lt;=9), AND(G121&gt;=17, G121&lt;=19))), "Peak Commute", "Off-Peak")</f>
        <v>Off-Peak</v>
      </c>
      <c r="M121" s="37" t="n">
        <v>1</v>
      </c>
      <c r="N121" s="35" t="str">
        <f aca="false">VLOOKUP(M121, Lookups_Metadata!$G$4:$H$7, 2, FALSE())</f>
        <v>Clear / Few Clouds</v>
      </c>
      <c r="O121" s="40" t="n">
        <v>0.16</v>
      </c>
      <c r="P121" s="40" t="n">
        <v>0.2273</v>
      </c>
      <c r="Q121" s="40" t="n">
        <f aca="false">IF(OR(P121="", ISBLANK(P121)), ROUND(0.9367*O121+0.0175, 4), P121)</f>
        <v>0.2273</v>
      </c>
      <c r="R121" s="35" t="str">
        <f aca="false">IF(OR(P121="", ISBLANK(P121)), "Imputed (Regression/Trend)", "Original")</f>
        <v>Original</v>
      </c>
      <c r="S121" s="40" t="n">
        <v>0.64</v>
      </c>
      <c r="T121" s="40" t="n">
        <v>0</v>
      </c>
      <c r="U121" s="41" t="n">
        <v>0</v>
      </c>
      <c r="V121" s="41" t="n">
        <v>4</v>
      </c>
      <c r="W121" s="41" t="n">
        <f aca="false">U121+V121</f>
        <v>4</v>
      </c>
      <c r="X121" s="42" t="n">
        <f aca="false">U121/W121</f>
        <v>0</v>
      </c>
      <c r="Y121" s="42" t="n">
        <f aca="false">V121/W121</f>
        <v>1</v>
      </c>
      <c r="Z121" s="35" t="str">
        <f aca="false">IF(W121&gt;=150, "High Demand", IF(W121&gt;=50, "Moderate Demand", "Low Demand"))</f>
        <v>Low Demand</v>
      </c>
      <c r="AA121" s="39" t="str">
        <f aca="false">TEXT(G121, "00") &amp; ":00"</f>
        <v>01:00</v>
      </c>
      <c r="AB121" s="37" t="n">
        <f aca="false">YEAR(B121)</f>
        <v>2011</v>
      </c>
      <c r="AC121" s="35" t="str">
        <f aca="false">TEXT(B121, "mmmm")</f>
        <v>January</v>
      </c>
      <c r="AD121" s="37" t="n">
        <f aca="false">LEN(TEXT(B121, "YYYY-MM-DD"))</f>
        <v>10</v>
      </c>
      <c r="AE121" s="39" t="str">
        <f aca="false">LEFT(TEXT(B121, "YYYY-MM-DD"), 4)</f>
        <v>2011</v>
      </c>
      <c r="AF121" s="39" t="str">
        <f aca="false">RIGHT(TEXT(B121, "YYYY-MM-DD"), 2)</f>
        <v>06</v>
      </c>
    </row>
    <row r="122" customFormat="false" ht="15" hidden="false" customHeight="false" outlineLevel="0" collapsed="false">
      <c r="A122" s="43" t="n">
        <v>118</v>
      </c>
      <c r="B122" s="44" t="s">
        <v>82</v>
      </c>
      <c r="C122" s="43" t="n">
        <v>1</v>
      </c>
      <c r="D122" s="33" t="str">
        <f aca="false">VLOOKUP(C122, Lookups_Metadata!$A$4:$B$7, 2, FALSE())</f>
        <v>Spring</v>
      </c>
      <c r="E122" s="43" t="n">
        <v>0</v>
      </c>
      <c r="F122" s="43" t="n">
        <v>1</v>
      </c>
      <c r="G122" s="43" t="n">
        <v>2</v>
      </c>
      <c r="H122" s="45" t="b">
        <f aca="false">FALSE()</f>
        <v>0</v>
      </c>
      <c r="I122" s="43" t="n">
        <v>4</v>
      </c>
      <c r="J122" s="33" t="str">
        <f aca="false">INDEX(Lookups_Metadata!$E$4:$E$10, MATCH(I122, Lookups_Metadata!$D$4:$D$10, 0))</f>
        <v>Thursday</v>
      </c>
      <c r="K122" s="33" t="str">
        <f aca="false">IF(H122=TRUE(), "Holiday", IF(OR(I122=0, I122=6), "Weekend", "Weekday"))</f>
        <v>Weekday</v>
      </c>
      <c r="L122" s="33" t="str">
        <f aca="false">IF(AND(K122="Weekday", OR(AND(G122&gt;=7, G122&lt;=9), AND(G122&gt;=17, G122&lt;=19))), "Peak Commute", "Off-Peak")</f>
        <v>Off-Peak</v>
      </c>
      <c r="M122" s="43" t="n">
        <v>1</v>
      </c>
      <c r="N122" s="33" t="str">
        <f aca="false">VLOOKUP(M122, Lookups_Metadata!$G$4:$H$7, 2, FALSE())</f>
        <v>Clear / Few Clouds</v>
      </c>
      <c r="O122" s="46" t="n">
        <v>0.16</v>
      </c>
      <c r="P122" s="46" t="n">
        <v>0.2273</v>
      </c>
      <c r="Q122" s="46" t="n">
        <f aca="false">IF(OR(P122="", ISBLANK(P122)), ROUND(0.9367*O122+0.0175, 4), P122)</f>
        <v>0.2273</v>
      </c>
      <c r="R122" s="33" t="str">
        <f aca="false">IF(OR(P122="", ISBLANK(P122)), "Imputed (Regression/Trend)", "Original")</f>
        <v>Original</v>
      </c>
      <c r="S122" s="46" t="n">
        <v>0.64</v>
      </c>
      <c r="T122" s="46" t="n">
        <v>0</v>
      </c>
      <c r="U122" s="18" t="n">
        <v>0</v>
      </c>
      <c r="V122" s="18" t="n">
        <v>2</v>
      </c>
      <c r="W122" s="18" t="n">
        <f aca="false">U122+V122</f>
        <v>2</v>
      </c>
      <c r="X122" s="47" t="n">
        <f aca="false">U122/W122</f>
        <v>0</v>
      </c>
      <c r="Y122" s="47" t="n">
        <f aca="false">V122/W122</f>
        <v>1</v>
      </c>
      <c r="Z122" s="33" t="str">
        <f aca="false">IF(W122&gt;=150, "High Demand", IF(W122&gt;=50, "Moderate Demand", "Low Demand"))</f>
        <v>Low Demand</v>
      </c>
      <c r="AA122" s="45" t="str">
        <f aca="false">TEXT(G122, "00") &amp; ":00"</f>
        <v>02:00</v>
      </c>
      <c r="AB122" s="43" t="n">
        <f aca="false">YEAR(B122)</f>
        <v>2011</v>
      </c>
      <c r="AC122" s="33" t="str">
        <f aca="false">TEXT(B122, "mmmm")</f>
        <v>January</v>
      </c>
      <c r="AD122" s="43" t="n">
        <f aca="false">LEN(TEXT(B122, "YYYY-MM-DD"))</f>
        <v>10</v>
      </c>
      <c r="AE122" s="45" t="str">
        <f aca="false">LEFT(TEXT(B122, "YYYY-MM-DD"), 4)</f>
        <v>2011</v>
      </c>
      <c r="AF122" s="45" t="str">
        <f aca="false">RIGHT(TEXT(B122, "YYYY-MM-DD"), 2)</f>
        <v>06</v>
      </c>
    </row>
    <row r="123" customFormat="false" ht="15" hidden="false" customHeight="false" outlineLevel="0" collapsed="false">
      <c r="A123" s="37" t="n">
        <v>119</v>
      </c>
      <c r="B123" s="38" t="s">
        <v>82</v>
      </c>
      <c r="C123" s="37" t="n">
        <v>1</v>
      </c>
      <c r="D123" s="35" t="str">
        <f aca="false">VLOOKUP(C123, Lookups_Metadata!$A$4:$B$7, 2, FALSE())</f>
        <v>Spring</v>
      </c>
      <c r="E123" s="37" t="n">
        <v>0</v>
      </c>
      <c r="F123" s="37" t="n">
        <v>1</v>
      </c>
      <c r="G123" s="37" t="n">
        <v>4</v>
      </c>
      <c r="H123" s="39" t="b">
        <f aca="false">FALSE()</f>
        <v>0</v>
      </c>
      <c r="I123" s="37" t="n">
        <v>4</v>
      </c>
      <c r="J123" s="35" t="str">
        <f aca="false">INDEX(Lookups_Metadata!$E$4:$E$10, MATCH(I123, Lookups_Metadata!$D$4:$D$10, 0))</f>
        <v>Thursday</v>
      </c>
      <c r="K123" s="35" t="str">
        <f aca="false">IF(H123=TRUE(), "Holiday", IF(OR(I123=0, I123=6), "Weekend", "Weekday"))</f>
        <v>Weekday</v>
      </c>
      <c r="L123" s="35" t="str">
        <f aca="false">IF(AND(K123="Weekday", OR(AND(G123&gt;=7, G123&lt;=9), AND(G123&gt;=17, G123&lt;=19))), "Peak Commute", "Off-Peak")</f>
        <v>Off-Peak</v>
      </c>
      <c r="M123" s="37" t="n">
        <v>2</v>
      </c>
      <c r="N123" s="35" t="str">
        <f aca="false">VLOOKUP(M123, Lookups_Metadata!$G$4:$H$7, 2, FALSE())</f>
        <v>Mist / Cloudy</v>
      </c>
      <c r="O123" s="40" t="n">
        <v>0.16</v>
      </c>
      <c r="P123" s="40" t="n">
        <v>0.197</v>
      </c>
      <c r="Q123" s="40" t="n">
        <f aca="false">IF(OR(P123="", ISBLANK(P123)), ROUND(0.9367*O123+0.0175, 4), P123)</f>
        <v>0.197</v>
      </c>
      <c r="R123" s="35" t="str">
        <f aca="false">IF(OR(P123="", ISBLANK(P123)), "Imputed (Regression/Trend)", "Original")</f>
        <v>Original</v>
      </c>
      <c r="S123" s="40" t="n">
        <v>0.64</v>
      </c>
      <c r="T123" s="40" t="n">
        <v>0.0896</v>
      </c>
      <c r="U123" s="41" t="n">
        <v>0</v>
      </c>
      <c r="V123" s="41" t="n">
        <v>1</v>
      </c>
      <c r="W123" s="41" t="n">
        <f aca="false">U123+V123</f>
        <v>1</v>
      </c>
      <c r="X123" s="42" t="n">
        <f aca="false">U123/W123</f>
        <v>0</v>
      </c>
      <c r="Y123" s="42" t="n">
        <f aca="false">V123/W123</f>
        <v>1</v>
      </c>
      <c r="Z123" s="35" t="str">
        <f aca="false">IF(W123&gt;=150, "High Demand", IF(W123&gt;=50, "Moderate Demand", "Low Demand"))</f>
        <v>Low Demand</v>
      </c>
      <c r="AA123" s="39" t="str">
        <f aca="false">TEXT(G123, "00") &amp; ":00"</f>
        <v>04:00</v>
      </c>
      <c r="AB123" s="37" t="n">
        <f aca="false">YEAR(B123)</f>
        <v>2011</v>
      </c>
      <c r="AC123" s="35" t="str">
        <f aca="false">TEXT(B123, "mmmm")</f>
        <v>January</v>
      </c>
      <c r="AD123" s="37" t="n">
        <f aca="false">LEN(TEXT(B123, "YYYY-MM-DD"))</f>
        <v>10</v>
      </c>
      <c r="AE123" s="39" t="str">
        <f aca="false">LEFT(TEXT(B123, "YYYY-MM-DD"), 4)</f>
        <v>2011</v>
      </c>
      <c r="AF123" s="39" t="str">
        <f aca="false">RIGHT(TEXT(B123, "YYYY-MM-DD"), 2)</f>
        <v>06</v>
      </c>
    </row>
    <row r="124" customFormat="false" ht="15" hidden="false" customHeight="false" outlineLevel="0" collapsed="false">
      <c r="A124" s="43" t="n">
        <v>120</v>
      </c>
      <c r="B124" s="44" t="s">
        <v>82</v>
      </c>
      <c r="C124" s="43" t="n">
        <v>1</v>
      </c>
      <c r="D124" s="33" t="str">
        <f aca="false">VLOOKUP(C124, Lookups_Metadata!$A$4:$B$7, 2, FALSE())</f>
        <v>Spring</v>
      </c>
      <c r="E124" s="43" t="n">
        <v>0</v>
      </c>
      <c r="F124" s="43" t="n">
        <v>1</v>
      </c>
      <c r="G124" s="43" t="n">
        <v>5</v>
      </c>
      <c r="H124" s="45" t="b">
        <f aca="false">FALSE()</f>
        <v>0</v>
      </c>
      <c r="I124" s="43" t="n">
        <v>4</v>
      </c>
      <c r="J124" s="33" t="str">
        <f aca="false">INDEX(Lookups_Metadata!$E$4:$E$10, MATCH(I124, Lookups_Metadata!$D$4:$D$10, 0))</f>
        <v>Thursday</v>
      </c>
      <c r="K124" s="33" t="str">
        <f aca="false">IF(H124=TRUE(), "Holiday", IF(OR(I124=0, I124=6), "Weekend", "Weekday"))</f>
        <v>Weekday</v>
      </c>
      <c r="L124" s="33" t="str">
        <f aca="false">IF(AND(K124="Weekday", OR(AND(G124&gt;=7, G124&lt;=9), AND(G124&gt;=17, G124&lt;=19))), "Peak Commute", "Off-Peak")</f>
        <v>Off-Peak</v>
      </c>
      <c r="M124" s="43" t="n">
        <v>2</v>
      </c>
      <c r="N124" s="33" t="str">
        <f aca="false">VLOOKUP(M124, Lookups_Metadata!$G$4:$H$7, 2, FALSE())</f>
        <v>Mist / Cloudy</v>
      </c>
      <c r="O124" s="46" t="n">
        <v>0.14</v>
      </c>
      <c r="P124" s="46" t="n">
        <v>0.1818</v>
      </c>
      <c r="Q124" s="46" t="n">
        <f aca="false">IF(OR(P124="", ISBLANK(P124)), ROUND(0.9367*O124+0.0175, 4), P124)</f>
        <v>0.1818</v>
      </c>
      <c r="R124" s="33" t="str">
        <f aca="false">IF(OR(P124="", ISBLANK(P124)), "Imputed (Regression/Trend)", "Original")</f>
        <v>Original</v>
      </c>
      <c r="S124" s="46" t="n">
        <v>0.69</v>
      </c>
      <c r="T124" s="46" t="n">
        <v>0.0896</v>
      </c>
      <c r="U124" s="18" t="n">
        <v>0</v>
      </c>
      <c r="V124" s="18" t="n">
        <v>4</v>
      </c>
      <c r="W124" s="18" t="n">
        <f aca="false">U124+V124</f>
        <v>4</v>
      </c>
      <c r="X124" s="47" t="n">
        <f aca="false">U124/W124</f>
        <v>0</v>
      </c>
      <c r="Y124" s="47" t="n">
        <f aca="false">V124/W124</f>
        <v>1</v>
      </c>
      <c r="Z124" s="33" t="str">
        <f aca="false">IF(W124&gt;=150, "High Demand", IF(W124&gt;=50, "Moderate Demand", "Low Demand"))</f>
        <v>Low Demand</v>
      </c>
      <c r="AA124" s="45" t="str">
        <f aca="false">TEXT(G124, "00") &amp; ":00"</f>
        <v>05:00</v>
      </c>
      <c r="AB124" s="43" t="n">
        <f aca="false">YEAR(B124)</f>
        <v>2011</v>
      </c>
      <c r="AC124" s="33" t="str">
        <f aca="false">TEXT(B124, "mmmm")</f>
        <v>January</v>
      </c>
      <c r="AD124" s="43" t="n">
        <f aca="false">LEN(TEXT(B124, "YYYY-MM-DD"))</f>
        <v>10</v>
      </c>
      <c r="AE124" s="45" t="str">
        <f aca="false">LEFT(TEXT(B124, "YYYY-MM-DD"), 4)</f>
        <v>2011</v>
      </c>
      <c r="AF124" s="45" t="str">
        <f aca="false">RIGHT(TEXT(B124, "YYYY-MM-DD"), 2)</f>
        <v>06</v>
      </c>
    </row>
    <row r="125" customFormat="false" ht="15" hidden="false" customHeight="false" outlineLevel="0" collapsed="false">
      <c r="A125" s="37" t="n">
        <v>121</v>
      </c>
      <c r="B125" s="38" t="s">
        <v>82</v>
      </c>
      <c r="C125" s="37" t="n">
        <v>1</v>
      </c>
      <c r="D125" s="35" t="str">
        <f aca="false">VLOOKUP(C125, Lookups_Metadata!$A$4:$B$7, 2, FALSE())</f>
        <v>Spring</v>
      </c>
      <c r="E125" s="37" t="n">
        <v>0</v>
      </c>
      <c r="F125" s="37" t="n">
        <v>1</v>
      </c>
      <c r="G125" s="37" t="n">
        <v>6</v>
      </c>
      <c r="H125" s="39" t="b">
        <f aca="false">FALSE()</f>
        <v>0</v>
      </c>
      <c r="I125" s="37" t="n">
        <v>4</v>
      </c>
      <c r="J125" s="35" t="str">
        <f aca="false">INDEX(Lookups_Metadata!$E$4:$E$10, MATCH(I125, Lookups_Metadata!$D$4:$D$10, 0))</f>
        <v>Thursday</v>
      </c>
      <c r="K125" s="35" t="str">
        <f aca="false">IF(H125=TRUE(), "Holiday", IF(OR(I125=0, I125=6), "Weekend", "Weekday"))</f>
        <v>Weekday</v>
      </c>
      <c r="L125" s="35" t="str">
        <f aca="false">IF(AND(K125="Weekday", OR(AND(G125&gt;=7, G125&lt;=9), AND(G125&gt;=17, G125&lt;=19))), "Peak Commute", "Off-Peak")</f>
        <v>Off-Peak</v>
      </c>
      <c r="M125" s="37" t="n">
        <v>2</v>
      </c>
      <c r="N125" s="35" t="str">
        <f aca="false">VLOOKUP(M125, Lookups_Metadata!$G$4:$H$7, 2, FALSE())</f>
        <v>Mist / Cloudy</v>
      </c>
      <c r="O125" s="40" t="n">
        <v>0.14</v>
      </c>
      <c r="P125" s="40" t="n">
        <v>0.1667</v>
      </c>
      <c r="Q125" s="40" t="n">
        <f aca="false">IF(OR(P125="", ISBLANK(P125)), ROUND(0.9367*O125+0.0175, 4), P125)</f>
        <v>0.1667</v>
      </c>
      <c r="R125" s="35" t="str">
        <f aca="false">IF(OR(P125="", ISBLANK(P125)), "Imputed (Regression/Trend)", "Original")</f>
        <v>Original</v>
      </c>
      <c r="S125" s="40" t="n">
        <v>0.63</v>
      </c>
      <c r="T125" s="40" t="n">
        <v>0.1045</v>
      </c>
      <c r="U125" s="41" t="n">
        <v>0</v>
      </c>
      <c r="V125" s="41" t="n">
        <v>36</v>
      </c>
      <c r="W125" s="41" t="n">
        <f aca="false">U125+V125</f>
        <v>36</v>
      </c>
      <c r="X125" s="42" t="n">
        <f aca="false">U125/W125</f>
        <v>0</v>
      </c>
      <c r="Y125" s="42" t="n">
        <f aca="false">V125/W125</f>
        <v>1</v>
      </c>
      <c r="Z125" s="35" t="str">
        <f aca="false">IF(W125&gt;=150, "High Demand", IF(W125&gt;=50, "Moderate Demand", "Low Demand"))</f>
        <v>Low Demand</v>
      </c>
      <c r="AA125" s="39" t="str">
        <f aca="false">TEXT(G125, "00") &amp; ":00"</f>
        <v>06:00</v>
      </c>
      <c r="AB125" s="37" t="n">
        <f aca="false">YEAR(B125)</f>
        <v>2011</v>
      </c>
      <c r="AC125" s="35" t="str">
        <f aca="false">TEXT(B125, "mmmm")</f>
        <v>January</v>
      </c>
      <c r="AD125" s="37" t="n">
        <f aca="false">LEN(TEXT(B125, "YYYY-MM-DD"))</f>
        <v>10</v>
      </c>
      <c r="AE125" s="39" t="str">
        <f aca="false">LEFT(TEXT(B125, "YYYY-MM-DD"), 4)</f>
        <v>2011</v>
      </c>
      <c r="AF125" s="39" t="str">
        <f aca="false">RIGHT(TEXT(B125, "YYYY-MM-DD"), 2)</f>
        <v>06</v>
      </c>
    </row>
    <row r="126" customFormat="false" ht="15" hidden="false" customHeight="false" outlineLevel="0" collapsed="false">
      <c r="A126" s="43" t="n">
        <v>122</v>
      </c>
      <c r="B126" s="44" t="s">
        <v>82</v>
      </c>
      <c r="C126" s="43" t="n">
        <v>1</v>
      </c>
      <c r="D126" s="33" t="str">
        <f aca="false">VLOOKUP(C126, Lookups_Metadata!$A$4:$B$7, 2, FALSE())</f>
        <v>Spring</v>
      </c>
      <c r="E126" s="43" t="n">
        <v>0</v>
      </c>
      <c r="F126" s="43" t="n">
        <v>1</v>
      </c>
      <c r="G126" s="43" t="n">
        <v>7</v>
      </c>
      <c r="H126" s="45" t="b">
        <f aca="false">FALSE()</f>
        <v>0</v>
      </c>
      <c r="I126" s="43" t="n">
        <v>4</v>
      </c>
      <c r="J126" s="33" t="str">
        <f aca="false">INDEX(Lookups_Metadata!$E$4:$E$10, MATCH(I126, Lookups_Metadata!$D$4:$D$10, 0))</f>
        <v>Thursday</v>
      </c>
      <c r="K126" s="33" t="str">
        <f aca="false">IF(H126=TRUE(), "Holiday", IF(OR(I126=0, I126=6), "Weekend", "Weekday"))</f>
        <v>Weekday</v>
      </c>
      <c r="L126" s="33" t="str">
        <f aca="false">IF(AND(K126="Weekday", OR(AND(G126&gt;=7, G126&lt;=9), AND(G126&gt;=17, G126&lt;=19))), "Peak Commute", "Off-Peak")</f>
        <v>Peak Commute</v>
      </c>
      <c r="M126" s="43" t="n">
        <v>2</v>
      </c>
      <c r="N126" s="33" t="str">
        <f aca="false">VLOOKUP(M126, Lookups_Metadata!$G$4:$H$7, 2, FALSE())</f>
        <v>Mist / Cloudy</v>
      </c>
      <c r="O126" s="46" t="n">
        <v>0.16</v>
      </c>
      <c r="P126" s="46" t="n">
        <v>0.2273</v>
      </c>
      <c r="Q126" s="46" t="n">
        <f aca="false">IF(OR(P126="", ISBLANK(P126)), ROUND(0.9367*O126+0.0175, 4), P126)</f>
        <v>0.2273</v>
      </c>
      <c r="R126" s="33" t="str">
        <f aca="false">IF(OR(P126="", ISBLANK(P126)), "Imputed (Regression/Trend)", "Original")</f>
        <v>Original</v>
      </c>
      <c r="S126" s="46" t="n">
        <v>0.59</v>
      </c>
      <c r="T126" s="46" t="n">
        <v>0</v>
      </c>
      <c r="U126" s="18" t="n">
        <v>0</v>
      </c>
      <c r="V126" s="18" t="n">
        <v>95</v>
      </c>
      <c r="W126" s="18" t="n">
        <f aca="false">U126+V126</f>
        <v>95</v>
      </c>
      <c r="X126" s="47" t="n">
        <f aca="false">U126/W126</f>
        <v>0</v>
      </c>
      <c r="Y126" s="47" t="n">
        <f aca="false">V126/W126</f>
        <v>1</v>
      </c>
      <c r="Z126" s="33" t="str">
        <f aca="false">IF(W126&gt;=150, "High Demand", IF(W126&gt;=50, "Moderate Demand", "Low Demand"))</f>
        <v>Moderate Demand</v>
      </c>
      <c r="AA126" s="45" t="str">
        <f aca="false">TEXT(G126, "00") &amp; ":00"</f>
        <v>07:00</v>
      </c>
      <c r="AB126" s="43" t="n">
        <f aca="false">YEAR(B126)</f>
        <v>2011</v>
      </c>
      <c r="AC126" s="33" t="str">
        <f aca="false">TEXT(B126, "mmmm")</f>
        <v>January</v>
      </c>
      <c r="AD126" s="43" t="n">
        <f aca="false">LEN(TEXT(B126, "YYYY-MM-DD"))</f>
        <v>10</v>
      </c>
      <c r="AE126" s="45" t="str">
        <f aca="false">LEFT(TEXT(B126, "YYYY-MM-DD"), 4)</f>
        <v>2011</v>
      </c>
      <c r="AF126" s="45" t="str">
        <f aca="false">RIGHT(TEXT(B126, "YYYY-MM-DD"), 2)</f>
        <v>06</v>
      </c>
    </row>
    <row r="127" customFormat="false" ht="15" hidden="false" customHeight="false" outlineLevel="0" collapsed="false">
      <c r="A127" s="37" t="n">
        <v>123</v>
      </c>
      <c r="B127" s="38" t="s">
        <v>82</v>
      </c>
      <c r="C127" s="37" t="n">
        <v>1</v>
      </c>
      <c r="D127" s="35" t="str">
        <f aca="false">VLOOKUP(C127, Lookups_Metadata!$A$4:$B$7, 2, FALSE())</f>
        <v>Spring</v>
      </c>
      <c r="E127" s="37" t="n">
        <v>0</v>
      </c>
      <c r="F127" s="37" t="n">
        <v>1</v>
      </c>
      <c r="G127" s="37" t="n">
        <v>8</v>
      </c>
      <c r="H127" s="39" t="b">
        <f aca="false">FALSE()</f>
        <v>0</v>
      </c>
      <c r="I127" s="37" t="n">
        <v>4</v>
      </c>
      <c r="J127" s="35" t="str">
        <f aca="false">INDEX(Lookups_Metadata!$E$4:$E$10, MATCH(I127, Lookups_Metadata!$D$4:$D$10, 0))</f>
        <v>Thursday</v>
      </c>
      <c r="K127" s="35" t="str">
        <f aca="false">IF(H127=TRUE(), "Holiday", IF(OR(I127=0, I127=6), "Weekend", "Weekday"))</f>
        <v>Weekday</v>
      </c>
      <c r="L127" s="35" t="str">
        <f aca="false">IF(AND(K127="Weekday", OR(AND(G127&gt;=7, G127&lt;=9), AND(G127&gt;=17, G127&lt;=19))), "Peak Commute", "Off-Peak")</f>
        <v>Peak Commute</v>
      </c>
      <c r="M127" s="37" t="n">
        <v>1</v>
      </c>
      <c r="N127" s="35" t="str">
        <f aca="false">VLOOKUP(M127, Lookups_Metadata!$G$4:$H$7, 2, FALSE())</f>
        <v>Clear / Few Clouds</v>
      </c>
      <c r="O127" s="40" t="n">
        <v>0.16</v>
      </c>
      <c r="P127" s="40" t="n">
        <v>0.2273</v>
      </c>
      <c r="Q127" s="40" t="n">
        <f aca="false">IF(OR(P127="", ISBLANK(P127)), ROUND(0.9367*O127+0.0175, 4), P127)</f>
        <v>0.2273</v>
      </c>
      <c r="R127" s="35" t="str">
        <f aca="false">IF(OR(P127="", ISBLANK(P127)), "Imputed (Regression/Trend)", "Original")</f>
        <v>Original</v>
      </c>
      <c r="S127" s="40" t="n">
        <v>0.59</v>
      </c>
      <c r="T127" s="40" t="n">
        <v>0</v>
      </c>
      <c r="U127" s="41" t="n">
        <v>3</v>
      </c>
      <c r="V127" s="41" t="n">
        <v>216</v>
      </c>
      <c r="W127" s="41" t="n">
        <f aca="false">U127+V127</f>
        <v>219</v>
      </c>
      <c r="X127" s="42" t="n">
        <f aca="false">U127/W127</f>
        <v>0.0136986301369863</v>
      </c>
      <c r="Y127" s="42" t="n">
        <f aca="false">V127/W127</f>
        <v>0.986301369863014</v>
      </c>
      <c r="Z127" s="35" t="str">
        <f aca="false">IF(W127&gt;=150, "High Demand", IF(W127&gt;=50, "Moderate Demand", "Low Demand"))</f>
        <v>High Demand</v>
      </c>
      <c r="AA127" s="39" t="str">
        <f aca="false">TEXT(G127, "00") &amp; ":00"</f>
        <v>08:00</v>
      </c>
      <c r="AB127" s="37" t="n">
        <f aca="false">YEAR(B127)</f>
        <v>2011</v>
      </c>
      <c r="AC127" s="35" t="str">
        <f aca="false">TEXT(B127, "mmmm")</f>
        <v>January</v>
      </c>
      <c r="AD127" s="37" t="n">
        <f aca="false">LEN(TEXT(B127, "YYYY-MM-DD"))</f>
        <v>10</v>
      </c>
      <c r="AE127" s="39" t="str">
        <f aca="false">LEFT(TEXT(B127, "YYYY-MM-DD"), 4)</f>
        <v>2011</v>
      </c>
      <c r="AF127" s="39" t="str">
        <f aca="false">RIGHT(TEXT(B127, "YYYY-MM-DD"), 2)</f>
        <v>06</v>
      </c>
    </row>
    <row r="128" customFormat="false" ht="15" hidden="false" customHeight="false" outlineLevel="0" collapsed="false">
      <c r="A128" s="43" t="n">
        <v>124</v>
      </c>
      <c r="B128" s="44" t="s">
        <v>82</v>
      </c>
      <c r="C128" s="43" t="n">
        <v>1</v>
      </c>
      <c r="D128" s="33" t="str">
        <f aca="false">VLOOKUP(C128, Lookups_Metadata!$A$4:$B$7, 2, FALSE())</f>
        <v>Spring</v>
      </c>
      <c r="E128" s="43" t="n">
        <v>0</v>
      </c>
      <c r="F128" s="43" t="n">
        <v>1</v>
      </c>
      <c r="G128" s="43" t="n">
        <v>9</v>
      </c>
      <c r="H128" s="45" t="b">
        <f aca="false">FALSE()</f>
        <v>0</v>
      </c>
      <c r="I128" s="43" t="n">
        <v>4</v>
      </c>
      <c r="J128" s="33" t="str">
        <f aca="false">INDEX(Lookups_Metadata!$E$4:$E$10, MATCH(I128, Lookups_Metadata!$D$4:$D$10, 0))</f>
        <v>Thursday</v>
      </c>
      <c r="K128" s="33" t="str">
        <f aca="false">IF(H128=TRUE(), "Holiday", IF(OR(I128=0, I128=6), "Weekend", "Weekday"))</f>
        <v>Weekday</v>
      </c>
      <c r="L128" s="33" t="str">
        <f aca="false">IF(AND(K128="Weekday", OR(AND(G128&gt;=7, G128&lt;=9), AND(G128&gt;=17, G128&lt;=19))), "Peak Commute", "Off-Peak")</f>
        <v>Peak Commute</v>
      </c>
      <c r="M128" s="43" t="n">
        <v>2</v>
      </c>
      <c r="N128" s="33" t="str">
        <f aca="false">VLOOKUP(M128, Lookups_Metadata!$G$4:$H$7, 2, FALSE())</f>
        <v>Mist / Cloudy</v>
      </c>
      <c r="O128" s="46" t="n">
        <v>0.18</v>
      </c>
      <c r="P128" s="46" t="n">
        <v>0.2424</v>
      </c>
      <c r="Q128" s="46" t="n">
        <f aca="false">IF(OR(P128="", ISBLANK(P128)), ROUND(0.9367*O128+0.0175, 4), P128)</f>
        <v>0.2424</v>
      </c>
      <c r="R128" s="33" t="str">
        <f aca="false">IF(OR(P128="", ISBLANK(P128)), "Imputed (Regression/Trend)", "Original")</f>
        <v>Original</v>
      </c>
      <c r="S128" s="46" t="n">
        <v>0.51</v>
      </c>
      <c r="T128" s="46" t="n">
        <v>0</v>
      </c>
      <c r="U128" s="18" t="n">
        <v>6</v>
      </c>
      <c r="V128" s="18" t="n">
        <v>116</v>
      </c>
      <c r="W128" s="18" t="n">
        <f aca="false">U128+V128</f>
        <v>122</v>
      </c>
      <c r="X128" s="47" t="n">
        <f aca="false">U128/W128</f>
        <v>0.0491803278688525</v>
      </c>
      <c r="Y128" s="47" t="n">
        <f aca="false">V128/W128</f>
        <v>0.950819672131148</v>
      </c>
      <c r="Z128" s="33" t="str">
        <f aca="false">IF(W128&gt;=150, "High Demand", IF(W128&gt;=50, "Moderate Demand", "Low Demand"))</f>
        <v>Moderate Demand</v>
      </c>
      <c r="AA128" s="45" t="str">
        <f aca="false">TEXT(G128, "00") &amp; ":00"</f>
        <v>09:00</v>
      </c>
      <c r="AB128" s="43" t="n">
        <f aca="false">YEAR(B128)</f>
        <v>2011</v>
      </c>
      <c r="AC128" s="33" t="str">
        <f aca="false">TEXT(B128, "mmmm")</f>
        <v>January</v>
      </c>
      <c r="AD128" s="43" t="n">
        <f aca="false">LEN(TEXT(B128, "YYYY-MM-DD"))</f>
        <v>10</v>
      </c>
      <c r="AE128" s="45" t="str">
        <f aca="false">LEFT(TEXT(B128, "YYYY-MM-DD"), 4)</f>
        <v>2011</v>
      </c>
      <c r="AF128" s="45" t="str">
        <f aca="false">RIGHT(TEXT(B128, "YYYY-MM-DD"), 2)</f>
        <v>06</v>
      </c>
    </row>
    <row r="129" customFormat="false" ht="15" hidden="false" customHeight="false" outlineLevel="0" collapsed="false">
      <c r="A129" s="37" t="n">
        <v>125</v>
      </c>
      <c r="B129" s="38" t="s">
        <v>82</v>
      </c>
      <c r="C129" s="37" t="n">
        <v>1</v>
      </c>
      <c r="D129" s="35" t="str">
        <f aca="false">VLOOKUP(C129, Lookups_Metadata!$A$4:$B$7, 2, FALSE())</f>
        <v>Spring</v>
      </c>
      <c r="E129" s="37" t="n">
        <v>0</v>
      </c>
      <c r="F129" s="37" t="n">
        <v>1</v>
      </c>
      <c r="G129" s="37" t="n">
        <v>10</v>
      </c>
      <c r="H129" s="39" t="b">
        <f aca="false">FALSE()</f>
        <v>0</v>
      </c>
      <c r="I129" s="37" t="n">
        <v>4</v>
      </c>
      <c r="J129" s="35" t="str">
        <f aca="false">INDEX(Lookups_Metadata!$E$4:$E$10, MATCH(I129, Lookups_Metadata!$D$4:$D$10, 0))</f>
        <v>Thursday</v>
      </c>
      <c r="K129" s="35" t="str">
        <f aca="false">IF(H129=TRUE(), "Holiday", IF(OR(I129=0, I129=6), "Weekend", "Weekday"))</f>
        <v>Weekday</v>
      </c>
      <c r="L129" s="35" t="str">
        <f aca="false">IF(AND(K129="Weekday", OR(AND(G129&gt;=7, G129&lt;=9), AND(G129&gt;=17, G129&lt;=19))), "Peak Commute", "Off-Peak")</f>
        <v>Off-Peak</v>
      </c>
      <c r="M129" s="37" t="n">
        <v>1</v>
      </c>
      <c r="N129" s="35" t="str">
        <f aca="false">VLOOKUP(M129, Lookups_Metadata!$G$4:$H$7, 2, FALSE())</f>
        <v>Clear / Few Clouds</v>
      </c>
      <c r="O129" s="40" t="n">
        <v>0.2</v>
      </c>
      <c r="P129" s="40" t="n">
        <v>0.2576</v>
      </c>
      <c r="Q129" s="40" t="n">
        <f aca="false">IF(OR(P129="", ISBLANK(P129)), ROUND(0.9367*O129+0.0175, 4), P129)</f>
        <v>0.2576</v>
      </c>
      <c r="R129" s="35" t="str">
        <f aca="false">IF(OR(P129="", ISBLANK(P129)), "Imputed (Regression/Trend)", "Original")</f>
        <v>Original</v>
      </c>
      <c r="S129" s="40" t="n">
        <v>0.47</v>
      </c>
      <c r="T129" s="40" t="n">
        <v>0</v>
      </c>
      <c r="U129" s="41" t="n">
        <v>3</v>
      </c>
      <c r="V129" s="41" t="n">
        <v>42</v>
      </c>
      <c r="W129" s="41" t="n">
        <f aca="false">U129+V129</f>
        <v>45</v>
      </c>
      <c r="X129" s="42" t="n">
        <f aca="false">U129/W129</f>
        <v>0.0666666666666667</v>
      </c>
      <c r="Y129" s="42" t="n">
        <f aca="false">V129/W129</f>
        <v>0.933333333333333</v>
      </c>
      <c r="Z129" s="35" t="str">
        <f aca="false">IF(W129&gt;=150, "High Demand", IF(W129&gt;=50, "Moderate Demand", "Low Demand"))</f>
        <v>Low Demand</v>
      </c>
      <c r="AA129" s="39" t="str">
        <f aca="false">TEXT(G129, "00") &amp; ":00"</f>
        <v>10:00</v>
      </c>
      <c r="AB129" s="37" t="n">
        <f aca="false">YEAR(B129)</f>
        <v>2011</v>
      </c>
      <c r="AC129" s="35" t="str">
        <f aca="false">TEXT(B129, "mmmm")</f>
        <v>January</v>
      </c>
      <c r="AD129" s="37" t="n">
        <f aca="false">LEN(TEXT(B129, "YYYY-MM-DD"))</f>
        <v>10</v>
      </c>
      <c r="AE129" s="39" t="str">
        <f aca="false">LEFT(TEXT(B129, "YYYY-MM-DD"), 4)</f>
        <v>2011</v>
      </c>
      <c r="AF129" s="39" t="str">
        <f aca="false">RIGHT(TEXT(B129, "YYYY-MM-DD"), 2)</f>
        <v>06</v>
      </c>
    </row>
    <row r="130" customFormat="false" ht="15" hidden="false" customHeight="false" outlineLevel="0" collapsed="false">
      <c r="A130" s="43" t="n">
        <v>126</v>
      </c>
      <c r="B130" s="44" t="s">
        <v>82</v>
      </c>
      <c r="C130" s="43" t="n">
        <v>1</v>
      </c>
      <c r="D130" s="33" t="str">
        <f aca="false">VLOOKUP(C130, Lookups_Metadata!$A$4:$B$7, 2, FALSE())</f>
        <v>Spring</v>
      </c>
      <c r="E130" s="43" t="n">
        <v>0</v>
      </c>
      <c r="F130" s="43" t="n">
        <v>1</v>
      </c>
      <c r="G130" s="43" t="n">
        <v>11</v>
      </c>
      <c r="H130" s="45" t="b">
        <f aca="false">FALSE()</f>
        <v>0</v>
      </c>
      <c r="I130" s="43" t="n">
        <v>4</v>
      </c>
      <c r="J130" s="33" t="str">
        <f aca="false">INDEX(Lookups_Metadata!$E$4:$E$10, MATCH(I130, Lookups_Metadata!$D$4:$D$10, 0))</f>
        <v>Thursday</v>
      </c>
      <c r="K130" s="33" t="str">
        <f aca="false">IF(H130=TRUE(), "Holiday", IF(OR(I130=0, I130=6), "Weekend", "Weekday"))</f>
        <v>Weekday</v>
      </c>
      <c r="L130" s="33" t="str">
        <f aca="false">IF(AND(K130="Weekday", OR(AND(G130&gt;=7, G130&lt;=9), AND(G130&gt;=17, G130&lt;=19))), "Peak Commute", "Off-Peak")</f>
        <v>Off-Peak</v>
      </c>
      <c r="M130" s="43" t="n">
        <v>1</v>
      </c>
      <c r="N130" s="33" t="str">
        <f aca="false">VLOOKUP(M130, Lookups_Metadata!$G$4:$H$7, 2, FALSE())</f>
        <v>Clear / Few Clouds</v>
      </c>
      <c r="O130" s="46" t="n">
        <v>0.22</v>
      </c>
      <c r="P130" s="46" t="n">
        <v>0.2576</v>
      </c>
      <c r="Q130" s="46" t="n">
        <f aca="false">IF(OR(P130="", ISBLANK(P130)), ROUND(0.9367*O130+0.0175, 4), P130)</f>
        <v>0.2576</v>
      </c>
      <c r="R130" s="33" t="str">
        <f aca="false">IF(OR(P130="", ISBLANK(P130)), "Imputed (Regression/Trend)", "Original")</f>
        <v>Original</v>
      </c>
      <c r="S130" s="46" t="n">
        <v>0.44</v>
      </c>
      <c r="T130" s="46" t="n">
        <v>0.0896</v>
      </c>
      <c r="U130" s="18" t="n">
        <v>2</v>
      </c>
      <c r="V130" s="18" t="n">
        <v>57</v>
      </c>
      <c r="W130" s="18" t="n">
        <f aca="false">U130+V130</f>
        <v>59</v>
      </c>
      <c r="X130" s="47" t="n">
        <f aca="false">U130/W130</f>
        <v>0.0338983050847458</v>
      </c>
      <c r="Y130" s="47" t="n">
        <f aca="false">V130/W130</f>
        <v>0.966101694915254</v>
      </c>
      <c r="Z130" s="33" t="str">
        <f aca="false">IF(W130&gt;=150, "High Demand", IF(W130&gt;=50, "Moderate Demand", "Low Demand"))</f>
        <v>Moderate Demand</v>
      </c>
      <c r="AA130" s="45" t="str">
        <f aca="false">TEXT(G130, "00") &amp; ":00"</f>
        <v>11:00</v>
      </c>
      <c r="AB130" s="43" t="n">
        <f aca="false">YEAR(B130)</f>
        <v>2011</v>
      </c>
      <c r="AC130" s="33" t="str">
        <f aca="false">TEXT(B130, "mmmm")</f>
        <v>January</v>
      </c>
      <c r="AD130" s="43" t="n">
        <f aca="false">LEN(TEXT(B130, "YYYY-MM-DD"))</f>
        <v>10</v>
      </c>
      <c r="AE130" s="45" t="str">
        <f aca="false">LEFT(TEXT(B130, "YYYY-MM-DD"), 4)</f>
        <v>2011</v>
      </c>
      <c r="AF130" s="45" t="str">
        <f aca="false">RIGHT(TEXT(B130, "YYYY-MM-DD"), 2)</f>
        <v>06</v>
      </c>
    </row>
    <row r="131" customFormat="false" ht="15" hidden="false" customHeight="false" outlineLevel="0" collapsed="false">
      <c r="A131" s="37" t="n">
        <v>127</v>
      </c>
      <c r="B131" s="38" t="s">
        <v>82</v>
      </c>
      <c r="C131" s="37" t="n">
        <v>1</v>
      </c>
      <c r="D131" s="35" t="str">
        <f aca="false">VLOOKUP(C131, Lookups_Metadata!$A$4:$B$7, 2, FALSE())</f>
        <v>Spring</v>
      </c>
      <c r="E131" s="37" t="n">
        <v>0</v>
      </c>
      <c r="F131" s="37" t="n">
        <v>1</v>
      </c>
      <c r="G131" s="37" t="n">
        <v>12</v>
      </c>
      <c r="H131" s="39" t="b">
        <f aca="false">FALSE()</f>
        <v>0</v>
      </c>
      <c r="I131" s="37" t="n">
        <v>4</v>
      </c>
      <c r="J131" s="35" t="str">
        <f aca="false">INDEX(Lookups_Metadata!$E$4:$E$10, MATCH(I131, Lookups_Metadata!$D$4:$D$10, 0))</f>
        <v>Thursday</v>
      </c>
      <c r="K131" s="35" t="str">
        <f aca="false">IF(H131=TRUE(), "Holiday", IF(OR(I131=0, I131=6), "Weekend", "Weekday"))</f>
        <v>Weekday</v>
      </c>
      <c r="L131" s="35" t="str">
        <f aca="false">IF(AND(K131="Weekday", OR(AND(G131&gt;=7, G131&lt;=9), AND(G131&gt;=17, G131&lt;=19))), "Peak Commute", "Off-Peak")</f>
        <v>Off-Peak</v>
      </c>
      <c r="M131" s="37" t="n">
        <v>1</v>
      </c>
      <c r="N131" s="35" t="str">
        <f aca="false">VLOOKUP(M131, Lookups_Metadata!$G$4:$H$7, 2, FALSE())</f>
        <v>Clear / Few Clouds</v>
      </c>
      <c r="O131" s="40" t="n">
        <v>0.26</v>
      </c>
      <c r="P131" s="40" t="n">
        <v>0.2879</v>
      </c>
      <c r="Q131" s="40" t="n">
        <f aca="false">IF(OR(P131="", ISBLANK(P131)), ROUND(0.9367*O131+0.0175, 4), P131)</f>
        <v>0.2879</v>
      </c>
      <c r="R131" s="35" t="str">
        <f aca="false">IF(OR(P131="", ISBLANK(P131)), "Imputed (Regression/Trend)", "Original")</f>
        <v>Original</v>
      </c>
      <c r="S131" s="40" t="n">
        <v>0.35</v>
      </c>
      <c r="T131" s="40" t="n">
        <v>0</v>
      </c>
      <c r="U131" s="41" t="n">
        <v>6</v>
      </c>
      <c r="V131" s="41" t="n">
        <v>78</v>
      </c>
      <c r="W131" s="41" t="n">
        <f aca="false">U131+V131</f>
        <v>84</v>
      </c>
      <c r="X131" s="42" t="n">
        <f aca="false">U131/W131</f>
        <v>0.0714285714285714</v>
      </c>
      <c r="Y131" s="42" t="n">
        <f aca="false">V131/W131</f>
        <v>0.928571428571429</v>
      </c>
      <c r="Z131" s="35" t="str">
        <f aca="false">IF(W131&gt;=150, "High Demand", IF(W131&gt;=50, "Moderate Demand", "Low Demand"))</f>
        <v>Moderate Demand</v>
      </c>
      <c r="AA131" s="39" t="str">
        <f aca="false">TEXT(G131, "00") &amp; ":00"</f>
        <v>12:00</v>
      </c>
      <c r="AB131" s="37" t="n">
        <f aca="false">YEAR(B131)</f>
        <v>2011</v>
      </c>
      <c r="AC131" s="35" t="str">
        <f aca="false">TEXT(B131, "mmmm")</f>
        <v>January</v>
      </c>
      <c r="AD131" s="37" t="n">
        <f aca="false">LEN(TEXT(B131, "YYYY-MM-DD"))</f>
        <v>10</v>
      </c>
      <c r="AE131" s="39" t="str">
        <f aca="false">LEFT(TEXT(B131, "YYYY-MM-DD"), 4)</f>
        <v>2011</v>
      </c>
      <c r="AF131" s="39" t="str">
        <f aca="false">RIGHT(TEXT(B131, "YYYY-MM-DD"), 2)</f>
        <v>06</v>
      </c>
    </row>
    <row r="132" customFormat="false" ht="15" hidden="false" customHeight="false" outlineLevel="0" collapsed="false">
      <c r="A132" s="43" t="n">
        <v>128</v>
      </c>
      <c r="B132" s="44" t="s">
        <v>82</v>
      </c>
      <c r="C132" s="43" t="n">
        <v>1</v>
      </c>
      <c r="D132" s="33" t="str">
        <f aca="false">VLOOKUP(C132, Lookups_Metadata!$A$4:$B$7, 2, FALSE())</f>
        <v>Spring</v>
      </c>
      <c r="E132" s="43" t="n">
        <v>0</v>
      </c>
      <c r="F132" s="43" t="n">
        <v>1</v>
      </c>
      <c r="G132" s="43" t="n">
        <v>13</v>
      </c>
      <c r="H132" s="45" t="b">
        <f aca="false">FALSE()</f>
        <v>0</v>
      </c>
      <c r="I132" s="43" t="n">
        <v>4</v>
      </c>
      <c r="J132" s="33" t="str">
        <f aca="false">INDEX(Lookups_Metadata!$E$4:$E$10, MATCH(I132, Lookups_Metadata!$D$4:$D$10, 0))</f>
        <v>Thursday</v>
      </c>
      <c r="K132" s="33" t="str">
        <f aca="false">IF(H132=TRUE(), "Holiday", IF(OR(I132=0, I132=6), "Weekend", "Weekday"))</f>
        <v>Weekday</v>
      </c>
      <c r="L132" s="33" t="str">
        <f aca="false">IF(AND(K132="Weekday", OR(AND(G132&gt;=7, G132&lt;=9), AND(G132&gt;=17, G132&lt;=19))), "Peak Commute", "Off-Peak")</f>
        <v>Off-Peak</v>
      </c>
      <c r="M132" s="43" t="n">
        <v>1</v>
      </c>
      <c r="N132" s="33" t="str">
        <f aca="false">VLOOKUP(M132, Lookups_Metadata!$G$4:$H$7, 2, FALSE())</f>
        <v>Clear / Few Clouds</v>
      </c>
      <c r="O132" s="46" t="n">
        <v>0.26</v>
      </c>
      <c r="P132" s="46" t="n">
        <v>0.2727</v>
      </c>
      <c r="Q132" s="46" t="n">
        <f aca="false">IF(OR(P132="", ISBLANK(P132)), ROUND(0.9367*O132+0.0175, 4), P132)</f>
        <v>0.2727</v>
      </c>
      <c r="R132" s="33" t="str">
        <f aca="false">IF(OR(P132="", ISBLANK(P132)), "Imputed (Regression/Trend)", "Original")</f>
        <v>Original</v>
      </c>
      <c r="S132" s="46" t="n">
        <v>0.35</v>
      </c>
      <c r="T132" s="46" t="n">
        <v>0.1045</v>
      </c>
      <c r="U132" s="18" t="n">
        <v>12</v>
      </c>
      <c r="V132" s="18" t="n">
        <v>55</v>
      </c>
      <c r="W132" s="18" t="n">
        <f aca="false">U132+V132</f>
        <v>67</v>
      </c>
      <c r="X132" s="47" t="n">
        <f aca="false">U132/W132</f>
        <v>0.17910447761194</v>
      </c>
      <c r="Y132" s="47" t="n">
        <f aca="false">V132/W132</f>
        <v>0.82089552238806</v>
      </c>
      <c r="Z132" s="33" t="str">
        <f aca="false">IF(W132&gt;=150, "High Demand", IF(W132&gt;=50, "Moderate Demand", "Low Demand"))</f>
        <v>Moderate Demand</v>
      </c>
      <c r="AA132" s="45" t="str">
        <f aca="false">TEXT(G132, "00") &amp; ":00"</f>
        <v>13:00</v>
      </c>
      <c r="AB132" s="43" t="n">
        <f aca="false">YEAR(B132)</f>
        <v>2011</v>
      </c>
      <c r="AC132" s="33" t="str">
        <f aca="false">TEXT(B132, "mmmm")</f>
        <v>January</v>
      </c>
      <c r="AD132" s="43" t="n">
        <f aca="false">LEN(TEXT(B132, "YYYY-MM-DD"))</f>
        <v>10</v>
      </c>
      <c r="AE132" s="45" t="str">
        <f aca="false">LEFT(TEXT(B132, "YYYY-MM-DD"), 4)</f>
        <v>2011</v>
      </c>
      <c r="AF132" s="45" t="str">
        <f aca="false">RIGHT(TEXT(B132, "YYYY-MM-DD"), 2)</f>
        <v>06</v>
      </c>
    </row>
    <row r="133" customFormat="false" ht="15" hidden="false" customHeight="false" outlineLevel="0" collapsed="false">
      <c r="A133" s="37" t="n">
        <v>129</v>
      </c>
      <c r="B133" s="38" t="s">
        <v>82</v>
      </c>
      <c r="C133" s="37" t="n">
        <v>1</v>
      </c>
      <c r="D133" s="35" t="str">
        <f aca="false">VLOOKUP(C133, Lookups_Metadata!$A$4:$B$7, 2, FALSE())</f>
        <v>Spring</v>
      </c>
      <c r="E133" s="37" t="n">
        <v>0</v>
      </c>
      <c r="F133" s="37" t="n">
        <v>1</v>
      </c>
      <c r="G133" s="37" t="n">
        <v>14</v>
      </c>
      <c r="H133" s="39" t="b">
        <f aca="false">FALSE()</f>
        <v>0</v>
      </c>
      <c r="I133" s="37" t="n">
        <v>4</v>
      </c>
      <c r="J133" s="35" t="str">
        <f aca="false">INDEX(Lookups_Metadata!$E$4:$E$10, MATCH(I133, Lookups_Metadata!$D$4:$D$10, 0))</f>
        <v>Thursday</v>
      </c>
      <c r="K133" s="35" t="str">
        <f aca="false">IF(H133=TRUE(), "Holiday", IF(OR(I133=0, I133=6), "Weekend", "Weekday"))</f>
        <v>Weekday</v>
      </c>
      <c r="L133" s="35" t="str">
        <f aca="false">IF(AND(K133="Weekday", OR(AND(G133&gt;=7, G133&lt;=9), AND(G133&gt;=17, G133&lt;=19))), "Peak Commute", "Off-Peak")</f>
        <v>Off-Peak</v>
      </c>
      <c r="M133" s="37" t="n">
        <v>1</v>
      </c>
      <c r="N133" s="35" t="str">
        <f aca="false">VLOOKUP(M133, Lookups_Metadata!$G$4:$H$7, 2, FALSE())</f>
        <v>Clear / Few Clouds</v>
      </c>
      <c r="O133" s="40" t="n">
        <v>0.28</v>
      </c>
      <c r="P133" s="40" t="n">
        <v>0.2727</v>
      </c>
      <c r="Q133" s="40" t="n">
        <f aca="false">IF(OR(P133="", ISBLANK(P133)), ROUND(0.9367*O133+0.0175, 4), P133)</f>
        <v>0.2727</v>
      </c>
      <c r="R133" s="35" t="str">
        <f aca="false">IF(OR(P133="", ISBLANK(P133)), "Imputed (Regression/Trend)", "Original")</f>
        <v>Original</v>
      </c>
      <c r="S133" s="40" t="n">
        <v>0.36</v>
      </c>
      <c r="T133" s="40" t="n">
        <v>0.1642</v>
      </c>
      <c r="U133" s="41" t="n">
        <v>11</v>
      </c>
      <c r="V133" s="41" t="n">
        <v>59</v>
      </c>
      <c r="W133" s="41" t="n">
        <f aca="false">U133+V133</f>
        <v>70</v>
      </c>
      <c r="X133" s="42" t="n">
        <f aca="false">U133/W133</f>
        <v>0.157142857142857</v>
      </c>
      <c r="Y133" s="42" t="n">
        <f aca="false">V133/W133</f>
        <v>0.842857142857143</v>
      </c>
      <c r="Z133" s="35" t="str">
        <f aca="false">IF(W133&gt;=150, "High Demand", IF(W133&gt;=50, "Moderate Demand", "Low Demand"))</f>
        <v>Moderate Demand</v>
      </c>
      <c r="AA133" s="39" t="str">
        <f aca="false">TEXT(G133, "00") &amp; ":00"</f>
        <v>14:00</v>
      </c>
      <c r="AB133" s="37" t="n">
        <f aca="false">YEAR(B133)</f>
        <v>2011</v>
      </c>
      <c r="AC133" s="35" t="str">
        <f aca="false">TEXT(B133, "mmmm")</f>
        <v>January</v>
      </c>
      <c r="AD133" s="37" t="n">
        <f aca="false">LEN(TEXT(B133, "YYYY-MM-DD"))</f>
        <v>10</v>
      </c>
      <c r="AE133" s="39" t="str">
        <f aca="false">LEFT(TEXT(B133, "YYYY-MM-DD"), 4)</f>
        <v>2011</v>
      </c>
      <c r="AF133" s="39" t="str">
        <f aca="false">RIGHT(TEXT(B133, "YYYY-MM-DD"), 2)</f>
        <v>06</v>
      </c>
    </row>
    <row r="134" customFormat="false" ht="15" hidden="false" customHeight="false" outlineLevel="0" collapsed="false">
      <c r="A134" s="43" t="n">
        <v>130</v>
      </c>
      <c r="B134" s="44" t="s">
        <v>82</v>
      </c>
      <c r="C134" s="43" t="n">
        <v>1</v>
      </c>
      <c r="D134" s="33" t="str">
        <f aca="false">VLOOKUP(C134, Lookups_Metadata!$A$4:$B$7, 2, FALSE())</f>
        <v>Spring</v>
      </c>
      <c r="E134" s="43" t="n">
        <v>0</v>
      </c>
      <c r="F134" s="43" t="n">
        <v>1</v>
      </c>
      <c r="G134" s="43" t="n">
        <v>15</v>
      </c>
      <c r="H134" s="45" t="b">
        <f aca="false">FALSE()</f>
        <v>0</v>
      </c>
      <c r="I134" s="43" t="n">
        <v>4</v>
      </c>
      <c r="J134" s="33" t="str">
        <f aca="false">INDEX(Lookups_Metadata!$E$4:$E$10, MATCH(I134, Lookups_Metadata!$D$4:$D$10, 0))</f>
        <v>Thursday</v>
      </c>
      <c r="K134" s="33" t="str">
        <f aca="false">IF(H134=TRUE(), "Holiday", IF(OR(I134=0, I134=6), "Weekend", "Weekday"))</f>
        <v>Weekday</v>
      </c>
      <c r="L134" s="33" t="str">
        <f aca="false">IF(AND(K134="Weekday", OR(AND(G134&gt;=7, G134&lt;=9), AND(G134&gt;=17, G134&lt;=19))), "Peak Commute", "Off-Peak")</f>
        <v>Off-Peak</v>
      </c>
      <c r="M134" s="43" t="n">
        <v>1</v>
      </c>
      <c r="N134" s="33" t="str">
        <f aca="false">VLOOKUP(M134, Lookups_Metadata!$G$4:$H$7, 2, FALSE())</f>
        <v>Clear / Few Clouds</v>
      </c>
      <c r="O134" s="46" t="n">
        <v>0.28</v>
      </c>
      <c r="P134" s="46" t="n">
        <v>0.2727</v>
      </c>
      <c r="Q134" s="46" t="n">
        <f aca="false">IF(OR(P134="", ISBLANK(P134)), ROUND(0.9367*O134+0.0175, 4), P134)</f>
        <v>0.2727</v>
      </c>
      <c r="R134" s="33" t="str">
        <f aca="false">IF(OR(P134="", ISBLANK(P134)), "Imputed (Regression/Trend)", "Original")</f>
        <v>Original</v>
      </c>
      <c r="S134" s="46" t="n">
        <v>0.36</v>
      </c>
      <c r="T134" s="46" t="n">
        <v>0</v>
      </c>
      <c r="U134" s="18" t="n">
        <v>8</v>
      </c>
      <c r="V134" s="18" t="n">
        <v>54</v>
      </c>
      <c r="W134" s="18" t="n">
        <f aca="false">U134+V134</f>
        <v>62</v>
      </c>
      <c r="X134" s="47" t="n">
        <f aca="false">U134/W134</f>
        <v>0.129032258064516</v>
      </c>
      <c r="Y134" s="47" t="n">
        <f aca="false">V134/W134</f>
        <v>0.870967741935484</v>
      </c>
      <c r="Z134" s="33" t="str">
        <f aca="false">IF(W134&gt;=150, "High Demand", IF(W134&gt;=50, "Moderate Demand", "Low Demand"))</f>
        <v>Moderate Demand</v>
      </c>
      <c r="AA134" s="45" t="str">
        <f aca="false">TEXT(G134, "00") &amp; ":00"</f>
        <v>15:00</v>
      </c>
      <c r="AB134" s="43" t="n">
        <f aca="false">YEAR(B134)</f>
        <v>2011</v>
      </c>
      <c r="AC134" s="33" t="str">
        <f aca="false">TEXT(B134, "mmmm")</f>
        <v>January</v>
      </c>
      <c r="AD134" s="43" t="n">
        <f aca="false">LEN(TEXT(B134, "YYYY-MM-DD"))</f>
        <v>10</v>
      </c>
      <c r="AE134" s="45" t="str">
        <f aca="false">LEFT(TEXT(B134, "YYYY-MM-DD"), 4)</f>
        <v>2011</v>
      </c>
      <c r="AF134" s="45" t="str">
        <f aca="false">RIGHT(TEXT(B134, "YYYY-MM-DD"), 2)</f>
        <v>06</v>
      </c>
    </row>
    <row r="135" customFormat="false" ht="15" hidden="false" customHeight="false" outlineLevel="0" collapsed="false">
      <c r="A135" s="37" t="n">
        <v>131</v>
      </c>
      <c r="B135" s="38" t="s">
        <v>82</v>
      </c>
      <c r="C135" s="37" t="n">
        <v>1</v>
      </c>
      <c r="D135" s="35" t="str">
        <f aca="false">VLOOKUP(C135, Lookups_Metadata!$A$4:$B$7, 2, FALSE())</f>
        <v>Spring</v>
      </c>
      <c r="E135" s="37" t="n">
        <v>0</v>
      </c>
      <c r="F135" s="37" t="n">
        <v>1</v>
      </c>
      <c r="G135" s="37" t="n">
        <v>16</v>
      </c>
      <c r="H135" s="39" t="b">
        <f aca="false">FALSE()</f>
        <v>0</v>
      </c>
      <c r="I135" s="37" t="n">
        <v>4</v>
      </c>
      <c r="J135" s="35" t="str">
        <f aca="false">INDEX(Lookups_Metadata!$E$4:$E$10, MATCH(I135, Lookups_Metadata!$D$4:$D$10, 0))</f>
        <v>Thursday</v>
      </c>
      <c r="K135" s="35" t="str">
        <f aca="false">IF(H135=TRUE(), "Holiday", IF(OR(I135=0, I135=6), "Weekend", "Weekday"))</f>
        <v>Weekday</v>
      </c>
      <c r="L135" s="35" t="str">
        <f aca="false">IF(AND(K135="Weekday", OR(AND(G135&gt;=7, G135&lt;=9), AND(G135&gt;=17, G135&lt;=19))), "Peak Commute", "Off-Peak")</f>
        <v>Off-Peak</v>
      </c>
      <c r="M135" s="37" t="n">
        <v>1</v>
      </c>
      <c r="N135" s="35" t="str">
        <f aca="false">VLOOKUP(M135, Lookups_Metadata!$G$4:$H$7, 2, FALSE())</f>
        <v>Clear / Few Clouds</v>
      </c>
      <c r="O135" s="40" t="n">
        <v>0.26</v>
      </c>
      <c r="P135" s="40" t="n">
        <v>0.2576</v>
      </c>
      <c r="Q135" s="40" t="n">
        <f aca="false">IF(OR(P135="", ISBLANK(P135)), ROUND(0.9367*O135+0.0175, 4), P135)</f>
        <v>0.2576</v>
      </c>
      <c r="R135" s="35" t="str">
        <f aca="false">IF(OR(P135="", ISBLANK(P135)), "Imputed (Regression/Trend)", "Original")</f>
        <v>Original</v>
      </c>
      <c r="S135" s="40" t="n">
        <v>0.38</v>
      </c>
      <c r="T135" s="40" t="n">
        <v>0.1642</v>
      </c>
      <c r="U135" s="41" t="n">
        <v>12</v>
      </c>
      <c r="V135" s="41" t="n">
        <v>74</v>
      </c>
      <c r="W135" s="41" t="n">
        <f aca="false">U135+V135</f>
        <v>86</v>
      </c>
      <c r="X135" s="42" t="n">
        <f aca="false">U135/W135</f>
        <v>0.13953488372093</v>
      </c>
      <c r="Y135" s="42" t="n">
        <f aca="false">V135/W135</f>
        <v>0.86046511627907</v>
      </c>
      <c r="Z135" s="35" t="str">
        <f aca="false">IF(W135&gt;=150, "High Demand", IF(W135&gt;=50, "Moderate Demand", "Low Demand"))</f>
        <v>Moderate Demand</v>
      </c>
      <c r="AA135" s="39" t="str">
        <f aca="false">TEXT(G135, "00") &amp; ":00"</f>
        <v>16:00</v>
      </c>
      <c r="AB135" s="37" t="n">
        <f aca="false">YEAR(B135)</f>
        <v>2011</v>
      </c>
      <c r="AC135" s="35" t="str">
        <f aca="false">TEXT(B135, "mmmm")</f>
        <v>January</v>
      </c>
      <c r="AD135" s="37" t="n">
        <f aca="false">LEN(TEXT(B135, "YYYY-MM-DD"))</f>
        <v>10</v>
      </c>
      <c r="AE135" s="39" t="str">
        <f aca="false">LEFT(TEXT(B135, "YYYY-MM-DD"), 4)</f>
        <v>2011</v>
      </c>
      <c r="AF135" s="39" t="str">
        <f aca="false">RIGHT(TEXT(B135, "YYYY-MM-DD"), 2)</f>
        <v>06</v>
      </c>
    </row>
    <row r="136" customFormat="false" ht="15" hidden="false" customHeight="false" outlineLevel="0" collapsed="false">
      <c r="A136" s="43" t="n">
        <v>132</v>
      </c>
      <c r="B136" s="44" t="s">
        <v>82</v>
      </c>
      <c r="C136" s="43" t="n">
        <v>1</v>
      </c>
      <c r="D136" s="33" t="str">
        <f aca="false">VLOOKUP(C136, Lookups_Metadata!$A$4:$B$7, 2, FALSE())</f>
        <v>Spring</v>
      </c>
      <c r="E136" s="43" t="n">
        <v>0</v>
      </c>
      <c r="F136" s="43" t="n">
        <v>1</v>
      </c>
      <c r="G136" s="43" t="n">
        <v>17</v>
      </c>
      <c r="H136" s="45" t="b">
        <f aca="false">FALSE()</f>
        <v>0</v>
      </c>
      <c r="I136" s="43" t="n">
        <v>4</v>
      </c>
      <c r="J136" s="33" t="str">
        <f aca="false">INDEX(Lookups_Metadata!$E$4:$E$10, MATCH(I136, Lookups_Metadata!$D$4:$D$10, 0))</f>
        <v>Thursday</v>
      </c>
      <c r="K136" s="33" t="str">
        <f aca="false">IF(H136=TRUE(), "Holiday", IF(OR(I136=0, I136=6), "Weekend", "Weekday"))</f>
        <v>Weekday</v>
      </c>
      <c r="L136" s="33" t="str">
        <f aca="false">IF(AND(K136="Weekday", OR(AND(G136&gt;=7, G136&lt;=9), AND(G136&gt;=17, G136&lt;=19))), "Peak Commute", "Off-Peak")</f>
        <v>Peak Commute</v>
      </c>
      <c r="M136" s="43" t="n">
        <v>1</v>
      </c>
      <c r="N136" s="33" t="str">
        <f aca="false">VLOOKUP(M136, Lookups_Metadata!$G$4:$H$7, 2, FALSE())</f>
        <v>Clear / Few Clouds</v>
      </c>
      <c r="O136" s="46" t="n">
        <v>0.22</v>
      </c>
      <c r="P136" s="46" t="n">
        <v>0.2273</v>
      </c>
      <c r="Q136" s="46" t="n">
        <f aca="false">IF(OR(P136="", ISBLANK(P136)), ROUND(0.9367*O136+0.0175, 4), P136)</f>
        <v>0.2273</v>
      </c>
      <c r="R136" s="33" t="str">
        <f aca="false">IF(OR(P136="", ISBLANK(P136)), "Imputed (Regression/Trend)", "Original")</f>
        <v>Original</v>
      </c>
      <c r="S136" s="46" t="n">
        <v>0.51</v>
      </c>
      <c r="T136" s="46" t="n">
        <v>0.1642</v>
      </c>
      <c r="U136" s="18" t="n">
        <v>9</v>
      </c>
      <c r="V136" s="18" t="n">
        <v>163</v>
      </c>
      <c r="W136" s="18" t="n">
        <f aca="false">U136+V136</f>
        <v>172</v>
      </c>
      <c r="X136" s="47" t="n">
        <f aca="false">U136/W136</f>
        <v>0.0523255813953488</v>
      </c>
      <c r="Y136" s="47" t="n">
        <f aca="false">V136/W136</f>
        <v>0.947674418604651</v>
      </c>
      <c r="Z136" s="33" t="str">
        <f aca="false">IF(W136&gt;=150, "High Demand", IF(W136&gt;=50, "Moderate Demand", "Low Demand"))</f>
        <v>High Demand</v>
      </c>
      <c r="AA136" s="45" t="str">
        <f aca="false">TEXT(G136, "00") &amp; ":00"</f>
        <v>17:00</v>
      </c>
      <c r="AB136" s="43" t="n">
        <f aca="false">YEAR(B136)</f>
        <v>2011</v>
      </c>
      <c r="AC136" s="33" t="str">
        <f aca="false">TEXT(B136, "mmmm")</f>
        <v>January</v>
      </c>
      <c r="AD136" s="43" t="n">
        <f aca="false">LEN(TEXT(B136, "YYYY-MM-DD"))</f>
        <v>10</v>
      </c>
      <c r="AE136" s="45" t="str">
        <f aca="false">LEFT(TEXT(B136, "YYYY-MM-DD"), 4)</f>
        <v>2011</v>
      </c>
      <c r="AF136" s="45" t="str">
        <f aca="false">RIGHT(TEXT(B136, "YYYY-MM-DD"), 2)</f>
        <v>06</v>
      </c>
    </row>
    <row r="137" customFormat="false" ht="15" hidden="false" customHeight="false" outlineLevel="0" collapsed="false">
      <c r="A137" s="37" t="n">
        <v>133</v>
      </c>
      <c r="B137" s="38" t="s">
        <v>82</v>
      </c>
      <c r="C137" s="37" t="n">
        <v>1</v>
      </c>
      <c r="D137" s="35" t="str">
        <f aca="false">VLOOKUP(C137, Lookups_Metadata!$A$4:$B$7, 2, FALSE())</f>
        <v>Spring</v>
      </c>
      <c r="E137" s="37" t="n">
        <v>0</v>
      </c>
      <c r="F137" s="37" t="n">
        <v>1</v>
      </c>
      <c r="G137" s="37" t="n">
        <v>18</v>
      </c>
      <c r="H137" s="39" t="b">
        <f aca="false">FALSE()</f>
        <v>0</v>
      </c>
      <c r="I137" s="37" t="n">
        <v>4</v>
      </c>
      <c r="J137" s="35" t="str">
        <f aca="false">INDEX(Lookups_Metadata!$E$4:$E$10, MATCH(I137, Lookups_Metadata!$D$4:$D$10, 0))</f>
        <v>Thursday</v>
      </c>
      <c r="K137" s="35" t="str">
        <f aca="false">IF(H137=TRUE(), "Holiday", IF(OR(I137=0, I137=6), "Weekend", "Weekday"))</f>
        <v>Weekday</v>
      </c>
      <c r="L137" s="35" t="str">
        <f aca="false">IF(AND(K137="Weekday", OR(AND(G137&gt;=7, G137&lt;=9), AND(G137&gt;=17, G137&lt;=19))), "Peak Commute", "Off-Peak")</f>
        <v>Peak Commute</v>
      </c>
      <c r="M137" s="37" t="n">
        <v>1</v>
      </c>
      <c r="N137" s="35" t="str">
        <f aca="false">VLOOKUP(M137, Lookups_Metadata!$G$4:$H$7, 2, FALSE())</f>
        <v>Clear / Few Clouds</v>
      </c>
      <c r="O137" s="40" t="n">
        <v>0.22</v>
      </c>
      <c r="P137" s="40" t="n">
        <v>0.2273</v>
      </c>
      <c r="Q137" s="40" t="n">
        <f aca="false">IF(OR(P137="", ISBLANK(P137)), ROUND(0.9367*O137+0.0175, 4), P137)</f>
        <v>0.2273</v>
      </c>
      <c r="R137" s="35" t="str">
        <f aca="false">IF(OR(P137="", ISBLANK(P137)), "Imputed (Regression/Trend)", "Original")</f>
        <v>Original</v>
      </c>
      <c r="S137" s="40" t="n">
        <v>0.51</v>
      </c>
      <c r="T137" s="40" t="n">
        <v>0.1343</v>
      </c>
      <c r="U137" s="41" t="n">
        <v>5</v>
      </c>
      <c r="V137" s="41" t="n">
        <v>158</v>
      </c>
      <c r="W137" s="41" t="n">
        <f aca="false">U137+V137</f>
        <v>163</v>
      </c>
      <c r="X137" s="42" t="n">
        <f aca="false">U137/W137</f>
        <v>0.0306748466257669</v>
      </c>
      <c r="Y137" s="42" t="n">
        <f aca="false">V137/W137</f>
        <v>0.969325153374233</v>
      </c>
      <c r="Z137" s="35" t="str">
        <f aca="false">IF(W137&gt;=150, "High Demand", IF(W137&gt;=50, "Moderate Demand", "Low Demand"))</f>
        <v>High Demand</v>
      </c>
      <c r="AA137" s="39" t="str">
        <f aca="false">TEXT(G137, "00") &amp; ":00"</f>
        <v>18:00</v>
      </c>
      <c r="AB137" s="37" t="n">
        <f aca="false">YEAR(B137)</f>
        <v>2011</v>
      </c>
      <c r="AC137" s="35" t="str">
        <f aca="false">TEXT(B137, "mmmm")</f>
        <v>January</v>
      </c>
      <c r="AD137" s="37" t="n">
        <f aca="false">LEN(TEXT(B137, "YYYY-MM-DD"))</f>
        <v>10</v>
      </c>
      <c r="AE137" s="39" t="str">
        <f aca="false">LEFT(TEXT(B137, "YYYY-MM-DD"), 4)</f>
        <v>2011</v>
      </c>
      <c r="AF137" s="39" t="str">
        <f aca="false">RIGHT(TEXT(B137, "YYYY-MM-DD"), 2)</f>
        <v>06</v>
      </c>
    </row>
    <row r="138" customFormat="false" ht="15" hidden="false" customHeight="false" outlineLevel="0" collapsed="false">
      <c r="A138" s="43" t="n">
        <v>134</v>
      </c>
      <c r="B138" s="44" t="s">
        <v>82</v>
      </c>
      <c r="C138" s="43" t="n">
        <v>1</v>
      </c>
      <c r="D138" s="33" t="str">
        <f aca="false">VLOOKUP(C138, Lookups_Metadata!$A$4:$B$7, 2, FALSE())</f>
        <v>Spring</v>
      </c>
      <c r="E138" s="43" t="n">
        <v>0</v>
      </c>
      <c r="F138" s="43" t="n">
        <v>1</v>
      </c>
      <c r="G138" s="43" t="n">
        <v>19</v>
      </c>
      <c r="H138" s="45" t="b">
        <f aca="false">FALSE()</f>
        <v>0</v>
      </c>
      <c r="I138" s="43" t="n">
        <v>4</v>
      </c>
      <c r="J138" s="33" t="str">
        <f aca="false">INDEX(Lookups_Metadata!$E$4:$E$10, MATCH(I138, Lookups_Metadata!$D$4:$D$10, 0))</f>
        <v>Thursday</v>
      </c>
      <c r="K138" s="33" t="str">
        <f aca="false">IF(H138=TRUE(), "Holiday", IF(OR(I138=0, I138=6), "Weekend", "Weekday"))</f>
        <v>Weekday</v>
      </c>
      <c r="L138" s="33" t="str">
        <f aca="false">IF(AND(K138="Weekday", OR(AND(G138&gt;=7, G138&lt;=9), AND(G138&gt;=17, G138&lt;=19))), "Peak Commute", "Off-Peak")</f>
        <v>Peak Commute</v>
      </c>
      <c r="M138" s="43" t="n">
        <v>1</v>
      </c>
      <c r="N138" s="33" t="str">
        <f aca="false">VLOOKUP(M138, Lookups_Metadata!$G$4:$H$7, 2, FALSE())</f>
        <v>Clear / Few Clouds</v>
      </c>
      <c r="O138" s="46" t="n">
        <v>0.22</v>
      </c>
      <c r="P138" s="46" t="n">
        <v>0.2576</v>
      </c>
      <c r="Q138" s="46" t="n">
        <f aca="false">IF(OR(P138="", ISBLANK(P138)), ROUND(0.9367*O138+0.0175, 4), P138)</f>
        <v>0.2576</v>
      </c>
      <c r="R138" s="33" t="str">
        <f aca="false">IF(OR(P138="", ISBLANK(P138)), "Imputed (Regression/Trend)", "Original")</f>
        <v>Original</v>
      </c>
      <c r="S138" s="46" t="n">
        <v>0.55</v>
      </c>
      <c r="T138" s="46" t="n">
        <v>0.0896</v>
      </c>
      <c r="U138" s="18" t="n">
        <v>3</v>
      </c>
      <c r="V138" s="18" t="n">
        <v>109</v>
      </c>
      <c r="W138" s="18" t="n">
        <f aca="false">U138+V138</f>
        <v>112</v>
      </c>
      <c r="X138" s="47" t="n">
        <f aca="false">U138/W138</f>
        <v>0.0267857142857143</v>
      </c>
      <c r="Y138" s="47" t="n">
        <f aca="false">V138/W138</f>
        <v>0.973214285714286</v>
      </c>
      <c r="Z138" s="33" t="str">
        <f aca="false">IF(W138&gt;=150, "High Demand", IF(W138&gt;=50, "Moderate Demand", "Low Demand"))</f>
        <v>Moderate Demand</v>
      </c>
      <c r="AA138" s="45" t="str">
        <f aca="false">TEXT(G138, "00") &amp; ":00"</f>
        <v>19:00</v>
      </c>
      <c r="AB138" s="43" t="n">
        <f aca="false">YEAR(B138)</f>
        <v>2011</v>
      </c>
      <c r="AC138" s="33" t="str">
        <f aca="false">TEXT(B138, "mmmm")</f>
        <v>January</v>
      </c>
      <c r="AD138" s="43" t="n">
        <f aca="false">LEN(TEXT(B138, "YYYY-MM-DD"))</f>
        <v>10</v>
      </c>
      <c r="AE138" s="45" t="str">
        <f aca="false">LEFT(TEXT(B138, "YYYY-MM-DD"), 4)</f>
        <v>2011</v>
      </c>
      <c r="AF138" s="45" t="str">
        <f aca="false">RIGHT(TEXT(B138, "YYYY-MM-DD"), 2)</f>
        <v>06</v>
      </c>
    </row>
    <row r="139" customFormat="false" ht="15" hidden="false" customHeight="false" outlineLevel="0" collapsed="false">
      <c r="A139" s="37" t="n">
        <v>135</v>
      </c>
      <c r="B139" s="38" t="s">
        <v>82</v>
      </c>
      <c r="C139" s="37" t="n">
        <v>1</v>
      </c>
      <c r="D139" s="35" t="str">
        <f aca="false">VLOOKUP(C139, Lookups_Metadata!$A$4:$B$7, 2, FALSE())</f>
        <v>Spring</v>
      </c>
      <c r="E139" s="37" t="n">
        <v>0</v>
      </c>
      <c r="F139" s="37" t="n">
        <v>1</v>
      </c>
      <c r="G139" s="37" t="n">
        <v>20</v>
      </c>
      <c r="H139" s="39" t="b">
        <f aca="false">FALSE()</f>
        <v>0</v>
      </c>
      <c r="I139" s="37" t="n">
        <v>4</v>
      </c>
      <c r="J139" s="35" t="str">
        <f aca="false">INDEX(Lookups_Metadata!$E$4:$E$10, MATCH(I139, Lookups_Metadata!$D$4:$D$10, 0))</f>
        <v>Thursday</v>
      </c>
      <c r="K139" s="35" t="str">
        <f aca="false">IF(H139=TRUE(), "Holiday", IF(OR(I139=0, I139=6), "Weekend", "Weekday"))</f>
        <v>Weekday</v>
      </c>
      <c r="L139" s="35" t="str">
        <f aca="false">IF(AND(K139="Weekday", OR(AND(G139&gt;=7, G139&lt;=9), AND(G139&gt;=17, G139&lt;=19))), "Peak Commute", "Off-Peak")</f>
        <v>Off-Peak</v>
      </c>
      <c r="M139" s="37" t="n">
        <v>1</v>
      </c>
      <c r="N139" s="35" t="str">
        <f aca="false">VLOOKUP(M139, Lookups_Metadata!$G$4:$H$7, 2, FALSE())</f>
        <v>Clear / Few Clouds</v>
      </c>
      <c r="O139" s="40" t="n">
        <v>0.2</v>
      </c>
      <c r="P139" s="40" t="n">
        <v>0.2121</v>
      </c>
      <c r="Q139" s="40" t="n">
        <f aca="false">IF(OR(P139="", ISBLANK(P139)), ROUND(0.9367*O139+0.0175, 4), P139)</f>
        <v>0.2121</v>
      </c>
      <c r="R139" s="35" t="str">
        <f aca="false">IF(OR(P139="", ISBLANK(P139)), "Imputed (Regression/Trend)", "Original")</f>
        <v>Original</v>
      </c>
      <c r="S139" s="40" t="n">
        <v>0.51</v>
      </c>
      <c r="T139" s="40" t="n">
        <v>0.1642</v>
      </c>
      <c r="U139" s="41" t="n">
        <v>3</v>
      </c>
      <c r="V139" s="41" t="n">
        <v>66</v>
      </c>
      <c r="W139" s="41" t="n">
        <f aca="false">U139+V139</f>
        <v>69</v>
      </c>
      <c r="X139" s="42" t="n">
        <f aca="false">U139/W139</f>
        <v>0.0434782608695652</v>
      </c>
      <c r="Y139" s="42" t="n">
        <f aca="false">V139/W139</f>
        <v>0.956521739130435</v>
      </c>
      <c r="Z139" s="35" t="str">
        <f aca="false">IF(W139&gt;=150, "High Demand", IF(W139&gt;=50, "Moderate Demand", "Low Demand"))</f>
        <v>Moderate Demand</v>
      </c>
      <c r="AA139" s="39" t="str">
        <f aca="false">TEXT(G139, "00") &amp; ":00"</f>
        <v>20:00</v>
      </c>
      <c r="AB139" s="37" t="n">
        <f aca="false">YEAR(B139)</f>
        <v>2011</v>
      </c>
      <c r="AC139" s="35" t="str">
        <f aca="false">TEXT(B139, "mmmm")</f>
        <v>January</v>
      </c>
      <c r="AD139" s="37" t="n">
        <f aca="false">LEN(TEXT(B139, "YYYY-MM-DD"))</f>
        <v>10</v>
      </c>
      <c r="AE139" s="39" t="str">
        <f aca="false">LEFT(TEXT(B139, "YYYY-MM-DD"), 4)</f>
        <v>2011</v>
      </c>
      <c r="AF139" s="39" t="str">
        <f aca="false">RIGHT(TEXT(B139, "YYYY-MM-DD"), 2)</f>
        <v>06</v>
      </c>
    </row>
    <row r="140" customFormat="false" ht="15" hidden="false" customHeight="false" outlineLevel="0" collapsed="false">
      <c r="A140" s="43" t="n">
        <v>136</v>
      </c>
      <c r="B140" s="44" t="s">
        <v>82</v>
      </c>
      <c r="C140" s="43" t="n">
        <v>1</v>
      </c>
      <c r="D140" s="33" t="str">
        <f aca="false">VLOOKUP(C140, Lookups_Metadata!$A$4:$B$7, 2, FALSE())</f>
        <v>Spring</v>
      </c>
      <c r="E140" s="43" t="n">
        <v>0</v>
      </c>
      <c r="F140" s="43" t="n">
        <v>1</v>
      </c>
      <c r="G140" s="43" t="n">
        <v>21</v>
      </c>
      <c r="H140" s="45" t="b">
        <f aca="false">FALSE()</f>
        <v>0</v>
      </c>
      <c r="I140" s="43" t="n">
        <v>4</v>
      </c>
      <c r="J140" s="33" t="str">
        <f aca="false">INDEX(Lookups_Metadata!$E$4:$E$10, MATCH(I140, Lookups_Metadata!$D$4:$D$10, 0))</f>
        <v>Thursday</v>
      </c>
      <c r="K140" s="33" t="str">
        <f aca="false">IF(H140=TRUE(), "Holiday", IF(OR(I140=0, I140=6), "Weekend", "Weekday"))</f>
        <v>Weekday</v>
      </c>
      <c r="L140" s="33" t="str">
        <f aca="false">IF(AND(K140="Weekday", OR(AND(G140&gt;=7, G140&lt;=9), AND(G140&gt;=17, G140&lt;=19))), "Peak Commute", "Off-Peak")</f>
        <v>Off-Peak</v>
      </c>
      <c r="M140" s="43" t="n">
        <v>2</v>
      </c>
      <c r="N140" s="33" t="str">
        <f aca="false">VLOOKUP(M140, Lookups_Metadata!$G$4:$H$7, 2, FALSE())</f>
        <v>Mist / Cloudy</v>
      </c>
      <c r="O140" s="46" t="n">
        <v>0.22</v>
      </c>
      <c r="P140" s="46" t="n">
        <v>0.2121</v>
      </c>
      <c r="Q140" s="46" t="n">
        <f aca="false">IF(OR(P140="", ISBLANK(P140)), ROUND(0.9367*O140+0.0175, 4), P140)</f>
        <v>0.2121</v>
      </c>
      <c r="R140" s="33" t="str">
        <f aca="false">IF(OR(P140="", ISBLANK(P140)), "Imputed (Regression/Trend)", "Original")</f>
        <v>Original</v>
      </c>
      <c r="S140" s="46" t="n">
        <v>0.55</v>
      </c>
      <c r="T140" s="46" t="n">
        <v>0.2239</v>
      </c>
      <c r="U140" s="18" t="n">
        <v>0</v>
      </c>
      <c r="V140" s="18" t="n">
        <v>48</v>
      </c>
      <c r="W140" s="18" t="n">
        <f aca="false">U140+V140</f>
        <v>48</v>
      </c>
      <c r="X140" s="47" t="n">
        <f aca="false">U140/W140</f>
        <v>0</v>
      </c>
      <c r="Y140" s="47" t="n">
        <f aca="false">V140/W140</f>
        <v>1</v>
      </c>
      <c r="Z140" s="33" t="str">
        <f aca="false">IF(W140&gt;=150, "High Demand", IF(W140&gt;=50, "Moderate Demand", "Low Demand"))</f>
        <v>Low Demand</v>
      </c>
      <c r="AA140" s="45" t="str">
        <f aca="false">TEXT(G140, "00") &amp; ":00"</f>
        <v>21:00</v>
      </c>
      <c r="AB140" s="43" t="n">
        <f aca="false">YEAR(B140)</f>
        <v>2011</v>
      </c>
      <c r="AC140" s="33" t="str">
        <f aca="false">TEXT(B140, "mmmm")</f>
        <v>January</v>
      </c>
      <c r="AD140" s="43" t="n">
        <f aca="false">LEN(TEXT(B140, "YYYY-MM-DD"))</f>
        <v>10</v>
      </c>
      <c r="AE140" s="45" t="str">
        <f aca="false">LEFT(TEXT(B140, "YYYY-MM-DD"), 4)</f>
        <v>2011</v>
      </c>
      <c r="AF140" s="45" t="str">
        <f aca="false">RIGHT(TEXT(B140, "YYYY-MM-DD"), 2)</f>
        <v>06</v>
      </c>
    </row>
    <row r="141" customFormat="false" ht="15" hidden="false" customHeight="false" outlineLevel="0" collapsed="false">
      <c r="A141" s="37" t="n">
        <v>137</v>
      </c>
      <c r="B141" s="38" t="s">
        <v>82</v>
      </c>
      <c r="C141" s="37" t="n">
        <v>1</v>
      </c>
      <c r="D141" s="35" t="str">
        <f aca="false">VLOOKUP(C141, Lookups_Metadata!$A$4:$B$7, 2, FALSE())</f>
        <v>Spring</v>
      </c>
      <c r="E141" s="37" t="n">
        <v>0</v>
      </c>
      <c r="F141" s="37" t="n">
        <v>1</v>
      </c>
      <c r="G141" s="37" t="n">
        <v>22</v>
      </c>
      <c r="H141" s="39" t="b">
        <f aca="false">FALSE()</f>
        <v>0</v>
      </c>
      <c r="I141" s="37" t="n">
        <v>4</v>
      </c>
      <c r="J141" s="35" t="str">
        <f aca="false">INDEX(Lookups_Metadata!$E$4:$E$10, MATCH(I141, Lookups_Metadata!$D$4:$D$10, 0))</f>
        <v>Thursday</v>
      </c>
      <c r="K141" s="35" t="str">
        <f aca="false">IF(H141=TRUE(), "Holiday", IF(OR(I141=0, I141=6), "Weekend", "Weekday"))</f>
        <v>Weekday</v>
      </c>
      <c r="L141" s="35" t="str">
        <f aca="false">IF(AND(K141="Weekday", OR(AND(G141&gt;=7, G141&lt;=9), AND(G141&gt;=17, G141&lt;=19))), "Peak Commute", "Off-Peak")</f>
        <v>Off-Peak</v>
      </c>
      <c r="M141" s="37" t="n">
        <v>2</v>
      </c>
      <c r="N141" s="35" t="str">
        <f aca="false">VLOOKUP(M141, Lookups_Metadata!$G$4:$H$7, 2, FALSE())</f>
        <v>Mist / Cloudy</v>
      </c>
      <c r="O141" s="40" t="n">
        <v>0.22</v>
      </c>
      <c r="P141" s="40" t="n">
        <v>0.2121</v>
      </c>
      <c r="Q141" s="40" t="n">
        <f aca="false">IF(OR(P141="", ISBLANK(P141)), ROUND(0.9367*O141+0.0175, 4), P141)</f>
        <v>0.2121</v>
      </c>
      <c r="R141" s="35" t="str">
        <f aca="false">IF(OR(P141="", ISBLANK(P141)), "Imputed (Regression/Trend)", "Original")</f>
        <v>Original</v>
      </c>
      <c r="S141" s="40" t="n">
        <v>0.51</v>
      </c>
      <c r="T141" s="40" t="n">
        <v>0.2836</v>
      </c>
      <c r="U141" s="41" t="n">
        <v>1</v>
      </c>
      <c r="V141" s="41" t="n">
        <v>51</v>
      </c>
      <c r="W141" s="41" t="n">
        <f aca="false">U141+V141</f>
        <v>52</v>
      </c>
      <c r="X141" s="42" t="n">
        <f aca="false">U141/W141</f>
        <v>0.0192307692307692</v>
      </c>
      <c r="Y141" s="42" t="n">
        <f aca="false">V141/W141</f>
        <v>0.980769230769231</v>
      </c>
      <c r="Z141" s="35" t="str">
        <f aca="false">IF(W141&gt;=150, "High Demand", IF(W141&gt;=50, "Moderate Demand", "Low Demand"))</f>
        <v>Moderate Demand</v>
      </c>
      <c r="AA141" s="39" t="str">
        <f aca="false">TEXT(G141, "00") &amp; ":00"</f>
        <v>22:00</v>
      </c>
      <c r="AB141" s="37" t="n">
        <f aca="false">YEAR(B141)</f>
        <v>2011</v>
      </c>
      <c r="AC141" s="35" t="str">
        <f aca="false">TEXT(B141, "mmmm")</f>
        <v>January</v>
      </c>
      <c r="AD141" s="37" t="n">
        <f aca="false">LEN(TEXT(B141, "YYYY-MM-DD"))</f>
        <v>10</v>
      </c>
      <c r="AE141" s="39" t="str">
        <f aca="false">LEFT(TEXT(B141, "YYYY-MM-DD"), 4)</f>
        <v>2011</v>
      </c>
      <c r="AF141" s="39" t="str">
        <f aca="false">RIGHT(TEXT(B141, "YYYY-MM-DD"), 2)</f>
        <v>06</v>
      </c>
    </row>
    <row r="142" customFormat="false" ht="15" hidden="false" customHeight="false" outlineLevel="0" collapsed="false">
      <c r="A142" s="43" t="n">
        <v>138</v>
      </c>
      <c r="B142" s="44" t="s">
        <v>82</v>
      </c>
      <c r="C142" s="43" t="n">
        <v>1</v>
      </c>
      <c r="D142" s="33" t="str">
        <f aca="false">VLOOKUP(C142, Lookups_Metadata!$A$4:$B$7, 2, FALSE())</f>
        <v>Spring</v>
      </c>
      <c r="E142" s="43" t="n">
        <v>0</v>
      </c>
      <c r="F142" s="43" t="n">
        <v>1</v>
      </c>
      <c r="G142" s="43" t="n">
        <v>23</v>
      </c>
      <c r="H142" s="45" t="b">
        <f aca="false">FALSE()</f>
        <v>0</v>
      </c>
      <c r="I142" s="43" t="n">
        <v>4</v>
      </c>
      <c r="J142" s="33" t="str">
        <f aca="false">INDEX(Lookups_Metadata!$E$4:$E$10, MATCH(I142, Lookups_Metadata!$D$4:$D$10, 0))</f>
        <v>Thursday</v>
      </c>
      <c r="K142" s="33" t="str">
        <f aca="false">IF(H142=TRUE(), "Holiday", IF(OR(I142=0, I142=6), "Weekend", "Weekday"))</f>
        <v>Weekday</v>
      </c>
      <c r="L142" s="33" t="str">
        <f aca="false">IF(AND(K142="Weekday", OR(AND(G142&gt;=7, G142&lt;=9), AND(G142&gt;=17, G142&lt;=19))), "Peak Commute", "Off-Peak")</f>
        <v>Off-Peak</v>
      </c>
      <c r="M142" s="43" t="n">
        <v>2</v>
      </c>
      <c r="N142" s="33" t="str">
        <f aca="false">VLOOKUP(M142, Lookups_Metadata!$G$4:$H$7, 2, FALSE())</f>
        <v>Mist / Cloudy</v>
      </c>
      <c r="O142" s="46" t="n">
        <v>0.2</v>
      </c>
      <c r="P142" s="46" t="n">
        <v>0.197</v>
      </c>
      <c r="Q142" s="46" t="n">
        <f aca="false">IF(OR(P142="", ISBLANK(P142)), ROUND(0.9367*O142+0.0175, 4), P142)</f>
        <v>0.197</v>
      </c>
      <c r="R142" s="33" t="str">
        <f aca="false">IF(OR(P142="", ISBLANK(P142)), "Imputed (Regression/Trend)", "Original")</f>
        <v>Original</v>
      </c>
      <c r="S142" s="46" t="n">
        <v>0.59</v>
      </c>
      <c r="T142" s="46" t="n">
        <v>0.194</v>
      </c>
      <c r="U142" s="18" t="n">
        <v>4</v>
      </c>
      <c r="V142" s="18" t="n">
        <v>19</v>
      </c>
      <c r="W142" s="18" t="n">
        <f aca="false">U142+V142</f>
        <v>23</v>
      </c>
      <c r="X142" s="47" t="n">
        <f aca="false">U142/W142</f>
        <v>0.173913043478261</v>
      </c>
      <c r="Y142" s="47" t="n">
        <f aca="false">V142/W142</f>
        <v>0.826086956521739</v>
      </c>
      <c r="Z142" s="33" t="str">
        <f aca="false">IF(W142&gt;=150, "High Demand", IF(W142&gt;=50, "Moderate Demand", "Low Demand"))</f>
        <v>Low Demand</v>
      </c>
      <c r="AA142" s="45" t="str">
        <f aca="false">TEXT(G142, "00") &amp; ":00"</f>
        <v>23:00</v>
      </c>
      <c r="AB142" s="43" t="n">
        <f aca="false">YEAR(B142)</f>
        <v>2011</v>
      </c>
      <c r="AC142" s="33" t="str">
        <f aca="false">TEXT(B142, "mmmm")</f>
        <v>January</v>
      </c>
      <c r="AD142" s="43" t="n">
        <f aca="false">LEN(TEXT(B142, "YYYY-MM-DD"))</f>
        <v>10</v>
      </c>
      <c r="AE142" s="45" t="str">
        <f aca="false">LEFT(TEXT(B142, "YYYY-MM-DD"), 4)</f>
        <v>2011</v>
      </c>
      <c r="AF142" s="45" t="str">
        <f aca="false">RIGHT(TEXT(B142, "YYYY-MM-DD"), 2)</f>
        <v>06</v>
      </c>
    </row>
    <row r="143" customFormat="false" ht="15" hidden="false" customHeight="false" outlineLevel="0" collapsed="false">
      <c r="A143" s="37" t="n">
        <v>139</v>
      </c>
      <c r="B143" s="38" t="s">
        <v>83</v>
      </c>
      <c r="C143" s="37" t="n">
        <v>1</v>
      </c>
      <c r="D143" s="35" t="str">
        <f aca="false">VLOOKUP(C143, Lookups_Metadata!$A$4:$B$7, 2, FALSE())</f>
        <v>Spring</v>
      </c>
      <c r="E143" s="37" t="n">
        <v>0</v>
      </c>
      <c r="F143" s="37" t="n">
        <v>1</v>
      </c>
      <c r="G143" s="37" t="n">
        <v>0</v>
      </c>
      <c r="H143" s="39" t="b">
        <f aca="false">FALSE()</f>
        <v>0</v>
      </c>
      <c r="I143" s="37" t="n">
        <v>5</v>
      </c>
      <c r="J143" s="35" t="str">
        <f aca="false">INDEX(Lookups_Metadata!$E$4:$E$10, MATCH(I143, Lookups_Metadata!$D$4:$D$10, 0))</f>
        <v>Friday</v>
      </c>
      <c r="K143" s="35" t="str">
        <f aca="false">IF(H143=TRUE(), "Holiday", IF(OR(I143=0, I143=6), "Weekend", "Weekday"))</f>
        <v>Weekday</v>
      </c>
      <c r="L143" s="35" t="str">
        <f aca="false">IF(AND(K143="Weekday", OR(AND(G143&gt;=7, G143&lt;=9), AND(G143&gt;=17, G143&lt;=19))), "Peak Commute", "Off-Peak")</f>
        <v>Off-Peak</v>
      </c>
      <c r="M143" s="37" t="n">
        <v>2</v>
      </c>
      <c r="N143" s="35" t="str">
        <f aca="false">VLOOKUP(M143, Lookups_Metadata!$G$4:$H$7, 2, FALSE())</f>
        <v>Mist / Cloudy</v>
      </c>
      <c r="O143" s="40" t="n">
        <v>0.2</v>
      </c>
      <c r="P143" s="40" t="n">
        <v>0.197</v>
      </c>
      <c r="Q143" s="40" t="n">
        <f aca="false">IF(OR(P143="", ISBLANK(P143)), ROUND(0.9367*O143+0.0175, 4), P143)</f>
        <v>0.197</v>
      </c>
      <c r="R143" s="35" t="str">
        <f aca="false">IF(OR(P143="", ISBLANK(P143)), "Imputed (Regression/Trend)", "Original")</f>
        <v>Original</v>
      </c>
      <c r="S143" s="40" t="n">
        <v>0.64</v>
      </c>
      <c r="T143" s="40" t="n">
        <v>0.194</v>
      </c>
      <c r="U143" s="41" t="n">
        <v>4</v>
      </c>
      <c r="V143" s="41" t="n">
        <v>13</v>
      </c>
      <c r="W143" s="41" t="n">
        <f aca="false">U143+V143</f>
        <v>17</v>
      </c>
      <c r="X143" s="42" t="n">
        <f aca="false">U143/W143</f>
        <v>0.235294117647059</v>
      </c>
      <c r="Y143" s="42" t="n">
        <f aca="false">V143/W143</f>
        <v>0.764705882352941</v>
      </c>
      <c r="Z143" s="35" t="str">
        <f aca="false">IF(W143&gt;=150, "High Demand", IF(W143&gt;=50, "Moderate Demand", "Low Demand"))</f>
        <v>Low Demand</v>
      </c>
      <c r="AA143" s="39" t="str">
        <f aca="false">TEXT(G143, "00") &amp; ":00"</f>
        <v>00:00</v>
      </c>
      <c r="AB143" s="37" t="n">
        <f aca="false">YEAR(B143)</f>
        <v>2011</v>
      </c>
      <c r="AC143" s="35" t="str">
        <f aca="false">TEXT(B143, "mmmm")</f>
        <v>January</v>
      </c>
      <c r="AD143" s="37" t="n">
        <f aca="false">LEN(TEXT(B143, "YYYY-MM-DD"))</f>
        <v>10</v>
      </c>
      <c r="AE143" s="39" t="str">
        <f aca="false">LEFT(TEXT(B143, "YYYY-MM-DD"), 4)</f>
        <v>2011</v>
      </c>
      <c r="AF143" s="39" t="str">
        <f aca="false">RIGHT(TEXT(B143, "YYYY-MM-DD"), 2)</f>
        <v>07</v>
      </c>
    </row>
    <row r="144" customFormat="false" ht="15" hidden="false" customHeight="false" outlineLevel="0" collapsed="false">
      <c r="A144" s="43" t="n">
        <v>140</v>
      </c>
      <c r="B144" s="44" t="s">
        <v>83</v>
      </c>
      <c r="C144" s="43" t="n">
        <v>1</v>
      </c>
      <c r="D144" s="33" t="str">
        <f aca="false">VLOOKUP(C144, Lookups_Metadata!$A$4:$B$7, 2, FALSE())</f>
        <v>Spring</v>
      </c>
      <c r="E144" s="43" t="n">
        <v>0</v>
      </c>
      <c r="F144" s="43" t="n">
        <v>1</v>
      </c>
      <c r="G144" s="43" t="n">
        <v>1</v>
      </c>
      <c r="H144" s="45" t="b">
        <f aca="false">FALSE()</f>
        <v>0</v>
      </c>
      <c r="I144" s="43" t="n">
        <v>5</v>
      </c>
      <c r="J144" s="33" t="str">
        <f aca="false">INDEX(Lookups_Metadata!$E$4:$E$10, MATCH(I144, Lookups_Metadata!$D$4:$D$10, 0))</f>
        <v>Friday</v>
      </c>
      <c r="K144" s="33" t="str">
        <f aca="false">IF(H144=TRUE(), "Holiday", IF(OR(I144=0, I144=6), "Weekend", "Weekday"))</f>
        <v>Weekday</v>
      </c>
      <c r="L144" s="33" t="str">
        <f aca="false">IF(AND(K144="Weekday", OR(AND(G144&gt;=7, G144&lt;=9), AND(G144&gt;=17, G144&lt;=19))), "Peak Commute", "Off-Peak")</f>
        <v>Off-Peak</v>
      </c>
      <c r="M144" s="43" t="n">
        <v>2</v>
      </c>
      <c r="N144" s="33" t="str">
        <f aca="false">VLOOKUP(M144, Lookups_Metadata!$G$4:$H$7, 2, FALSE())</f>
        <v>Mist / Cloudy</v>
      </c>
      <c r="O144" s="46" t="n">
        <v>0.2</v>
      </c>
      <c r="P144" s="46" t="n">
        <v>0.197</v>
      </c>
      <c r="Q144" s="46" t="n">
        <f aca="false">IF(OR(P144="", ISBLANK(P144)), ROUND(0.9367*O144+0.0175, 4), P144)</f>
        <v>0.197</v>
      </c>
      <c r="R144" s="33" t="str">
        <f aca="false">IF(OR(P144="", ISBLANK(P144)), "Imputed (Regression/Trend)", "Original")</f>
        <v>Original</v>
      </c>
      <c r="S144" s="46" t="n">
        <v>0.69</v>
      </c>
      <c r="T144" s="46" t="n">
        <v>0.2239</v>
      </c>
      <c r="U144" s="18" t="n">
        <v>2</v>
      </c>
      <c r="V144" s="18" t="n">
        <v>5</v>
      </c>
      <c r="W144" s="18" t="n">
        <f aca="false">U144+V144</f>
        <v>7</v>
      </c>
      <c r="X144" s="47" t="n">
        <f aca="false">U144/W144</f>
        <v>0.285714285714286</v>
      </c>
      <c r="Y144" s="47" t="n">
        <f aca="false">V144/W144</f>
        <v>0.714285714285714</v>
      </c>
      <c r="Z144" s="33" t="str">
        <f aca="false">IF(W144&gt;=150, "High Demand", IF(W144&gt;=50, "Moderate Demand", "Low Demand"))</f>
        <v>Low Demand</v>
      </c>
      <c r="AA144" s="45" t="str">
        <f aca="false">TEXT(G144, "00") &amp; ":00"</f>
        <v>01:00</v>
      </c>
      <c r="AB144" s="43" t="n">
        <f aca="false">YEAR(B144)</f>
        <v>2011</v>
      </c>
      <c r="AC144" s="33" t="str">
        <f aca="false">TEXT(B144, "mmmm")</f>
        <v>January</v>
      </c>
      <c r="AD144" s="43" t="n">
        <f aca="false">LEN(TEXT(B144, "YYYY-MM-DD"))</f>
        <v>10</v>
      </c>
      <c r="AE144" s="45" t="str">
        <f aca="false">LEFT(TEXT(B144, "YYYY-MM-DD"), 4)</f>
        <v>2011</v>
      </c>
      <c r="AF144" s="45" t="str">
        <f aca="false">RIGHT(TEXT(B144, "YYYY-MM-DD"), 2)</f>
        <v>07</v>
      </c>
    </row>
    <row r="145" customFormat="false" ht="15" hidden="false" customHeight="false" outlineLevel="0" collapsed="false">
      <c r="A145" s="37" t="n">
        <v>141</v>
      </c>
      <c r="B145" s="38" t="s">
        <v>83</v>
      </c>
      <c r="C145" s="37" t="n">
        <v>1</v>
      </c>
      <c r="D145" s="35" t="str">
        <f aca="false">VLOOKUP(C145, Lookups_Metadata!$A$4:$B$7, 2, FALSE())</f>
        <v>Spring</v>
      </c>
      <c r="E145" s="37" t="n">
        <v>0</v>
      </c>
      <c r="F145" s="37" t="n">
        <v>1</v>
      </c>
      <c r="G145" s="37" t="n">
        <v>2</v>
      </c>
      <c r="H145" s="39" t="b">
        <f aca="false">FALSE()</f>
        <v>0</v>
      </c>
      <c r="I145" s="37" t="n">
        <v>5</v>
      </c>
      <c r="J145" s="35" t="str">
        <f aca="false">INDEX(Lookups_Metadata!$E$4:$E$10, MATCH(I145, Lookups_Metadata!$D$4:$D$10, 0))</f>
        <v>Friday</v>
      </c>
      <c r="K145" s="35" t="str">
        <f aca="false">IF(H145=TRUE(), "Holiday", IF(OR(I145=0, I145=6), "Weekend", "Weekday"))</f>
        <v>Weekday</v>
      </c>
      <c r="L145" s="35" t="str">
        <f aca="false">IF(AND(K145="Weekday", OR(AND(G145&gt;=7, G145&lt;=9), AND(G145&gt;=17, G145&lt;=19))), "Peak Commute", "Off-Peak")</f>
        <v>Off-Peak</v>
      </c>
      <c r="M145" s="37" t="n">
        <v>2</v>
      </c>
      <c r="N145" s="35" t="str">
        <f aca="false">VLOOKUP(M145, Lookups_Metadata!$G$4:$H$7, 2, FALSE())</f>
        <v>Mist / Cloudy</v>
      </c>
      <c r="O145" s="40" t="n">
        <v>0.2</v>
      </c>
      <c r="P145" s="40" t="n">
        <v>0.197</v>
      </c>
      <c r="Q145" s="40" t="n">
        <f aca="false">IF(OR(P145="", ISBLANK(P145)), ROUND(0.9367*O145+0.0175, 4), P145)</f>
        <v>0.197</v>
      </c>
      <c r="R145" s="35" t="str">
        <f aca="false">IF(OR(P145="", ISBLANK(P145)), "Imputed (Regression/Trend)", "Original")</f>
        <v>Original</v>
      </c>
      <c r="S145" s="40" t="n">
        <v>0.69</v>
      </c>
      <c r="T145" s="40" t="n">
        <v>0.2239</v>
      </c>
      <c r="U145" s="41" t="n">
        <v>0</v>
      </c>
      <c r="V145" s="41" t="n">
        <v>1</v>
      </c>
      <c r="W145" s="41" t="n">
        <f aca="false">U145+V145</f>
        <v>1</v>
      </c>
      <c r="X145" s="42" t="n">
        <f aca="false">U145/W145</f>
        <v>0</v>
      </c>
      <c r="Y145" s="42" t="n">
        <f aca="false">V145/W145</f>
        <v>1</v>
      </c>
      <c r="Z145" s="35" t="str">
        <f aca="false">IF(W145&gt;=150, "High Demand", IF(W145&gt;=50, "Moderate Demand", "Low Demand"))</f>
        <v>Low Demand</v>
      </c>
      <c r="AA145" s="39" t="str">
        <f aca="false">TEXT(G145, "00") &amp; ":00"</f>
        <v>02:00</v>
      </c>
      <c r="AB145" s="37" t="n">
        <f aca="false">YEAR(B145)</f>
        <v>2011</v>
      </c>
      <c r="AC145" s="35" t="str">
        <f aca="false">TEXT(B145, "mmmm")</f>
        <v>January</v>
      </c>
      <c r="AD145" s="37" t="n">
        <f aca="false">LEN(TEXT(B145, "YYYY-MM-DD"))</f>
        <v>10</v>
      </c>
      <c r="AE145" s="39" t="str">
        <f aca="false">LEFT(TEXT(B145, "YYYY-MM-DD"), 4)</f>
        <v>2011</v>
      </c>
      <c r="AF145" s="39" t="str">
        <f aca="false">RIGHT(TEXT(B145, "YYYY-MM-DD"), 2)</f>
        <v>07</v>
      </c>
    </row>
    <row r="146" customFormat="false" ht="15" hidden="false" customHeight="false" outlineLevel="0" collapsed="false">
      <c r="A146" s="43" t="n">
        <v>142</v>
      </c>
      <c r="B146" s="44" t="s">
        <v>83</v>
      </c>
      <c r="C146" s="43" t="n">
        <v>1</v>
      </c>
      <c r="D146" s="33" t="str">
        <f aca="false">VLOOKUP(C146, Lookups_Metadata!$A$4:$B$7, 2, FALSE())</f>
        <v>Spring</v>
      </c>
      <c r="E146" s="43" t="n">
        <v>0</v>
      </c>
      <c r="F146" s="43" t="n">
        <v>1</v>
      </c>
      <c r="G146" s="43" t="n">
        <v>4</v>
      </c>
      <c r="H146" s="45" t="b">
        <f aca="false">FALSE()</f>
        <v>0</v>
      </c>
      <c r="I146" s="43" t="n">
        <v>5</v>
      </c>
      <c r="J146" s="33" t="str">
        <f aca="false">INDEX(Lookups_Metadata!$E$4:$E$10, MATCH(I146, Lookups_Metadata!$D$4:$D$10, 0))</f>
        <v>Friday</v>
      </c>
      <c r="K146" s="33" t="str">
        <f aca="false">IF(H146=TRUE(), "Holiday", IF(OR(I146=0, I146=6), "Weekend", "Weekday"))</f>
        <v>Weekday</v>
      </c>
      <c r="L146" s="33" t="str">
        <f aca="false">IF(AND(K146="Weekday", OR(AND(G146&gt;=7, G146&lt;=9), AND(G146&gt;=17, G146&lt;=19))), "Peak Commute", "Off-Peak")</f>
        <v>Off-Peak</v>
      </c>
      <c r="M146" s="43" t="n">
        <v>2</v>
      </c>
      <c r="N146" s="33" t="str">
        <f aca="false">VLOOKUP(M146, Lookups_Metadata!$G$4:$H$7, 2, FALSE())</f>
        <v>Mist / Cloudy</v>
      </c>
      <c r="O146" s="46" t="n">
        <v>0.2</v>
      </c>
      <c r="P146" s="46" t="n">
        <v>0.2121</v>
      </c>
      <c r="Q146" s="46" t="n">
        <f aca="false">IF(OR(P146="", ISBLANK(P146)), ROUND(0.9367*O146+0.0175, 4), P146)</f>
        <v>0.2121</v>
      </c>
      <c r="R146" s="33" t="str">
        <f aca="false">IF(OR(P146="", ISBLANK(P146)), "Imputed (Regression/Trend)", "Original")</f>
        <v>Original</v>
      </c>
      <c r="S146" s="46" t="n">
        <v>0.69</v>
      </c>
      <c r="T146" s="46" t="n">
        <v>0.1343</v>
      </c>
      <c r="U146" s="18" t="n">
        <v>0</v>
      </c>
      <c r="V146" s="18" t="n">
        <v>1</v>
      </c>
      <c r="W146" s="18" t="n">
        <f aca="false">U146+V146</f>
        <v>1</v>
      </c>
      <c r="X146" s="47" t="n">
        <f aca="false">U146/W146</f>
        <v>0</v>
      </c>
      <c r="Y146" s="47" t="n">
        <f aca="false">V146/W146</f>
        <v>1</v>
      </c>
      <c r="Z146" s="33" t="str">
        <f aca="false">IF(W146&gt;=150, "High Demand", IF(W146&gt;=50, "Moderate Demand", "Low Demand"))</f>
        <v>Low Demand</v>
      </c>
      <c r="AA146" s="45" t="str">
        <f aca="false">TEXT(G146, "00") &amp; ":00"</f>
        <v>04:00</v>
      </c>
      <c r="AB146" s="43" t="n">
        <f aca="false">YEAR(B146)</f>
        <v>2011</v>
      </c>
      <c r="AC146" s="33" t="str">
        <f aca="false">TEXT(B146, "mmmm")</f>
        <v>January</v>
      </c>
      <c r="AD146" s="43" t="n">
        <f aca="false">LEN(TEXT(B146, "YYYY-MM-DD"))</f>
        <v>10</v>
      </c>
      <c r="AE146" s="45" t="str">
        <f aca="false">LEFT(TEXT(B146, "YYYY-MM-DD"), 4)</f>
        <v>2011</v>
      </c>
      <c r="AF146" s="45" t="str">
        <f aca="false">RIGHT(TEXT(B146, "YYYY-MM-DD"), 2)</f>
        <v>07</v>
      </c>
    </row>
    <row r="147" customFormat="false" ht="15" hidden="false" customHeight="false" outlineLevel="0" collapsed="false">
      <c r="A147" s="37" t="n">
        <v>143</v>
      </c>
      <c r="B147" s="38" t="s">
        <v>83</v>
      </c>
      <c r="C147" s="37" t="n">
        <v>1</v>
      </c>
      <c r="D147" s="35" t="str">
        <f aca="false">VLOOKUP(C147, Lookups_Metadata!$A$4:$B$7, 2, FALSE())</f>
        <v>Spring</v>
      </c>
      <c r="E147" s="37" t="n">
        <v>0</v>
      </c>
      <c r="F147" s="37" t="n">
        <v>1</v>
      </c>
      <c r="G147" s="37" t="n">
        <v>5</v>
      </c>
      <c r="H147" s="39" t="b">
        <f aca="false">FALSE()</f>
        <v>0</v>
      </c>
      <c r="I147" s="37" t="n">
        <v>5</v>
      </c>
      <c r="J147" s="35" t="str">
        <f aca="false">INDEX(Lookups_Metadata!$E$4:$E$10, MATCH(I147, Lookups_Metadata!$D$4:$D$10, 0))</f>
        <v>Friday</v>
      </c>
      <c r="K147" s="35" t="str">
        <f aca="false">IF(H147=TRUE(), "Holiday", IF(OR(I147=0, I147=6), "Weekend", "Weekday"))</f>
        <v>Weekday</v>
      </c>
      <c r="L147" s="35" t="str">
        <f aca="false">IF(AND(K147="Weekday", OR(AND(G147&gt;=7, G147&lt;=9), AND(G147&gt;=17, G147&lt;=19))), "Peak Commute", "Off-Peak")</f>
        <v>Off-Peak</v>
      </c>
      <c r="M147" s="37" t="n">
        <v>3</v>
      </c>
      <c r="N147" s="35" t="str">
        <f aca="false">VLOOKUP(M147, Lookups_Metadata!$G$4:$H$7, 2, FALSE())</f>
        <v>Light Snow / Light Rain</v>
      </c>
      <c r="O147" s="40" t="n">
        <v>0.22</v>
      </c>
      <c r="P147" s="40" t="n">
        <v>0.2727</v>
      </c>
      <c r="Q147" s="40" t="n">
        <f aca="false">IF(OR(P147="", ISBLANK(P147)), ROUND(0.9367*O147+0.0175, 4), P147)</f>
        <v>0.2727</v>
      </c>
      <c r="R147" s="35" t="str">
        <f aca="false">IF(OR(P147="", ISBLANK(P147)), "Imputed (Regression/Trend)", "Original")</f>
        <v>Original</v>
      </c>
      <c r="S147" s="40" t="n">
        <v>0.55</v>
      </c>
      <c r="T147" s="40" t="n">
        <v>0</v>
      </c>
      <c r="U147" s="41" t="n">
        <v>0</v>
      </c>
      <c r="V147" s="41" t="n">
        <v>5</v>
      </c>
      <c r="W147" s="41" t="n">
        <f aca="false">U147+V147</f>
        <v>5</v>
      </c>
      <c r="X147" s="42" t="n">
        <f aca="false">U147/W147</f>
        <v>0</v>
      </c>
      <c r="Y147" s="42" t="n">
        <f aca="false">V147/W147</f>
        <v>1</v>
      </c>
      <c r="Z147" s="35" t="str">
        <f aca="false">IF(W147&gt;=150, "High Demand", IF(W147&gt;=50, "Moderate Demand", "Low Demand"))</f>
        <v>Low Demand</v>
      </c>
      <c r="AA147" s="39" t="str">
        <f aca="false">TEXT(G147, "00") &amp; ":00"</f>
        <v>05:00</v>
      </c>
      <c r="AB147" s="37" t="n">
        <f aca="false">YEAR(B147)</f>
        <v>2011</v>
      </c>
      <c r="AC147" s="35" t="str">
        <f aca="false">TEXT(B147, "mmmm")</f>
        <v>January</v>
      </c>
      <c r="AD147" s="37" t="n">
        <f aca="false">LEN(TEXT(B147, "YYYY-MM-DD"))</f>
        <v>10</v>
      </c>
      <c r="AE147" s="39" t="str">
        <f aca="false">LEFT(TEXT(B147, "YYYY-MM-DD"), 4)</f>
        <v>2011</v>
      </c>
      <c r="AF147" s="39" t="str">
        <f aca="false">RIGHT(TEXT(B147, "YYYY-MM-DD"), 2)</f>
        <v>07</v>
      </c>
    </row>
    <row r="148" customFormat="false" ht="15" hidden="false" customHeight="false" outlineLevel="0" collapsed="false">
      <c r="A148" s="43" t="n">
        <v>144</v>
      </c>
      <c r="B148" s="44" t="s">
        <v>83</v>
      </c>
      <c r="C148" s="43" t="n">
        <v>1</v>
      </c>
      <c r="D148" s="33" t="str">
        <f aca="false">VLOOKUP(C148, Lookups_Metadata!$A$4:$B$7, 2, FALSE())</f>
        <v>Spring</v>
      </c>
      <c r="E148" s="43" t="n">
        <v>0</v>
      </c>
      <c r="F148" s="43" t="n">
        <v>1</v>
      </c>
      <c r="G148" s="43" t="n">
        <v>6</v>
      </c>
      <c r="H148" s="45" t="b">
        <f aca="false">FALSE()</f>
        <v>0</v>
      </c>
      <c r="I148" s="43" t="n">
        <v>5</v>
      </c>
      <c r="J148" s="33" t="str">
        <f aca="false">INDEX(Lookups_Metadata!$E$4:$E$10, MATCH(I148, Lookups_Metadata!$D$4:$D$10, 0))</f>
        <v>Friday</v>
      </c>
      <c r="K148" s="33" t="str">
        <f aca="false">IF(H148=TRUE(), "Holiday", IF(OR(I148=0, I148=6), "Weekend", "Weekday"))</f>
        <v>Weekday</v>
      </c>
      <c r="L148" s="33" t="str">
        <f aca="false">IF(AND(K148="Weekday", OR(AND(G148&gt;=7, G148&lt;=9), AND(G148&gt;=17, G148&lt;=19))), "Peak Commute", "Off-Peak")</f>
        <v>Off-Peak</v>
      </c>
      <c r="M148" s="43" t="n">
        <v>2</v>
      </c>
      <c r="N148" s="33" t="str">
        <f aca="false">VLOOKUP(M148, Lookups_Metadata!$G$4:$H$7, 2, FALSE())</f>
        <v>Mist / Cloudy</v>
      </c>
      <c r="O148" s="46" t="n">
        <v>0.2</v>
      </c>
      <c r="P148" s="46" t="n">
        <v>0.2576</v>
      </c>
      <c r="Q148" s="46" t="n">
        <f aca="false">IF(OR(P148="", ISBLANK(P148)), ROUND(0.9367*O148+0.0175, 4), P148)</f>
        <v>0.2576</v>
      </c>
      <c r="R148" s="33" t="str">
        <f aca="false">IF(OR(P148="", ISBLANK(P148)), "Imputed (Regression/Trend)", "Original")</f>
        <v>Original</v>
      </c>
      <c r="S148" s="46" t="n">
        <v>0.69</v>
      </c>
      <c r="T148" s="46" t="n">
        <v>0</v>
      </c>
      <c r="U148" s="18" t="n">
        <v>8</v>
      </c>
      <c r="V148" s="18" t="n">
        <v>26</v>
      </c>
      <c r="W148" s="18" t="n">
        <f aca="false">U148+V148</f>
        <v>34</v>
      </c>
      <c r="X148" s="47" t="n">
        <f aca="false">U148/W148</f>
        <v>0.235294117647059</v>
      </c>
      <c r="Y148" s="47" t="n">
        <f aca="false">V148/W148</f>
        <v>0.764705882352941</v>
      </c>
      <c r="Z148" s="33" t="str">
        <f aca="false">IF(W148&gt;=150, "High Demand", IF(W148&gt;=50, "Moderate Demand", "Low Demand"))</f>
        <v>Low Demand</v>
      </c>
      <c r="AA148" s="45" t="str">
        <f aca="false">TEXT(G148, "00") &amp; ":00"</f>
        <v>06:00</v>
      </c>
      <c r="AB148" s="43" t="n">
        <f aca="false">YEAR(B148)</f>
        <v>2011</v>
      </c>
      <c r="AC148" s="33" t="str">
        <f aca="false">TEXT(B148, "mmmm")</f>
        <v>January</v>
      </c>
      <c r="AD148" s="43" t="n">
        <f aca="false">LEN(TEXT(B148, "YYYY-MM-DD"))</f>
        <v>10</v>
      </c>
      <c r="AE148" s="45" t="str">
        <f aca="false">LEFT(TEXT(B148, "YYYY-MM-DD"), 4)</f>
        <v>2011</v>
      </c>
      <c r="AF148" s="45" t="str">
        <f aca="false">RIGHT(TEXT(B148, "YYYY-MM-DD"), 2)</f>
        <v>07</v>
      </c>
    </row>
    <row r="149" customFormat="false" ht="15" hidden="false" customHeight="false" outlineLevel="0" collapsed="false">
      <c r="A149" s="37" t="n">
        <v>145</v>
      </c>
      <c r="B149" s="38" t="s">
        <v>83</v>
      </c>
      <c r="C149" s="37" t="n">
        <v>1</v>
      </c>
      <c r="D149" s="35" t="str">
        <f aca="false">VLOOKUP(C149, Lookups_Metadata!$A$4:$B$7, 2, FALSE())</f>
        <v>Spring</v>
      </c>
      <c r="E149" s="37" t="n">
        <v>0</v>
      </c>
      <c r="F149" s="37" t="n">
        <v>1</v>
      </c>
      <c r="G149" s="37" t="n">
        <v>7</v>
      </c>
      <c r="H149" s="39" t="b">
        <f aca="false">FALSE()</f>
        <v>0</v>
      </c>
      <c r="I149" s="37" t="n">
        <v>5</v>
      </c>
      <c r="J149" s="35" t="str">
        <f aca="false">INDEX(Lookups_Metadata!$E$4:$E$10, MATCH(I149, Lookups_Metadata!$D$4:$D$10, 0))</f>
        <v>Friday</v>
      </c>
      <c r="K149" s="35" t="str">
        <f aca="false">IF(H149=TRUE(), "Holiday", IF(OR(I149=0, I149=6), "Weekend", "Weekday"))</f>
        <v>Weekday</v>
      </c>
      <c r="L149" s="35" t="str">
        <f aca="false">IF(AND(K149="Weekday", OR(AND(G149&gt;=7, G149&lt;=9), AND(G149&gt;=17, G149&lt;=19))), "Peak Commute", "Off-Peak")</f>
        <v>Peak Commute</v>
      </c>
      <c r="M149" s="37" t="n">
        <v>1</v>
      </c>
      <c r="N149" s="35" t="str">
        <f aca="false">VLOOKUP(M149, Lookups_Metadata!$G$4:$H$7, 2, FALSE())</f>
        <v>Clear / Few Clouds</v>
      </c>
      <c r="O149" s="40" t="n">
        <v>0.2</v>
      </c>
      <c r="P149" s="40" t="n">
        <v>0.2121</v>
      </c>
      <c r="Q149" s="40" t="n">
        <f aca="false">IF(OR(P149="", ISBLANK(P149)), ROUND(0.9367*O149+0.0175, 4), P149)</f>
        <v>0.2121</v>
      </c>
      <c r="R149" s="35" t="str">
        <f aca="false">IF(OR(P149="", ISBLANK(P149)), "Imputed (Regression/Trend)", "Original")</f>
        <v>Original</v>
      </c>
      <c r="S149" s="40" t="n">
        <v>0.69</v>
      </c>
      <c r="T149" s="40" t="n">
        <v>0.1343</v>
      </c>
      <c r="U149" s="41" t="n">
        <v>8</v>
      </c>
      <c r="V149" s="41" t="n">
        <v>76</v>
      </c>
      <c r="W149" s="41" t="n">
        <f aca="false">U149+V149</f>
        <v>84</v>
      </c>
      <c r="X149" s="42" t="n">
        <f aca="false">U149/W149</f>
        <v>0.0952380952380952</v>
      </c>
      <c r="Y149" s="42" t="n">
        <f aca="false">V149/W149</f>
        <v>0.904761904761905</v>
      </c>
      <c r="Z149" s="35" t="str">
        <f aca="false">IF(W149&gt;=150, "High Demand", IF(W149&gt;=50, "Moderate Demand", "Low Demand"))</f>
        <v>Moderate Demand</v>
      </c>
      <c r="AA149" s="39" t="str">
        <f aca="false">TEXT(G149, "00") &amp; ":00"</f>
        <v>07:00</v>
      </c>
      <c r="AB149" s="37" t="n">
        <f aca="false">YEAR(B149)</f>
        <v>2011</v>
      </c>
      <c r="AC149" s="35" t="str">
        <f aca="false">TEXT(B149, "mmmm")</f>
        <v>January</v>
      </c>
      <c r="AD149" s="37" t="n">
        <f aca="false">LEN(TEXT(B149, "YYYY-MM-DD"))</f>
        <v>10</v>
      </c>
      <c r="AE149" s="39" t="str">
        <f aca="false">LEFT(TEXT(B149, "YYYY-MM-DD"), 4)</f>
        <v>2011</v>
      </c>
      <c r="AF149" s="39" t="str">
        <f aca="false">RIGHT(TEXT(B149, "YYYY-MM-DD"), 2)</f>
        <v>07</v>
      </c>
    </row>
    <row r="150" customFormat="false" ht="15" hidden="false" customHeight="false" outlineLevel="0" collapsed="false">
      <c r="A150" s="43" t="n">
        <v>146</v>
      </c>
      <c r="B150" s="44" t="s">
        <v>83</v>
      </c>
      <c r="C150" s="43" t="n">
        <v>1</v>
      </c>
      <c r="D150" s="33" t="str">
        <f aca="false">VLOOKUP(C150, Lookups_Metadata!$A$4:$B$7, 2, FALSE())</f>
        <v>Spring</v>
      </c>
      <c r="E150" s="43" t="n">
        <v>0</v>
      </c>
      <c r="F150" s="43" t="n">
        <v>1</v>
      </c>
      <c r="G150" s="43" t="n">
        <v>8</v>
      </c>
      <c r="H150" s="45" t="b">
        <f aca="false">FALSE()</f>
        <v>0</v>
      </c>
      <c r="I150" s="43" t="n">
        <v>5</v>
      </c>
      <c r="J150" s="33" t="str">
        <f aca="false">INDEX(Lookups_Metadata!$E$4:$E$10, MATCH(I150, Lookups_Metadata!$D$4:$D$10, 0))</f>
        <v>Friday</v>
      </c>
      <c r="K150" s="33" t="str">
        <f aca="false">IF(H150=TRUE(), "Holiday", IF(OR(I150=0, I150=6), "Weekend", "Weekday"))</f>
        <v>Weekday</v>
      </c>
      <c r="L150" s="33" t="str">
        <f aca="false">IF(AND(K150="Weekday", OR(AND(G150&gt;=7, G150&lt;=9), AND(G150&gt;=17, G150&lt;=19))), "Peak Commute", "Off-Peak")</f>
        <v>Peak Commute</v>
      </c>
      <c r="M150" s="43" t="n">
        <v>1</v>
      </c>
      <c r="N150" s="33" t="str">
        <f aca="false">VLOOKUP(M150, Lookups_Metadata!$G$4:$H$7, 2, FALSE())</f>
        <v>Clear / Few Clouds</v>
      </c>
      <c r="O150" s="46" t="n">
        <v>0.2</v>
      </c>
      <c r="P150" s="46" t="n">
        <v>0.197</v>
      </c>
      <c r="Q150" s="46" t="n">
        <f aca="false">IF(OR(P150="", ISBLANK(P150)), ROUND(0.9367*O150+0.0175, 4), P150)</f>
        <v>0.197</v>
      </c>
      <c r="R150" s="33" t="str">
        <f aca="false">IF(OR(P150="", ISBLANK(P150)), "Imputed (Regression/Trend)", "Original")</f>
        <v>Original</v>
      </c>
      <c r="S150" s="46" t="n">
        <v>0.51</v>
      </c>
      <c r="T150" s="46" t="n">
        <v>0.2537</v>
      </c>
      <c r="U150" s="18" t="n">
        <v>20</v>
      </c>
      <c r="V150" s="18" t="n">
        <v>190</v>
      </c>
      <c r="W150" s="18" t="n">
        <f aca="false">U150+V150</f>
        <v>210</v>
      </c>
      <c r="X150" s="47" t="n">
        <f aca="false">U150/W150</f>
        <v>0.0952380952380952</v>
      </c>
      <c r="Y150" s="47" t="n">
        <f aca="false">V150/W150</f>
        <v>0.904761904761905</v>
      </c>
      <c r="Z150" s="33" t="str">
        <f aca="false">IF(W150&gt;=150, "High Demand", IF(W150&gt;=50, "Moderate Demand", "Low Demand"))</f>
        <v>High Demand</v>
      </c>
      <c r="AA150" s="45" t="str">
        <f aca="false">TEXT(G150, "00") &amp; ":00"</f>
        <v>08:00</v>
      </c>
      <c r="AB150" s="43" t="n">
        <f aca="false">YEAR(B150)</f>
        <v>2011</v>
      </c>
      <c r="AC150" s="33" t="str">
        <f aca="false">TEXT(B150, "mmmm")</f>
        <v>January</v>
      </c>
      <c r="AD150" s="43" t="n">
        <f aca="false">LEN(TEXT(B150, "YYYY-MM-DD"))</f>
        <v>10</v>
      </c>
      <c r="AE150" s="45" t="str">
        <f aca="false">LEFT(TEXT(B150, "YYYY-MM-DD"), 4)</f>
        <v>2011</v>
      </c>
      <c r="AF150" s="45" t="str">
        <f aca="false">RIGHT(TEXT(B150, "YYYY-MM-DD"), 2)</f>
        <v>07</v>
      </c>
    </row>
    <row r="151" customFormat="false" ht="15" hidden="false" customHeight="false" outlineLevel="0" collapsed="false">
      <c r="A151" s="37" t="n">
        <v>147</v>
      </c>
      <c r="B151" s="38" t="s">
        <v>83</v>
      </c>
      <c r="C151" s="37" t="n">
        <v>1</v>
      </c>
      <c r="D151" s="35" t="str">
        <f aca="false">VLOOKUP(C151, Lookups_Metadata!$A$4:$B$7, 2, FALSE())</f>
        <v>Spring</v>
      </c>
      <c r="E151" s="37" t="n">
        <v>0</v>
      </c>
      <c r="F151" s="37" t="n">
        <v>1</v>
      </c>
      <c r="G151" s="37" t="n">
        <v>9</v>
      </c>
      <c r="H151" s="39" t="b">
        <f aca="false">FALSE()</f>
        <v>0</v>
      </c>
      <c r="I151" s="37" t="n">
        <v>5</v>
      </c>
      <c r="J151" s="35" t="str">
        <f aca="false">INDEX(Lookups_Metadata!$E$4:$E$10, MATCH(I151, Lookups_Metadata!$D$4:$D$10, 0))</f>
        <v>Friday</v>
      </c>
      <c r="K151" s="35" t="str">
        <f aca="false">IF(H151=TRUE(), "Holiday", IF(OR(I151=0, I151=6), "Weekend", "Weekday"))</f>
        <v>Weekday</v>
      </c>
      <c r="L151" s="35" t="str">
        <f aca="false">IF(AND(K151="Weekday", OR(AND(G151&gt;=7, G151&lt;=9), AND(G151&gt;=17, G151&lt;=19))), "Peak Commute", "Off-Peak")</f>
        <v>Peak Commute</v>
      </c>
      <c r="M151" s="37" t="n">
        <v>1</v>
      </c>
      <c r="N151" s="35" t="str">
        <f aca="false">VLOOKUP(M151, Lookups_Metadata!$G$4:$H$7, 2, FALSE())</f>
        <v>Clear / Few Clouds</v>
      </c>
      <c r="O151" s="40" t="n">
        <v>0.2</v>
      </c>
      <c r="P151" s="40" t="n">
        <v>0.1818</v>
      </c>
      <c r="Q151" s="40" t="n">
        <f aca="false">IF(OR(P151="", ISBLANK(P151)), ROUND(0.9367*O151+0.0175, 4), P151)</f>
        <v>0.1818</v>
      </c>
      <c r="R151" s="35" t="str">
        <f aca="false">IF(OR(P151="", ISBLANK(P151)), "Imputed (Regression/Trend)", "Original")</f>
        <v>Original</v>
      </c>
      <c r="S151" s="40" t="n">
        <v>0.47</v>
      </c>
      <c r="T151" s="40" t="n">
        <v>0.2985</v>
      </c>
      <c r="U151" s="41" t="n">
        <v>9</v>
      </c>
      <c r="V151" s="41" t="n">
        <v>125</v>
      </c>
      <c r="W151" s="41" t="n">
        <f aca="false">U151+V151</f>
        <v>134</v>
      </c>
      <c r="X151" s="42" t="n">
        <f aca="false">U151/W151</f>
        <v>0.0671641791044776</v>
      </c>
      <c r="Y151" s="42" t="n">
        <f aca="false">V151/W151</f>
        <v>0.932835820895522</v>
      </c>
      <c r="Z151" s="35" t="str">
        <f aca="false">IF(W151&gt;=150, "High Demand", IF(W151&gt;=50, "Moderate Demand", "Low Demand"))</f>
        <v>Moderate Demand</v>
      </c>
      <c r="AA151" s="39" t="str">
        <f aca="false">TEXT(G151, "00") &amp; ":00"</f>
        <v>09:00</v>
      </c>
      <c r="AB151" s="37" t="n">
        <f aca="false">YEAR(B151)</f>
        <v>2011</v>
      </c>
      <c r="AC151" s="35" t="str">
        <f aca="false">TEXT(B151, "mmmm")</f>
        <v>January</v>
      </c>
      <c r="AD151" s="37" t="n">
        <f aca="false">LEN(TEXT(B151, "YYYY-MM-DD"))</f>
        <v>10</v>
      </c>
      <c r="AE151" s="39" t="str">
        <f aca="false">LEFT(TEXT(B151, "YYYY-MM-DD"), 4)</f>
        <v>2011</v>
      </c>
      <c r="AF151" s="39" t="str">
        <f aca="false">RIGHT(TEXT(B151, "YYYY-MM-DD"), 2)</f>
        <v>07</v>
      </c>
    </row>
    <row r="152" customFormat="false" ht="15" hidden="false" customHeight="false" outlineLevel="0" collapsed="false">
      <c r="A152" s="43" t="n">
        <v>148</v>
      </c>
      <c r="B152" s="44" t="s">
        <v>83</v>
      </c>
      <c r="C152" s="43" t="n">
        <v>1</v>
      </c>
      <c r="D152" s="33" t="str">
        <f aca="false">VLOOKUP(C152, Lookups_Metadata!$A$4:$B$7, 2, FALSE())</f>
        <v>Spring</v>
      </c>
      <c r="E152" s="43" t="n">
        <v>0</v>
      </c>
      <c r="F152" s="43" t="n">
        <v>1</v>
      </c>
      <c r="G152" s="43" t="n">
        <v>10</v>
      </c>
      <c r="H152" s="45" t="b">
        <f aca="false">FALSE()</f>
        <v>0</v>
      </c>
      <c r="I152" s="43" t="n">
        <v>5</v>
      </c>
      <c r="J152" s="33" t="str">
        <f aca="false">INDEX(Lookups_Metadata!$E$4:$E$10, MATCH(I152, Lookups_Metadata!$D$4:$D$10, 0))</f>
        <v>Friday</v>
      </c>
      <c r="K152" s="33" t="str">
        <f aca="false">IF(H152=TRUE(), "Holiday", IF(OR(I152=0, I152=6), "Weekend", "Weekday"))</f>
        <v>Weekday</v>
      </c>
      <c r="L152" s="33" t="str">
        <f aca="false">IF(AND(K152="Weekday", OR(AND(G152&gt;=7, G152&lt;=9), AND(G152&gt;=17, G152&lt;=19))), "Peak Commute", "Off-Peak")</f>
        <v>Off-Peak</v>
      </c>
      <c r="M152" s="43" t="n">
        <v>1</v>
      </c>
      <c r="N152" s="33" t="str">
        <f aca="false">VLOOKUP(M152, Lookups_Metadata!$G$4:$H$7, 2, FALSE())</f>
        <v>Clear / Few Clouds</v>
      </c>
      <c r="O152" s="46" t="n">
        <v>0.22</v>
      </c>
      <c r="P152" s="46" t="n">
        <v>0.197</v>
      </c>
      <c r="Q152" s="46" t="n">
        <f aca="false">IF(OR(P152="", ISBLANK(P152)), ROUND(0.9367*O152+0.0175, 4), P152)</f>
        <v>0.197</v>
      </c>
      <c r="R152" s="33" t="str">
        <f aca="false">IF(OR(P152="", ISBLANK(P152)), "Imputed (Regression/Trend)", "Original")</f>
        <v>Original</v>
      </c>
      <c r="S152" s="46" t="n">
        <v>0.37</v>
      </c>
      <c r="T152" s="46" t="n">
        <v>0.3284</v>
      </c>
      <c r="U152" s="18" t="n">
        <v>16</v>
      </c>
      <c r="V152" s="18" t="n">
        <v>47</v>
      </c>
      <c r="W152" s="18" t="n">
        <f aca="false">U152+V152</f>
        <v>63</v>
      </c>
      <c r="X152" s="47" t="n">
        <f aca="false">U152/W152</f>
        <v>0.253968253968254</v>
      </c>
      <c r="Y152" s="47" t="n">
        <f aca="false">V152/W152</f>
        <v>0.746031746031746</v>
      </c>
      <c r="Z152" s="33" t="str">
        <f aca="false">IF(W152&gt;=150, "High Demand", IF(W152&gt;=50, "Moderate Demand", "Low Demand"))</f>
        <v>Moderate Demand</v>
      </c>
      <c r="AA152" s="45" t="str">
        <f aca="false">TEXT(G152, "00") &amp; ":00"</f>
        <v>10:00</v>
      </c>
      <c r="AB152" s="43" t="n">
        <f aca="false">YEAR(B152)</f>
        <v>2011</v>
      </c>
      <c r="AC152" s="33" t="str">
        <f aca="false">TEXT(B152, "mmmm")</f>
        <v>January</v>
      </c>
      <c r="AD152" s="43" t="n">
        <f aca="false">LEN(TEXT(B152, "YYYY-MM-DD"))</f>
        <v>10</v>
      </c>
      <c r="AE152" s="45" t="str">
        <f aca="false">LEFT(TEXT(B152, "YYYY-MM-DD"), 4)</f>
        <v>2011</v>
      </c>
      <c r="AF152" s="45" t="str">
        <f aca="false">RIGHT(TEXT(B152, "YYYY-MM-DD"), 2)</f>
        <v>07</v>
      </c>
    </row>
    <row r="153" customFormat="false" ht="15" hidden="false" customHeight="false" outlineLevel="0" collapsed="false">
      <c r="A153" s="37" t="n">
        <v>149</v>
      </c>
      <c r="B153" s="38" t="s">
        <v>83</v>
      </c>
      <c r="C153" s="37" t="n">
        <v>1</v>
      </c>
      <c r="D153" s="35" t="str">
        <f aca="false">VLOOKUP(C153, Lookups_Metadata!$A$4:$B$7, 2, FALSE())</f>
        <v>Spring</v>
      </c>
      <c r="E153" s="37" t="n">
        <v>0</v>
      </c>
      <c r="F153" s="37" t="n">
        <v>1</v>
      </c>
      <c r="G153" s="37" t="n">
        <v>11</v>
      </c>
      <c r="H153" s="39" t="b">
        <f aca="false">FALSE()</f>
        <v>0</v>
      </c>
      <c r="I153" s="37" t="n">
        <v>5</v>
      </c>
      <c r="J153" s="35" t="str">
        <f aca="false">INDEX(Lookups_Metadata!$E$4:$E$10, MATCH(I153, Lookups_Metadata!$D$4:$D$10, 0))</f>
        <v>Friday</v>
      </c>
      <c r="K153" s="35" t="str">
        <f aca="false">IF(H153=TRUE(), "Holiday", IF(OR(I153=0, I153=6), "Weekend", "Weekday"))</f>
        <v>Weekday</v>
      </c>
      <c r="L153" s="35" t="str">
        <f aca="false">IF(AND(K153="Weekday", OR(AND(G153&gt;=7, G153&lt;=9), AND(G153&gt;=17, G153&lt;=19))), "Peak Commute", "Off-Peak")</f>
        <v>Off-Peak</v>
      </c>
      <c r="M153" s="37" t="n">
        <v>2</v>
      </c>
      <c r="N153" s="35" t="str">
        <f aca="false">VLOOKUP(M153, Lookups_Metadata!$G$4:$H$7, 2, FALSE())</f>
        <v>Mist / Cloudy</v>
      </c>
      <c r="O153" s="40" t="n">
        <v>0.2</v>
      </c>
      <c r="P153" s="40" t="n">
        <v>0.197</v>
      </c>
      <c r="Q153" s="40" t="n">
        <f aca="false">IF(OR(P153="", ISBLANK(P153)), ROUND(0.9367*O153+0.0175, 4), P153)</f>
        <v>0.197</v>
      </c>
      <c r="R153" s="35" t="str">
        <f aca="false">IF(OR(P153="", ISBLANK(P153)), "Imputed (Regression/Trend)", "Original")</f>
        <v>Original</v>
      </c>
      <c r="S153" s="40" t="n">
        <v>0.4</v>
      </c>
      <c r="T153" s="40" t="n">
        <v>0.2239</v>
      </c>
      <c r="U153" s="41" t="n">
        <v>19</v>
      </c>
      <c r="V153" s="41" t="n">
        <v>48</v>
      </c>
      <c r="W153" s="41" t="n">
        <f aca="false">U153+V153</f>
        <v>67</v>
      </c>
      <c r="X153" s="42" t="n">
        <f aca="false">U153/W153</f>
        <v>0.283582089552239</v>
      </c>
      <c r="Y153" s="42" t="n">
        <f aca="false">V153/W153</f>
        <v>0.716417910447761</v>
      </c>
      <c r="Z153" s="35" t="str">
        <f aca="false">IF(W153&gt;=150, "High Demand", IF(W153&gt;=50, "Moderate Demand", "Low Demand"))</f>
        <v>Moderate Demand</v>
      </c>
      <c r="AA153" s="39" t="str">
        <f aca="false">TEXT(G153, "00") &amp; ":00"</f>
        <v>11:00</v>
      </c>
      <c r="AB153" s="37" t="n">
        <f aca="false">YEAR(B153)</f>
        <v>2011</v>
      </c>
      <c r="AC153" s="35" t="str">
        <f aca="false">TEXT(B153, "mmmm")</f>
        <v>January</v>
      </c>
      <c r="AD153" s="37" t="n">
        <f aca="false">LEN(TEXT(B153, "YYYY-MM-DD"))</f>
        <v>10</v>
      </c>
      <c r="AE153" s="39" t="str">
        <f aca="false">LEFT(TEXT(B153, "YYYY-MM-DD"), 4)</f>
        <v>2011</v>
      </c>
      <c r="AF153" s="39" t="str">
        <f aca="false">RIGHT(TEXT(B153, "YYYY-MM-DD"), 2)</f>
        <v>07</v>
      </c>
    </row>
    <row r="154" customFormat="false" ht="15" hidden="false" customHeight="false" outlineLevel="0" collapsed="false">
      <c r="A154" s="43" t="n">
        <v>150</v>
      </c>
      <c r="B154" s="44" t="s">
        <v>83</v>
      </c>
      <c r="C154" s="43" t="n">
        <v>1</v>
      </c>
      <c r="D154" s="33" t="str">
        <f aca="false">VLOOKUP(C154, Lookups_Metadata!$A$4:$B$7, 2, FALSE())</f>
        <v>Spring</v>
      </c>
      <c r="E154" s="43" t="n">
        <v>0</v>
      </c>
      <c r="F154" s="43" t="n">
        <v>1</v>
      </c>
      <c r="G154" s="43" t="n">
        <v>12</v>
      </c>
      <c r="H154" s="45" t="b">
        <f aca="false">FALSE()</f>
        <v>0</v>
      </c>
      <c r="I154" s="43" t="n">
        <v>5</v>
      </c>
      <c r="J154" s="33" t="str">
        <f aca="false">INDEX(Lookups_Metadata!$E$4:$E$10, MATCH(I154, Lookups_Metadata!$D$4:$D$10, 0))</f>
        <v>Friday</v>
      </c>
      <c r="K154" s="33" t="str">
        <f aca="false">IF(H154=TRUE(), "Holiday", IF(OR(I154=0, I154=6), "Weekend", "Weekday"))</f>
        <v>Weekday</v>
      </c>
      <c r="L154" s="33" t="str">
        <f aca="false">IF(AND(K154="Weekday", OR(AND(G154&gt;=7, G154&lt;=9), AND(G154&gt;=17, G154&lt;=19))), "Peak Commute", "Off-Peak")</f>
        <v>Off-Peak</v>
      </c>
      <c r="M154" s="43" t="n">
        <v>2</v>
      </c>
      <c r="N154" s="33" t="str">
        <f aca="false">VLOOKUP(M154, Lookups_Metadata!$G$4:$H$7, 2, FALSE())</f>
        <v>Mist / Cloudy</v>
      </c>
      <c r="O154" s="46" t="n">
        <v>0.2</v>
      </c>
      <c r="P154" s="46" t="n">
        <v>0.197</v>
      </c>
      <c r="Q154" s="46" t="n">
        <f aca="false">IF(OR(P154="", ISBLANK(P154)), ROUND(0.9367*O154+0.0175, 4), P154)</f>
        <v>0.197</v>
      </c>
      <c r="R154" s="33" t="str">
        <f aca="false">IF(OR(P154="", ISBLANK(P154)), "Imputed (Regression/Trend)", "Original")</f>
        <v>Original</v>
      </c>
      <c r="S154" s="46" t="n">
        <v>0.37</v>
      </c>
      <c r="T154" s="46" t="n">
        <v>0.2537</v>
      </c>
      <c r="U154" s="18" t="n">
        <v>9</v>
      </c>
      <c r="V154" s="18" t="n">
        <v>50</v>
      </c>
      <c r="W154" s="18" t="n">
        <f aca="false">U154+V154</f>
        <v>59</v>
      </c>
      <c r="X154" s="47" t="n">
        <f aca="false">U154/W154</f>
        <v>0.152542372881356</v>
      </c>
      <c r="Y154" s="47" t="n">
        <f aca="false">V154/W154</f>
        <v>0.847457627118644</v>
      </c>
      <c r="Z154" s="33" t="str">
        <f aca="false">IF(W154&gt;=150, "High Demand", IF(W154&gt;=50, "Moderate Demand", "Low Demand"))</f>
        <v>Moderate Demand</v>
      </c>
      <c r="AA154" s="45" t="str">
        <f aca="false">TEXT(G154, "00") &amp; ":00"</f>
        <v>12:00</v>
      </c>
      <c r="AB154" s="43" t="n">
        <f aca="false">YEAR(B154)</f>
        <v>2011</v>
      </c>
      <c r="AC154" s="33" t="str">
        <f aca="false">TEXT(B154, "mmmm")</f>
        <v>January</v>
      </c>
      <c r="AD154" s="43" t="n">
        <f aca="false">LEN(TEXT(B154, "YYYY-MM-DD"))</f>
        <v>10</v>
      </c>
      <c r="AE154" s="45" t="str">
        <f aca="false">LEFT(TEXT(B154, "YYYY-MM-DD"), 4)</f>
        <v>2011</v>
      </c>
      <c r="AF154" s="45" t="str">
        <f aca="false">RIGHT(TEXT(B154, "YYYY-MM-DD"), 2)</f>
        <v>07</v>
      </c>
    </row>
    <row r="155" customFormat="false" ht="15" hidden="false" customHeight="false" outlineLevel="0" collapsed="false">
      <c r="A155" s="37" t="n">
        <v>151</v>
      </c>
      <c r="B155" s="38" t="s">
        <v>83</v>
      </c>
      <c r="C155" s="37" t="n">
        <v>1</v>
      </c>
      <c r="D155" s="35" t="str">
        <f aca="false">VLOOKUP(C155, Lookups_Metadata!$A$4:$B$7, 2, FALSE())</f>
        <v>Spring</v>
      </c>
      <c r="E155" s="37" t="n">
        <v>0</v>
      </c>
      <c r="F155" s="37" t="n">
        <v>1</v>
      </c>
      <c r="G155" s="37" t="n">
        <v>13</v>
      </c>
      <c r="H155" s="39" t="b">
        <f aca="false">FALSE()</f>
        <v>0</v>
      </c>
      <c r="I155" s="37" t="n">
        <v>5</v>
      </c>
      <c r="J155" s="35" t="str">
        <f aca="false">INDEX(Lookups_Metadata!$E$4:$E$10, MATCH(I155, Lookups_Metadata!$D$4:$D$10, 0))</f>
        <v>Friday</v>
      </c>
      <c r="K155" s="35" t="str">
        <f aca="false">IF(H155=TRUE(), "Holiday", IF(OR(I155=0, I155=6), "Weekend", "Weekday"))</f>
        <v>Weekday</v>
      </c>
      <c r="L155" s="35" t="str">
        <f aca="false">IF(AND(K155="Weekday", OR(AND(G155&gt;=7, G155&lt;=9), AND(G155&gt;=17, G155&lt;=19))), "Peak Commute", "Off-Peak")</f>
        <v>Off-Peak</v>
      </c>
      <c r="M155" s="37" t="n">
        <v>2</v>
      </c>
      <c r="N155" s="35" t="str">
        <f aca="false">VLOOKUP(M155, Lookups_Metadata!$G$4:$H$7, 2, FALSE())</f>
        <v>Mist / Cloudy</v>
      </c>
      <c r="O155" s="40" t="n">
        <v>0.2</v>
      </c>
      <c r="P155" s="40" t="n">
        <v>0.1818</v>
      </c>
      <c r="Q155" s="40" t="n">
        <f aca="false">IF(OR(P155="", ISBLANK(P155)), ROUND(0.9367*O155+0.0175, 4), P155)</f>
        <v>0.1818</v>
      </c>
      <c r="R155" s="35" t="str">
        <f aca="false">IF(OR(P155="", ISBLANK(P155)), "Imputed (Regression/Trend)", "Original")</f>
        <v>Original</v>
      </c>
      <c r="S155" s="40" t="n">
        <v>0.37</v>
      </c>
      <c r="T155" s="40" t="n">
        <v>0.2836</v>
      </c>
      <c r="U155" s="41" t="n">
        <v>9</v>
      </c>
      <c r="V155" s="41" t="n">
        <v>64</v>
      </c>
      <c r="W155" s="41" t="n">
        <f aca="false">U155+V155</f>
        <v>73</v>
      </c>
      <c r="X155" s="42" t="n">
        <f aca="false">U155/W155</f>
        <v>0.123287671232877</v>
      </c>
      <c r="Y155" s="42" t="n">
        <f aca="false">V155/W155</f>
        <v>0.876712328767123</v>
      </c>
      <c r="Z155" s="35" t="str">
        <f aca="false">IF(W155&gt;=150, "High Demand", IF(W155&gt;=50, "Moderate Demand", "Low Demand"))</f>
        <v>Moderate Demand</v>
      </c>
      <c r="AA155" s="39" t="str">
        <f aca="false">TEXT(G155, "00") &amp; ":00"</f>
        <v>13:00</v>
      </c>
      <c r="AB155" s="37" t="n">
        <f aca="false">YEAR(B155)</f>
        <v>2011</v>
      </c>
      <c r="AC155" s="35" t="str">
        <f aca="false">TEXT(B155, "mmmm")</f>
        <v>January</v>
      </c>
      <c r="AD155" s="37" t="n">
        <f aca="false">LEN(TEXT(B155, "YYYY-MM-DD"))</f>
        <v>10</v>
      </c>
      <c r="AE155" s="39" t="str">
        <f aca="false">LEFT(TEXT(B155, "YYYY-MM-DD"), 4)</f>
        <v>2011</v>
      </c>
      <c r="AF155" s="39" t="str">
        <f aca="false">RIGHT(TEXT(B155, "YYYY-MM-DD"), 2)</f>
        <v>07</v>
      </c>
    </row>
    <row r="156" customFormat="false" ht="15" hidden="false" customHeight="false" outlineLevel="0" collapsed="false">
      <c r="A156" s="43" t="n">
        <v>152</v>
      </c>
      <c r="B156" s="44" t="s">
        <v>83</v>
      </c>
      <c r="C156" s="43" t="n">
        <v>1</v>
      </c>
      <c r="D156" s="33" t="str">
        <f aca="false">VLOOKUP(C156, Lookups_Metadata!$A$4:$B$7, 2, FALSE())</f>
        <v>Spring</v>
      </c>
      <c r="E156" s="43" t="n">
        <v>0</v>
      </c>
      <c r="F156" s="43" t="n">
        <v>1</v>
      </c>
      <c r="G156" s="43" t="n">
        <v>14</v>
      </c>
      <c r="H156" s="45" t="b">
        <f aca="false">FALSE()</f>
        <v>0</v>
      </c>
      <c r="I156" s="43" t="n">
        <v>5</v>
      </c>
      <c r="J156" s="33" t="str">
        <f aca="false">INDEX(Lookups_Metadata!$E$4:$E$10, MATCH(I156, Lookups_Metadata!$D$4:$D$10, 0))</f>
        <v>Friday</v>
      </c>
      <c r="K156" s="33" t="str">
        <f aca="false">IF(H156=TRUE(), "Holiday", IF(OR(I156=0, I156=6), "Weekend", "Weekday"))</f>
        <v>Weekday</v>
      </c>
      <c r="L156" s="33" t="str">
        <f aca="false">IF(AND(K156="Weekday", OR(AND(G156&gt;=7, G156&lt;=9), AND(G156&gt;=17, G156&lt;=19))), "Peak Commute", "Off-Peak")</f>
        <v>Off-Peak</v>
      </c>
      <c r="M156" s="43" t="n">
        <v>2</v>
      </c>
      <c r="N156" s="33" t="str">
        <f aca="false">VLOOKUP(M156, Lookups_Metadata!$G$4:$H$7, 2, FALSE())</f>
        <v>Mist / Cloudy</v>
      </c>
      <c r="O156" s="46" t="n">
        <v>0.2</v>
      </c>
      <c r="P156" s="46" t="n">
        <v>0.197</v>
      </c>
      <c r="Q156" s="46" t="n">
        <f aca="false">IF(OR(P156="", ISBLANK(P156)), ROUND(0.9367*O156+0.0175, 4), P156)</f>
        <v>0.197</v>
      </c>
      <c r="R156" s="33" t="str">
        <f aca="false">IF(OR(P156="", ISBLANK(P156)), "Imputed (Regression/Trend)", "Original")</f>
        <v>Original</v>
      </c>
      <c r="S156" s="46" t="n">
        <v>0.4</v>
      </c>
      <c r="T156" s="46" t="n">
        <v>0.2537</v>
      </c>
      <c r="U156" s="18" t="n">
        <v>7</v>
      </c>
      <c r="V156" s="18" t="n">
        <v>43</v>
      </c>
      <c r="W156" s="18" t="n">
        <f aca="false">U156+V156</f>
        <v>50</v>
      </c>
      <c r="X156" s="47" t="n">
        <f aca="false">U156/W156</f>
        <v>0.14</v>
      </c>
      <c r="Y156" s="47" t="n">
        <f aca="false">V156/W156</f>
        <v>0.86</v>
      </c>
      <c r="Z156" s="33" t="str">
        <f aca="false">IF(W156&gt;=150, "High Demand", IF(W156&gt;=50, "Moderate Demand", "Low Demand"))</f>
        <v>Moderate Demand</v>
      </c>
      <c r="AA156" s="45" t="str">
        <f aca="false">TEXT(G156, "00") &amp; ":00"</f>
        <v>14:00</v>
      </c>
      <c r="AB156" s="43" t="n">
        <f aca="false">YEAR(B156)</f>
        <v>2011</v>
      </c>
      <c r="AC156" s="33" t="str">
        <f aca="false">TEXT(B156, "mmmm")</f>
        <v>January</v>
      </c>
      <c r="AD156" s="43" t="n">
        <f aca="false">LEN(TEXT(B156, "YYYY-MM-DD"))</f>
        <v>10</v>
      </c>
      <c r="AE156" s="45" t="str">
        <f aca="false">LEFT(TEXT(B156, "YYYY-MM-DD"), 4)</f>
        <v>2011</v>
      </c>
      <c r="AF156" s="45" t="str">
        <f aca="false">RIGHT(TEXT(B156, "YYYY-MM-DD"), 2)</f>
        <v>07</v>
      </c>
    </row>
    <row r="157" customFormat="false" ht="15" hidden="false" customHeight="false" outlineLevel="0" collapsed="false">
      <c r="A157" s="37" t="n">
        <v>153</v>
      </c>
      <c r="B157" s="38" t="s">
        <v>83</v>
      </c>
      <c r="C157" s="37" t="n">
        <v>1</v>
      </c>
      <c r="D157" s="35" t="str">
        <f aca="false">VLOOKUP(C157, Lookups_Metadata!$A$4:$B$7, 2, FALSE())</f>
        <v>Spring</v>
      </c>
      <c r="E157" s="37" t="n">
        <v>0</v>
      </c>
      <c r="F157" s="37" t="n">
        <v>1</v>
      </c>
      <c r="G157" s="37" t="n">
        <v>15</v>
      </c>
      <c r="H157" s="39" t="b">
        <f aca="false">FALSE()</f>
        <v>0</v>
      </c>
      <c r="I157" s="37" t="n">
        <v>5</v>
      </c>
      <c r="J157" s="35" t="str">
        <f aca="false">INDEX(Lookups_Metadata!$E$4:$E$10, MATCH(I157, Lookups_Metadata!$D$4:$D$10, 0))</f>
        <v>Friday</v>
      </c>
      <c r="K157" s="35" t="str">
        <f aca="false">IF(H157=TRUE(), "Holiday", IF(OR(I157=0, I157=6), "Weekend", "Weekday"))</f>
        <v>Weekday</v>
      </c>
      <c r="L157" s="35" t="str">
        <f aca="false">IF(AND(K157="Weekday", OR(AND(G157&gt;=7, G157&lt;=9), AND(G157&gt;=17, G157&lt;=19))), "Peak Commute", "Off-Peak")</f>
        <v>Off-Peak</v>
      </c>
      <c r="M157" s="37" t="n">
        <v>2</v>
      </c>
      <c r="N157" s="35" t="str">
        <f aca="false">VLOOKUP(M157, Lookups_Metadata!$G$4:$H$7, 2, FALSE())</f>
        <v>Mist / Cloudy</v>
      </c>
      <c r="O157" s="40" t="n">
        <v>0.2</v>
      </c>
      <c r="P157" s="40" t="n">
        <v>0.2121</v>
      </c>
      <c r="Q157" s="40" t="n">
        <f aca="false">IF(OR(P157="", ISBLANK(P157)), ROUND(0.9367*O157+0.0175, 4), P157)</f>
        <v>0.2121</v>
      </c>
      <c r="R157" s="35" t="str">
        <f aca="false">IF(OR(P157="", ISBLANK(P157)), "Imputed (Regression/Trend)", "Original")</f>
        <v>Original</v>
      </c>
      <c r="S157" s="40" t="n">
        <v>0.37</v>
      </c>
      <c r="T157" s="40" t="n">
        <v>0.1642</v>
      </c>
      <c r="U157" s="41" t="n">
        <v>9</v>
      </c>
      <c r="V157" s="41" t="n">
        <v>63</v>
      </c>
      <c r="W157" s="41" t="n">
        <f aca="false">U157+V157</f>
        <v>72</v>
      </c>
      <c r="X157" s="42" t="n">
        <f aca="false">U157/W157</f>
        <v>0.125</v>
      </c>
      <c r="Y157" s="42" t="n">
        <f aca="false">V157/W157</f>
        <v>0.875</v>
      </c>
      <c r="Z157" s="35" t="str">
        <f aca="false">IF(W157&gt;=150, "High Demand", IF(W157&gt;=50, "Moderate Demand", "Low Demand"))</f>
        <v>Moderate Demand</v>
      </c>
      <c r="AA157" s="39" t="str">
        <f aca="false">TEXT(G157, "00") &amp; ":00"</f>
        <v>15:00</v>
      </c>
      <c r="AB157" s="37" t="n">
        <f aca="false">YEAR(B157)</f>
        <v>2011</v>
      </c>
      <c r="AC157" s="35" t="str">
        <f aca="false">TEXT(B157, "mmmm")</f>
        <v>January</v>
      </c>
      <c r="AD157" s="37" t="n">
        <f aca="false">LEN(TEXT(B157, "YYYY-MM-DD"))</f>
        <v>10</v>
      </c>
      <c r="AE157" s="39" t="str">
        <f aca="false">LEFT(TEXT(B157, "YYYY-MM-DD"), 4)</f>
        <v>2011</v>
      </c>
      <c r="AF157" s="39" t="str">
        <f aca="false">RIGHT(TEXT(B157, "YYYY-MM-DD"), 2)</f>
        <v>07</v>
      </c>
    </row>
    <row r="158" customFormat="false" ht="15" hidden="false" customHeight="false" outlineLevel="0" collapsed="false">
      <c r="A158" s="43" t="n">
        <v>154</v>
      </c>
      <c r="B158" s="44" t="s">
        <v>83</v>
      </c>
      <c r="C158" s="43" t="n">
        <v>1</v>
      </c>
      <c r="D158" s="33" t="str">
        <f aca="false">VLOOKUP(C158, Lookups_Metadata!$A$4:$B$7, 2, FALSE())</f>
        <v>Spring</v>
      </c>
      <c r="E158" s="43" t="n">
        <v>0</v>
      </c>
      <c r="F158" s="43" t="n">
        <v>1</v>
      </c>
      <c r="G158" s="43" t="n">
        <v>16</v>
      </c>
      <c r="H158" s="45" t="b">
        <f aca="false">FALSE()</f>
        <v>0</v>
      </c>
      <c r="I158" s="43" t="n">
        <v>5</v>
      </c>
      <c r="J158" s="33" t="str">
        <f aca="false">INDEX(Lookups_Metadata!$E$4:$E$10, MATCH(I158, Lookups_Metadata!$D$4:$D$10, 0))</f>
        <v>Friday</v>
      </c>
      <c r="K158" s="33" t="str">
        <f aca="false">IF(H158=TRUE(), "Holiday", IF(OR(I158=0, I158=6), "Weekend", "Weekday"))</f>
        <v>Weekday</v>
      </c>
      <c r="L158" s="33" t="str">
        <f aca="false">IF(AND(K158="Weekday", OR(AND(G158&gt;=7, G158&lt;=9), AND(G158&gt;=17, G158&lt;=19))), "Peak Commute", "Off-Peak")</f>
        <v>Off-Peak</v>
      </c>
      <c r="M158" s="43" t="n">
        <v>2</v>
      </c>
      <c r="N158" s="33" t="str">
        <f aca="false">VLOOKUP(M158, Lookups_Metadata!$G$4:$H$7, 2, FALSE())</f>
        <v>Mist / Cloudy</v>
      </c>
      <c r="O158" s="46" t="n">
        <v>0.2</v>
      </c>
      <c r="P158" s="46" t="n">
        <v>0.2121</v>
      </c>
      <c r="Q158" s="46" t="n">
        <f aca="false">IF(OR(P158="", ISBLANK(P158)), ROUND(0.9367*O158+0.0175, 4), P158)</f>
        <v>0.2121</v>
      </c>
      <c r="R158" s="33" t="str">
        <f aca="false">IF(OR(P158="", ISBLANK(P158)), "Imputed (Regression/Trend)", "Original")</f>
        <v>Original</v>
      </c>
      <c r="S158" s="46" t="n">
        <v>0.37</v>
      </c>
      <c r="T158" s="46" t="n">
        <v>0.1642</v>
      </c>
      <c r="U158" s="18" t="n">
        <v>5</v>
      </c>
      <c r="V158" s="18" t="n">
        <v>82</v>
      </c>
      <c r="W158" s="18" t="n">
        <f aca="false">U158+V158</f>
        <v>87</v>
      </c>
      <c r="X158" s="47" t="n">
        <f aca="false">U158/W158</f>
        <v>0.0574712643678161</v>
      </c>
      <c r="Y158" s="47" t="n">
        <f aca="false">V158/W158</f>
        <v>0.942528735632184</v>
      </c>
      <c r="Z158" s="33" t="str">
        <f aca="false">IF(W158&gt;=150, "High Demand", IF(W158&gt;=50, "Moderate Demand", "Low Demand"))</f>
        <v>Moderate Demand</v>
      </c>
      <c r="AA158" s="45" t="str">
        <f aca="false">TEXT(G158, "00") &amp; ":00"</f>
        <v>16:00</v>
      </c>
      <c r="AB158" s="43" t="n">
        <f aca="false">YEAR(B158)</f>
        <v>2011</v>
      </c>
      <c r="AC158" s="33" t="str">
        <f aca="false">TEXT(B158, "mmmm")</f>
        <v>January</v>
      </c>
      <c r="AD158" s="43" t="n">
        <f aca="false">LEN(TEXT(B158, "YYYY-MM-DD"))</f>
        <v>10</v>
      </c>
      <c r="AE158" s="45" t="str">
        <f aca="false">LEFT(TEXT(B158, "YYYY-MM-DD"), 4)</f>
        <v>2011</v>
      </c>
      <c r="AF158" s="45" t="str">
        <f aca="false">RIGHT(TEXT(B158, "YYYY-MM-DD"), 2)</f>
        <v>07</v>
      </c>
    </row>
    <row r="159" customFormat="false" ht="15" hidden="false" customHeight="false" outlineLevel="0" collapsed="false">
      <c r="A159" s="37" t="n">
        <v>155</v>
      </c>
      <c r="B159" s="38" t="s">
        <v>83</v>
      </c>
      <c r="C159" s="37" t="n">
        <v>1</v>
      </c>
      <c r="D159" s="35" t="str">
        <f aca="false">VLOOKUP(C159, Lookups_Metadata!$A$4:$B$7, 2, FALSE())</f>
        <v>Spring</v>
      </c>
      <c r="E159" s="37" t="n">
        <v>0</v>
      </c>
      <c r="F159" s="37" t="n">
        <v>1</v>
      </c>
      <c r="G159" s="37" t="n">
        <v>17</v>
      </c>
      <c r="H159" s="39" t="b">
        <f aca="false">FALSE()</f>
        <v>0</v>
      </c>
      <c r="I159" s="37" t="n">
        <v>5</v>
      </c>
      <c r="J159" s="35" t="str">
        <f aca="false">INDEX(Lookups_Metadata!$E$4:$E$10, MATCH(I159, Lookups_Metadata!$D$4:$D$10, 0))</f>
        <v>Friday</v>
      </c>
      <c r="K159" s="35" t="str">
        <f aca="false">IF(H159=TRUE(), "Holiday", IF(OR(I159=0, I159=6), "Weekend", "Weekday"))</f>
        <v>Weekday</v>
      </c>
      <c r="L159" s="35" t="str">
        <f aca="false">IF(AND(K159="Weekday", OR(AND(G159&gt;=7, G159&lt;=9), AND(G159&gt;=17, G159&lt;=19))), "Peak Commute", "Off-Peak")</f>
        <v>Peak Commute</v>
      </c>
      <c r="M159" s="37" t="n">
        <v>2</v>
      </c>
      <c r="N159" s="35" t="str">
        <f aca="false">VLOOKUP(M159, Lookups_Metadata!$G$4:$H$7, 2, FALSE())</f>
        <v>Mist / Cloudy</v>
      </c>
      <c r="O159" s="40" t="n">
        <v>0.2</v>
      </c>
      <c r="P159" s="40" t="n">
        <v>0.2576</v>
      </c>
      <c r="Q159" s="40" t="n">
        <f aca="false">IF(OR(P159="", ISBLANK(P159)), ROUND(0.9367*O159+0.0175, 4), P159)</f>
        <v>0.2576</v>
      </c>
      <c r="R159" s="35" t="str">
        <f aca="false">IF(OR(P159="", ISBLANK(P159)), "Imputed (Regression/Trend)", "Original")</f>
        <v>Original</v>
      </c>
      <c r="S159" s="40" t="n">
        <v>0.37</v>
      </c>
      <c r="T159" s="40" t="n">
        <v>0</v>
      </c>
      <c r="U159" s="41" t="n">
        <v>9</v>
      </c>
      <c r="V159" s="41" t="n">
        <v>178</v>
      </c>
      <c r="W159" s="41" t="n">
        <f aca="false">U159+V159</f>
        <v>187</v>
      </c>
      <c r="X159" s="42" t="n">
        <f aca="false">U159/W159</f>
        <v>0.0481283422459893</v>
      </c>
      <c r="Y159" s="42" t="n">
        <f aca="false">V159/W159</f>
        <v>0.951871657754011</v>
      </c>
      <c r="Z159" s="35" t="str">
        <f aca="false">IF(W159&gt;=150, "High Demand", IF(W159&gt;=50, "Moderate Demand", "Low Demand"))</f>
        <v>High Demand</v>
      </c>
      <c r="AA159" s="39" t="str">
        <f aca="false">TEXT(G159, "00") &amp; ":00"</f>
        <v>17:00</v>
      </c>
      <c r="AB159" s="37" t="n">
        <f aca="false">YEAR(B159)</f>
        <v>2011</v>
      </c>
      <c r="AC159" s="35" t="str">
        <f aca="false">TEXT(B159, "mmmm")</f>
        <v>January</v>
      </c>
      <c r="AD159" s="37" t="n">
        <f aca="false">LEN(TEXT(B159, "YYYY-MM-DD"))</f>
        <v>10</v>
      </c>
      <c r="AE159" s="39" t="str">
        <f aca="false">LEFT(TEXT(B159, "YYYY-MM-DD"), 4)</f>
        <v>2011</v>
      </c>
      <c r="AF159" s="39" t="str">
        <f aca="false">RIGHT(TEXT(B159, "YYYY-MM-DD"), 2)</f>
        <v>07</v>
      </c>
    </row>
    <row r="160" customFormat="false" ht="15" hidden="false" customHeight="false" outlineLevel="0" collapsed="false">
      <c r="A160" s="43" t="n">
        <v>156</v>
      </c>
      <c r="B160" s="44" t="s">
        <v>83</v>
      </c>
      <c r="C160" s="43" t="n">
        <v>1</v>
      </c>
      <c r="D160" s="33" t="str">
        <f aca="false">VLOOKUP(C160, Lookups_Metadata!$A$4:$B$7, 2, FALSE())</f>
        <v>Spring</v>
      </c>
      <c r="E160" s="43" t="n">
        <v>0</v>
      </c>
      <c r="F160" s="43" t="n">
        <v>1</v>
      </c>
      <c r="G160" s="43" t="n">
        <v>18</v>
      </c>
      <c r="H160" s="45" t="b">
        <f aca="false">FALSE()</f>
        <v>0</v>
      </c>
      <c r="I160" s="43" t="n">
        <v>5</v>
      </c>
      <c r="J160" s="33" t="str">
        <f aca="false">INDEX(Lookups_Metadata!$E$4:$E$10, MATCH(I160, Lookups_Metadata!$D$4:$D$10, 0))</f>
        <v>Friday</v>
      </c>
      <c r="K160" s="33" t="str">
        <f aca="false">IF(H160=TRUE(), "Holiday", IF(OR(I160=0, I160=6), "Weekend", "Weekday"))</f>
        <v>Weekday</v>
      </c>
      <c r="L160" s="33" t="str">
        <f aca="false">IF(AND(K160="Weekday", OR(AND(G160&gt;=7, G160&lt;=9), AND(G160&gt;=17, G160&lt;=19))), "Peak Commute", "Off-Peak")</f>
        <v>Peak Commute</v>
      </c>
      <c r="M160" s="43" t="n">
        <v>1</v>
      </c>
      <c r="N160" s="33" t="str">
        <f aca="false">VLOOKUP(M160, Lookups_Metadata!$G$4:$H$7, 2, FALSE())</f>
        <v>Clear / Few Clouds</v>
      </c>
      <c r="O160" s="46" t="n">
        <v>0.2</v>
      </c>
      <c r="P160" s="46" t="n">
        <v>0.2273</v>
      </c>
      <c r="Q160" s="46" t="n">
        <f aca="false">IF(OR(P160="", ISBLANK(P160)), ROUND(0.9367*O160+0.0175, 4), P160)</f>
        <v>0.2273</v>
      </c>
      <c r="R160" s="33" t="str">
        <f aca="false">IF(OR(P160="", ISBLANK(P160)), "Imputed (Regression/Trend)", "Original")</f>
        <v>Original</v>
      </c>
      <c r="S160" s="46" t="n">
        <v>0.4</v>
      </c>
      <c r="T160" s="46" t="n">
        <v>0.0896</v>
      </c>
      <c r="U160" s="18" t="n">
        <v>7</v>
      </c>
      <c r="V160" s="18" t="n">
        <v>116</v>
      </c>
      <c r="W160" s="18" t="n">
        <f aca="false">U160+V160</f>
        <v>123</v>
      </c>
      <c r="X160" s="47" t="n">
        <f aca="false">U160/W160</f>
        <v>0.0569105691056911</v>
      </c>
      <c r="Y160" s="47" t="n">
        <f aca="false">V160/W160</f>
        <v>0.943089430894309</v>
      </c>
      <c r="Z160" s="33" t="str">
        <f aca="false">IF(W160&gt;=150, "High Demand", IF(W160&gt;=50, "Moderate Demand", "Low Demand"))</f>
        <v>Moderate Demand</v>
      </c>
      <c r="AA160" s="45" t="str">
        <f aca="false">TEXT(G160, "00") &amp; ":00"</f>
        <v>18:00</v>
      </c>
      <c r="AB160" s="43" t="n">
        <f aca="false">YEAR(B160)</f>
        <v>2011</v>
      </c>
      <c r="AC160" s="33" t="str">
        <f aca="false">TEXT(B160, "mmmm")</f>
        <v>January</v>
      </c>
      <c r="AD160" s="43" t="n">
        <f aca="false">LEN(TEXT(B160, "YYYY-MM-DD"))</f>
        <v>10</v>
      </c>
      <c r="AE160" s="45" t="str">
        <f aca="false">LEFT(TEXT(B160, "YYYY-MM-DD"), 4)</f>
        <v>2011</v>
      </c>
      <c r="AF160" s="45" t="str">
        <f aca="false">RIGHT(TEXT(B160, "YYYY-MM-DD"), 2)</f>
        <v>07</v>
      </c>
    </row>
    <row r="161" customFormat="false" ht="15" hidden="false" customHeight="false" outlineLevel="0" collapsed="false">
      <c r="A161" s="37" t="n">
        <v>157</v>
      </c>
      <c r="B161" s="38" t="s">
        <v>83</v>
      </c>
      <c r="C161" s="37" t="n">
        <v>1</v>
      </c>
      <c r="D161" s="35" t="str">
        <f aca="false">VLOOKUP(C161, Lookups_Metadata!$A$4:$B$7, 2, FALSE())</f>
        <v>Spring</v>
      </c>
      <c r="E161" s="37" t="n">
        <v>0</v>
      </c>
      <c r="F161" s="37" t="n">
        <v>1</v>
      </c>
      <c r="G161" s="37" t="n">
        <v>19</v>
      </c>
      <c r="H161" s="39" t="b">
        <f aca="false">FALSE()</f>
        <v>0</v>
      </c>
      <c r="I161" s="37" t="n">
        <v>5</v>
      </c>
      <c r="J161" s="35" t="str">
        <f aca="false">INDEX(Lookups_Metadata!$E$4:$E$10, MATCH(I161, Lookups_Metadata!$D$4:$D$10, 0))</f>
        <v>Friday</v>
      </c>
      <c r="K161" s="35" t="str">
        <f aca="false">IF(H161=TRUE(), "Holiday", IF(OR(I161=0, I161=6), "Weekend", "Weekday"))</f>
        <v>Weekday</v>
      </c>
      <c r="L161" s="35" t="str">
        <f aca="false">IF(AND(K161="Weekday", OR(AND(G161&gt;=7, G161&lt;=9), AND(G161&gt;=17, G161&lt;=19))), "Peak Commute", "Off-Peak")</f>
        <v>Peak Commute</v>
      </c>
      <c r="M161" s="37" t="n">
        <v>1</v>
      </c>
      <c r="N161" s="35" t="str">
        <f aca="false">VLOOKUP(M161, Lookups_Metadata!$G$4:$H$7, 2, FALSE())</f>
        <v>Clear / Few Clouds</v>
      </c>
      <c r="O161" s="40" t="n">
        <v>0.16</v>
      </c>
      <c r="P161" s="40" t="n">
        <v>0.197</v>
      </c>
      <c r="Q161" s="40" t="n">
        <f aca="false">IF(OR(P161="", ISBLANK(P161)), ROUND(0.9367*O161+0.0175, 4), P161)</f>
        <v>0.197</v>
      </c>
      <c r="R161" s="35" t="str">
        <f aca="false">IF(OR(P161="", ISBLANK(P161)), "Imputed (Regression/Trend)", "Original")</f>
        <v>Original</v>
      </c>
      <c r="S161" s="40" t="n">
        <v>0.55</v>
      </c>
      <c r="T161" s="40" t="n">
        <v>0.0896</v>
      </c>
      <c r="U161" s="41" t="n">
        <v>3</v>
      </c>
      <c r="V161" s="41" t="n">
        <v>92</v>
      </c>
      <c r="W161" s="41" t="n">
        <f aca="false">U161+V161</f>
        <v>95</v>
      </c>
      <c r="X161" s="42" t="n">
        <f aca="false">U161/W161</f>
        <v>0.0315789473684211</v>
      </c>
      <c r="Y161" s="42" t="n">
        <f aca="false">V161/W161</f>
        <v>0.968421052631579</v>
      </c>
      <c r="Z161" s="35" t="str">
        <f aca="false">IF(W161&gt;=150, "High Demand", IF(W161&gt;=50, "Moderate Demand", "Low Demand"))</f>
        <v>Moderate Demand</v>
      </c>
      <c r="AA161" s="39" t="str">
        <f aca="false">TEXT(G161, "00") &amp; ":00"</f>
        <v>19:00</v>
      </c>
      <c r="AB161" s="37" t="n">
        <f aca="false">YEAR(B161)</f>
        <v>2011</v>
      </c>
      <c r="AC161" s="35" t="str">
        <f aca="false">TEXT(B161, "mmmm")</f>
        <v>January</v>
      </c>
      <c r="AD161" s="37" t="n">
        <f aca="false">LEN(TEXT(B161, "YYYY-MM-DD"))</f>
        <v>10</v>
      </c>
      <c r="AE161" s="39" t="str">
        <f aca="false">LEFT(TEXT(B161, "YYYY-MM-DD"), 4)</f>
        <v>2011</v>
      </c>
      <c r="AF161" s="39" t="str">
        <f aca="false">RIGHT(TEXT(B161, "YYYY-MM-DD"), 2)</f>
        <v>07</v>
      </c>
    </row>
    <row r="162" customFormat="false" ht="15" hidden="false" customHeight="false" outlineLevel="0" collapsed="false">
      <c r="A162" s="43" t="n">
        <v>158</v>
      </c>
      <c r="B162" s="44" t="s">
        <v>83</v>
      </c>
      <c r="C162" s="43" t="n">
        <v>1</v>
      </c>
      <c r="D162" s="33" t="str">
        <f aca="false">VLOOKUP(C162, Lookups_Metadata!$A$4:$B$7, 2, FALSE())</f>
        <v>Spring</v>
      </c>
      <c r="E162" s="43" t="n">
        <v>0</v>
      </c>
      <c r="F162" s="43" t="n">
        <v>1</v>
      </c>
      <c r="G162" s="43" t="n">
        <v>20</v>
      </c>
      <c r="H162" s="45" t="b">
        <f aca="false">FALSE()</f>
        <v>0</v>
      </c>
      <c r="I162" s="43" t="n">
        <v>5</v>
      </c>
      <c r="J162" s="33" t="str">
        <f aca="false">INDEX(Lookups_Metadata!$E$4:$E$10, MATCH(I162, Lookups_Metadata!$D$4:$D$10, 0))</f>
        <v>Friday</v>
      </c>
      <c r="K162" s="33" t="str">
        <f aca="false">IF(H162=TRUE(), "Holiday", IF(OR(I162=0, I162=6), "Weekend", "Weekday"))</f>
        <v>Weekday</v>
      </c>
      <c r="L162" s="33" t="str">
        <f aca="false">IF(AND(K162="Weekday", OR(AND(G162&gt;=7, G162&lt;=9), AND(G162&gt;=17, G162&lt;=19))), "Peak Commute", "Off-Peak")</f>
        <v>Off-Peak</v>
      </c>
      <c r="M162" s="43" t="n">
        <v>1</v>
      </c>
      <c r="N162" s="33" t="str">
        <f aca="false">VLOOKUP(M162, Lookups_Metadata!$G$4:$H$7, 2, FALSE())</f>
        <v>Clear / Few Clouds</v>
      </c>
      <c r="O162" s="46" t="n">
        <v>0.18</v>
      </c>
      <c r="P162" s="46" t="n">
        <v>0.2121</v>
      </c>
      <c r="Q162" s="46" t="n">
        <f aca="false">IF(OR(P162="", ISBLANK(P162)), ROUND(0.9367*O162+0.0175, 4), P162)</f>
        <v>0.2121</v>
      </c>
      <c r="R162" s="33" t="str">
        <f aca="false">IF(OR(P162="", ISBLANK(P162)), "Imputed (Regression/Trend)", "Original")</f>
        <v>Original</v>
      </c>
      <c r="S162" s="46" t="n">
        <v>0.47</v>
      </c>
      <c r="T162" s="46" t="n">
        <v>0.1045</v>
      </c>
      <c r="U162" s="18" t="n">
        <v>1</v>
      </c>
      <c r="V162" s="18" t="n">
        <v>50</v>
      </c>
      <c r="W162" s="18" t="n">
        <f aca="false">U162+V162</f>
        <v>51</v>
      </c>
      <c r="X162" s="47" t="n">
        <f aca="false">U162/W162</f>
        <v>0.0196078431372549</v>
      </c>
      <c r="Y162" s="47" t="n">
        <f aca="false">V162/W162</f>
        <v>0.980392156862745</v>
      </c>
      <c r="Z162" s="33" t="str">
        <f aca="false">IF(W162&gt;=150, "High Demand", IF(W162&gt;=50, "Moderate Demand", "Low Demand"))</f>
        <v>Moderate Demand</v>
      </c>
      <c r="AA162" s="45" t="str">
        <f aca="false">TEXT(G162, "00") &amp; ":00"</f>
        <v>20:00</v>
      </c>
      <c r="AB162" s="43" t="n">
        <f aca="false">YEAR(B162)</f>
        <v>2011</v>
      </c>
      <c r="AC162" s="33" t="str">
        <f aca="false">TEXT(B162, "mmmm")</f>
        <v>January</v>
      </c>
      <c r="AD162" s="43" t="n">
        <f aca="false">LEN(TEXT(B162, "YYYY-MM-DD"))</f>
        <v>10</v>
      </c>
      <c r="AE162" s="45" t="str">
        <f aca="false">LEFT(TEXT(B162, "YYYY-MM-DD"), 4)</f>
        <v>2011</v>
      </c>
      <c r="AF162" s="45" t="str">
        <f aca="false">RIGHT(TEXT(B162, "YYYY-MM-DD"), 2)</f>
        <v>07</v>
      </c>
    </row>
    <row r="163" customFormat="false" ht="15" hidden="false" customHeight="false" outlineLevel="0" collapsed="false">
      <c r="A163" s="37" t="n">
        <v>159</v>
      </c>
      <c r="B163" s="38" t="s">
        <v>83</v>
      </c>
      <c r="C163" s="37" t="n">
        <v>1</v>
      </c>
      <c r="D163" s="35" t="str">
        <f aca="false">VLOOKUP(C163, Lookups_Metadata!$A$4:$B$7, 2, FALSE())</f>
        <v>Spring</v>
      </c>
      <c r="E163" s="37" t="n">
        <v>0</v>
      </c>
      <c r="F163" s="37" t="n">
        <v>1</v>
      </c>
      <c r="G163" s="37" t="n">
        <v>21</v>
      </c>
      <c r="H163" s="39" t="b">
        <f aca="false">FALSE()</f>
        <v>0</v>
      </c>
      <c r="I163" s="37" t="n">
        <v>5</v>
      </c>
      <c r="J163" s="35" t="str">
        <f aca="false">INDEX(Lookups_Metadata!$E$4:$E$10, MATCH(I163, Lookups_Metadata!$D$4:$D$10, 0))</f>
        <v>Friday</v>
      </c>
      <c r="K163" s="35" t="str">
        <f aca="false">IF(H163=TRUE(), "Holiday", IF(OR(I163=0, I163=6), "Weekend", "Weekday"))</f>
        <v>Weekday</v>
      </c>
      <c r="L163" s="35" t="str">
        <f aca="false">IF(AND(K163="Weekday", OR(AND(G163&gt;=7, G163&lt;=9), AND(G163&gt;=17, G163&lt;=19))), "Peak Commute", "Off-Peak")</f>
        <v>Off-Peak</v>
      </c>
      <c r="M163" s="37" t="n">
        <v>1</v>
      </c>
      <c r="N163" s="35" t="str">
        <f aca="false">VLOOKUP(M163, Lookups_Metadata!$G$4:$H$7, 2, FALSE())</f>
        <v>Clear / Few Clouds</v>
      </c>
      <c r="O163" s="40" t="n">
        <v>0.18</v>
      </c>
      <c r="P163" s="40" t="n">
        <v>0.197</v>
      </c>
      <c r="Q163" s="40" t="n">
        <f aca="false">IF(OR(P163="", ISBLANK(P163)), ROUND(0.9367*O163+0.0175, 4), P163)</f>
        <v>0.197</v>
      </c>
      <c r="R163" s="35" t="str">
        <f aca="false">IF(OR(P163="", ISBLANK(P163)), "Imputed (Regression/Trend)", "Original")</f>
        <v>Original</v>
      </c>
      <c r="S163" s="40" t="n">
        <v>0.47</v>
      </c>
      <c r="T163" s="40" t="n">
        <v>0.1343</v>
      </c>
      <c r="U163" s="41" t="n">
        <v>0</v>
      </c>
      <c r="V163" s="41" t="n">
        <v>39</v>
      </c>
      <c r="W163" s="41" t="n">
        <f aca="false">U163+V163</f>
        <v>39</v>
      </c>
      <c r="X163" s="42" t="n">
        <f aca="false">U163/W163</f>
        <v>0</v>
      </c>
      <c r="Y163" s="42" t="n">
        <f aca="false">V163/W163</f>
        <v>1</v>
      </c>
      <c r="Z163" s="35" t="str">
        <f aca="false">IF(W163&gt;=150, "High Demand", IF(W163&gt;=50, "Moderate Demand", "Low Demand"))</f>
        <v>Low Demand</v>
      </c>
      <c r="AA163" s="39" t="str">
        <f aca="false">TEXT(G163, "00") &amp; ":00"</f>
        <v>21:00</v>
      </c>
      <c r="AB163" s="37" t="n">
        <f aca="false">YEAR(B163)</f>
        <v>2011</v>
      </c>
      <c r="AC163" s="35" t="str">
        <f aca="false">TEXT(B163, "mmmm")</f>
        <v>January</v>
      </c>
      <c r="AD163" s="37" t="n">
        <f aca="false">LEN(TEXT(B163, "YYYY-MM-DD"))</f>
        <v>10</v>
      </c>
      <c r="AE163" s="39" t="str">
        <f aca="false">LEFT(TEXT(B163, "YYYY-MM-DD"), 4)</f>
        <v>2011</v>
      </c>
      <c r="AF163" s="39" t="str">
        <f aca="false">RIGHT(TEXT(B163, "YYYY-MM-DD"), 2)</f>
        <v>07</v>
      </c>
    </row>
    <row r="164" customFormat="false" ht="15" hidden="false" customHeight="false" outlineLevel="0" collapsed="false">
      <c r="A164" s="43" t="n">
        <v>160</v>
      </c>
      <c r="B164" s="44" t="s">
        <v>83</v>
      </c>
      <c r="C164" s="43" t="n">
        <v>1</v>
      </c>
      <c r="D164" s="33" t="str">
        <f aca="false">VLOOKUP(C164, Lookups_Metadata!$A$4:$B$7, 2, FALSE())</f>
        <v>Spring</v>
      </c>
      <c r="E164" s="43" t="n">
        <v>0</v>
      </c>
      <c r="F164" s="43" t="n">
        <v>1</v>
      </c>
      <c r="G164" s="43" t="n">
        <v>22</v>
      </c>
      <c r="H164" s="45" t="b">
        <f aca="false">FALSE()</f>
        <v>0</v>
      </c>
      <c r="I164" s="43" t="n">
        <v>5</v>
      </c>
      <c r="J164" s="33" t="str">
        <f aca="false">INDEX(Lookups_Metadata!$E$4:$E$10, MATCH(I164, Lookups_Metadata!$D$4:$D$10, 0))</f>
        <v>Friday</v>
      </c>
      <c r="K164" s="33" t="str">
        <f aca="false">IF(H164=TRUE(), "Holiday", IF(OR(I164=0, I164=6), "Weekend", "Weekday"))</f>
        <v>Weekday</v>
      </c>
      <c r="L164" s="33" t="str">
        <f aca="false">IF(AND(K164="Weekday", OR(AND(G164&gt;=7, G164&lt;=9), AND(G164&gt;=17, G164&lt;=19))), "Peak Commute", "Off-Peak")</f>
        <v>Off-Peak</v>
      </c>
      <c r="M164" s="43" t="n">
        <v>2</v>
      </c>
      <c r="N164" s="33" t="str">
        <f aca="false">VLOOKUP(M164, Lookups_Metadata!$G$4:$H$7, 2, FALSE())</f>
        <v>Mist / Cloudy</v>
      </c>
      <c r="O164" s="46" t="n">
        <v>0.18</v>
      </c>
      <c r="P164" s="46" t="n">
        <v>0.197</v>
      </c>
      <c r="Q164" s="46" t="n">
        <f aca="false">IF(OR(P164="", ISBLANK(P164)), ROUND(0.9367*O164+0.0175, 4), P164)</f>
        <v>0.197</v>
      </c>
      <c r="R164" s="33" t="str">
        <f aca="false">IF(OR(P164="", ISBLANK(P164)), "Imputed (Regression/Trend)", "Original")</f>
        <v>Original</v>
      </c>
      <c r="S164" s="46" t="n">
        <v>0.43</v>
      </c>
      <c r="T164" s="46" t="n">
        <v>0.1642</v>
      </c>
      <c r="U164" s="18" t="n">
        <v>2</v>
      </c>
      <c r="V164" s="18" t="n">
        <v>34</v>
      </c>
      <c r="W164" s="18" t="n">
        <f aca="false">U164+V164</f>
        <v>36</v>
      </c>
      <c r="X164" s="47" t="n">
        <f aca="false">U164/W164</f>
        <v>0.0555555555555556</v>
      </c>
      <c r="Y164" s="47" t="n">
        <f aca="false">V164/W164</f>
        <v>0.944444444444444</v>
      </c>
      <c r="Z164" s="33" t="str">
        <f aca="false">IF(W164&gt;=150, "High Demand", IF(W164&gt;=50, "Moderate Demand", "Low Demand"))</f>
        <v>Low Demand</v>
      </c>
      <c r="AA164" s="45" t="str">
        <f aca="false">TEXT(G164, "00") &amp; ":00"</f>
        <v>22:00</v>
      </c>
      <c r="AB164" s="43" t="n">
        <f aca="false">YEAR(B164)</f>
        <v>2011</v>
      </c>
      <c r="AC164" s="33" t="str">
        <f aca="false">TEXT(B164, "mmmm")</f>
        <v>January</v>
      </c>
      <c r="AD164" s="43" t="n">
        <f aca="false">LEN(TEXT(B164, "YYYY-MM-DD"))</f>
        <v>10</v>
      </c>
      <c r="AE164" s="45" t="str">
        <f aca="false">LEFT(TEXT(B164, "YYYY-MM-DD"), 4)</f>
        <v>2011</v>
      </c>
      <c r="AF164" s="45" t="str">
        <f aca="false">RIGHT(TEXT(B164, "YYYY-MM-DD"), 2)</f>
        <v>07</v>
      </c>
    </row>
    <row r="165" customFormat="false" ht="15" hidden="false" customHeight="false" outlineLevel="0" collapsed="false">
      <c r="A165" s="37" t="n">
        <v>161</v>
      </c>
      <c r="B165" s="38" t="s">
        <v>83</v>
      </c>
      <c r="C165" s="37" t="n">
        <v>1</v>
      </c>
      <c r="D165" s="35" t="str">
        <f aca="false">VLOOKUP(C165, Lookups_Metadata!$A$4:$B$7, 2, FALSE())</f>
        <v>Spring</v>
      </c>
      <c r="E165" s="37" t="n">
        <v>0</v>
      </c>
      <c r="F165" s="37" t="n">
        <v>1</v>
      </c>
      <c r="G165" s="37" t="n">
        <v>23</v>
      </c>
      <c r="H165" s="39" t="b">
        <f aca="false">FALSE()</f>
        <v>0</v>
      </c>
      <c r="I165" s="37" t="n">
        <v>5</v>
      </c>
      <c r="J165" s="35" t="str">
        <f aca="false">INDEX(Lookups_Metadata!$E$4:$E$10, MATCH(I165, Lookups_Metadata!$D$4:$D$10, 0))</f>
        <v>Friday</v>
      </c>
      <c r="K165" s="35" t="str">
        <f aca="false">IF(H165=TRUE(), "Holiday", IF(OR(I165=0, I165=6), "Weekend", "Weekday"))</f>
        <v>Weekday</v>
      </c>
      <c r="L165" s="35" t="str">
        <f aca="false">IF(AND(K165="Weekday", OR(AND(G165&gt;=7, G165&lt;=9), AND(G165&gt;=17, G165&lt;=19))), "Peak Commute", "Off-Peak")</f>
        <v>Off-Peak</v>
      </c>
      <c r="M165" s="37" t="n">
        <v>2</v>
      </c>
      <c r="N165" s="35" t="str">
        <f aca="false">VLOOKUP(M165, Lookups_Metadata!$G$4:$H$7, 2, FALSE())</f>
        <v>Mist / Cloudy</v>
      </c>
      <c r="O165" s="40" t="n">
        <v>0.18</v>
      </c>
      <c r="P165" s="40" t="n">
        <v>0.197</v>
      </c>
      <c r="Q165" s="40" t="n">
        <f aca="false">IF(OR(P165="", ISBLANK(P165)), ROUND(0.9367*O165+0.0175, 4), P165)</f>
        <v>0.197</v>
      </c>
      <c r="R165" s="35" t="str">
        <f aca="false">IF(OR(P165="", ISBLANK(P165)), "Imputed (Regression/Trend)", "Original")</f>
        <v>Original</v>
      </c>
      <c r="S165" s="40" t="n">
        <v>0.51</v>
      </c>
      <c r="T165" s="40" t="n">
        <v>0.1642</v>
      </c>
      <c r="U165" s="41" t="n">
        <v>1</v>
      </c>
      <c r="V165" s="41" t="n">
        <v>14</v>
      </c>
      <c r="W165" s="41" t="n">
        <f aca="false">U165+V165</f>
        <v>15</v>
      </c>
      <c r="X165" s="42" t="n">
        <f aca="false">U165/W165</f>
        <v>0.0666666666666667</v>
      </c>
      <c r="Y165" s="42" t="n">
        <f aca="false">V165/W165</f>
        <v>0.933333333333333</v>
      </c>
      <c r="Z165" s="35" t="str">
        <f aca="false">IF(W165&gt;=150, "High Demand", IF(W165&gt;=50, "Moderate Demand", "Low Demand"))</f>
        <v>Low Demand</v>
      </c>
      <c r="AA165" s="39" t="str">
        <f aca="false">TEXT(G165, "00") &amp; ":00"</f>
        <v>23:00</v>
      </c>
      <c r="AB165" s="37" t="n">
        <f aca="false">YEAR(B165)</f>
        <v>2011</v>
      </c>
      <c r="AC165" s="35" t="str">
        <f aca="false">TEXT(B165, "mmmm")</f>
        <v>January</v>
      </c>
      <c r="AD165" s="37" t="n">
        <f aca="false">LEN(TEXT(B165, "YYYY-MM-DD"))</f>
        <v>10</v>
      </c>
      <c r="AE165" s="39" t="str">
        <f aca="false">LEFT(TEXT(B165, "YYYY-MM-DD"), 4)</f>
        <v>2011</v>
      </c>
      <c r="AF165" s="39" t="str">
        <f aca="false">RIGHT(TEXT(B165, "YYYY-MM-DD"), 2)</f>
        <v>07</v>
      </c>
    </row>
    <row r="166" customFormat="false" ht="15" hidden="false" customHeight="false" outlineLevel="0" collapsed="false">
      <c r="A166" s="43" t="n">
        <v>162</v>
      </c>
      <c r="B166" s="44" t="s">
        <v>84</v>
      </c>
      <c r="C166" s="43" t="n">
        <v>1</v>
      </c>
      <c r="D166" s="33" t="str">
        <f aca="false">VLOOKUP(C166, Lookups_Metadata!$A$4:$B$7, 2, FALSE())</f>
        <v>Spring</v>
      </c>
      <c r="E166" s="43" t="n">
        <v>0</v>
      </c>
      <c r="F166" s="43" t="n">
        <v>1</v>
      </c>
      <c r="G166" s="43" t="n">
        <v>0</v>
      </c>
      <c r="H166" s="45" t="b">
        <f aca="false">FALSE()</f>
        <v>0</v>
      </c>
      <c r="I166" s="43" t="n">
        <v>6</v>
      </c>
      <c r="J166" s="33" t="str">
        <f aca="false">INDEX(Lookups_Metadata!$E$4:$E$10, MATCH(I166, Lookups_Metadata!$D$4:$D$10, 0))</f>
        <v>Saturday</v>
      </c>
      <c r="K166" s="33" t="str">
        <f aca="false">IF(H166=TRUE(), "Holiday", IF(OR(I166=0, I166=6), "Weekend", "Weekday"))</f>
        <v>Weekend</v>
      </c>
      <c r="L166" s="33" t="str">
        <f aca="false">IF(AND(K166="Weekday", OR(AND(G166&gt;=7, G166&lt;=9), AND(G166&gt;=17, G166&lt;=19))), "Peak Commute", "Off-Peak")</f>
        <v>Off-Peak</v>
      </c>
      <c r="M166" s="43" t="n">
        <v>2</v>
      </c>
      <c r="N166" s="33" t="str">
        <f aca="false">VLOOKUP(M166, Lookups_Metadata!$G$4:$H$7, 2, FALSE())</f>
        <v>Mist / Cloudy</v>
      </c>
      <c r="O166" s="46" t="n">
        <v>0.18</v>
      </c>
      <c r="P166" s="46" t="n">
        <v>0.197</v>
      </c>
      <c r="Q166" s="46" t="n">
        <f aca="false">IF(OR(P166="", ISBLANK(P166)), ROUND(0.9367*O166+0.0175, 4), P166)</f>
        <v>0.197</v>
      </c>
      <c r="R166" s="33" t="str">
        <f aca="false">IF(OR(P166="", ISBLANK(P166)), "Imputed (Regression/Trend)", "Original")</f>
        <v>Original</v>
      </c>
      <c r="S166" s="46" t="n">
        <v>0.51</v>
      </c>
      <c r="T166" s="46" t="n">
        <v>0.1642</v>
      </c>
      <c r="U166" s="18" t="n">
        <v>1</v>
      </c>
      <c r="V166" s="18" t="n">
        <v>24</v>
      </c>
      <c r="W166" s="18" t="n">
        <f aca="false">U166+V166</f>
        <v>25</v>
      </c>
      <c r="X166" s="47" t="n">
        <f aca="false">U166/W166</f>
        <v>0.04</v>
      </c>
      <c r="Y166" s="47" t="n">
        <f aca="false">V166/W166</f>
        <v>0.96</v>
      </c>
      <c r="Z166" s="33" t="str">
        <f aca="false">IF(W166&gt;=150, "High Demand", IF(W166&gt;=50, "Moderate Demand", "Low Demand"))</f>
        <v>Low Demand</v>
      </c>
      <c r="AA166" s="45" t="str">
        <f aca="false">TEXT(G166, "00") &amp; ":00"</f>
        <v>00:00</v>
      </c>
      <c r="AB166" s="43" t="n">
        <f aca="false">YEAR(B166)</f>
        <v>2011</v>
      </c>
      <c r="AC166" s="33" t="str">
        <f aca="false">TEXT(B166, "mmmm")</f>
        <v>January</v>
      </c>
      <c r="AD166" s="43" t="n">
        <f aca="false">LEN(TEXT(B166, "YYYY-MM-DD"))</f>
        <v>10</v>
      </c>
      <c r="AE166" s="45" t="str">
        <f aca="false">LEFT(TEXT(B166, "YYYY-MM-DD"), 4)</f>
        <v>2011</v>
      </c>
      <c r="AF166" s="45" t="str">
        <f aca="false">RIGHT(TEXT(B166, "YYYY-MM-DD"), 2)</f>
        <v>08</v>
      </c>
    </row>
    <row r="167" customFormat="false" ht="15" hidden="false" customHeight="false" outlineLevel="0" collapsed="false">
      <c r="A167" s="37" t="n">
        <v>163</v>
      </c>
      <c r="B167" s="38" t="s">
        <v>84</v>
      </c>
      <c r="C167" s="37" t="n">
        <v>1</v>
      </c>
      <c r="D167" s="35" t="str">
        <f aca="false">VLOOKUP(C167, Lookups_Metadata!$A$4:$B$7, 2, FALSE())</f>
        <v>Spring</v>
      </c>
      <c r="E167" s="37" t="n">
        <v>0</v>
      </c>
      <c r="F167" s="37" t="n">
        <v>1</v>
      </c>
      <c r="G167" s="37" t="n">
        <v>1</v>
      </c>
      <c r="H167" s="39" t="b">
        <f aca="false">FALSE()</f>
        <v>0</v>
      </c>
      <c r="I167" s="37" t="n">
        <v>6</v>
      </c>
      <c r="J167" s="35" t="str">
        <f aca="false">INDEX(Lookups_Metadata!$E$4:$E$10, MATCH(I167, Lookups_Metadata!$D$4:$D$10, 0))</f>
        <v>Saturday</v>
      </c>
      <c r="K167" s="35" t="str">
        <f aca="false">IF(H167=TRUE(), "Holiday", IF(OR(I167=0, I167=6), "Weekend", "Weekday"))</f>
        <v>Weekend</v>
      </c>
      <c r="L167" s="35" t="str">
        <f aca="false">IF(AND(K167="Weekday", OR(AND(G167&gt;=7, G167&lt;=9), AND(G167&gt;=17, G167&lt;=19))), "Peak Commute", "Off-Peak")</f>
        <v>Off-Peak</v>
      </c>
      <c r="M167" s="37" t="n">
        <v>2</v>
      </c>
      <c r="N167" s="35" t="str">
        <f aca="false">VLOOKUP(M167, Lookups_Metadata!$G$4:$H$7, 2, FALSE())</f>
        <v>Mist / Cloudy</v>
      </c>
      <c r="O167" s="40" t="n">
        <v>0.18</v>
      </c>
      <c r="P167" s="40" t="n">
        <v>0.2121</v>
      </c>
      <c r="Q167" s="40" t="n">
        <f aca="false">IF(OR(P167="", ISBLANK(P167)), ROUND(0.9367*O167+0.0175, 4), P167)</f>
        <v>0.2121</v>
      </c>
      <c r="R167" s="35" t="str">
        <f aca="false">IF(OR(P167="", ISBLANK(P167)), "Imputed (Regression/Trend)", "Original")</f>
        <v>Original</v>
      </c>
      <c r="S167" s="40" t="n">
        <v>0.55</v>
      </c>
      <c r="T167" s="40" t="n">
        <v>0.0896</v>
      </c>
      <c r="U167" s="41" t="n">
        <v>1</v>
      </c>
      <c r="V167" s="41" t="n">
        <v>15</v>
      </c>
      <c r="W167" s="41" t="n">
        <f aca="false">U167+V167</f>
        <v>16</v>
      </c>
      <c r="X167" s="42" t="n">
        <f aca="false">U167/W167</f>
        <v>0.0625</v>
      </c>
      <c r="Y167" s="42" t="n">
        <f aca="false">V167/W167</f>
        <v>0.9375</v>
      </c>
      <c r="Z167" s="35" t="str">
        <f aca="false">IF(W167&gt;=150, "High Demand", IF(W167&gt;=50, "Moderate Demand", "Low Demand"))</f>
        <v>Low Demand</v>
      </c>
      <c r="AA167" s="39" t="str">
        <f aca="false">TEXT(G167, "00") &amp; ":00"</f>
        <v>01:00</v>
      </c>
      <c r="AB167" s="37" t="n">
        <f aca="false">YEAR(B167)</f>
        <v>2011</v>
      </c>
      <c r="AC167" s="35" t="str">
        <f aca="false">TEXT(B167, "mmmm")</f>
        <v>January</v>
      </c>
      <c r="AD167" s="37" t="n">
        <f aca="false">LEN(TEXT(B167, "YYYY-MM-DD"))</f>
        <v>10</v>
      </c>
      <c r="AE167" s="39" t="str">
        <f aca="false">LEFT(TEXT(B167, "YYYY-MM-DD"), 4)</f>
        <v>2011</v>
      </c>
      <c r="AF167" s="39" t="str">
        <f aca="false">RIGHT(TEXT(B167, "YYYY-MM-DD"), 2)</f>
        <v>08</v>
      </c>
    </row>
    <row r="168" customFormat="false" ht="15" hidden="false" customHeight="false" outlineLevel="0" collapsed="false">
      <c r="A168" s="43" t="n">
        <v>164</v>
      </c>
      <c r="B168" s="44" t="s">
        <v>84</v>
      </c>
      <c r="C168" s="43" t="n">
        <v>1</v>
      </c>
      <c r="D168" s="33" t="str">
        <f aca="false">VLOOKUP(C168, Lookups_Metadata!$A$4:$B$7, 2, FALSE())</f>
        <v>Spring</v>
      </c>
      <c r="E168" s="43" t="n">
        <v>0</v>
      </c>
      <c r="F168" s="43" t="n">
        <v>1</v>
      </c>
      <c r="G168" s="43" t="n">
        <v>2</v>
      </c>
      <c r="H168" s="45" t="b">
        <f aca="false">FALSE()</f>
        <v>0</v>
      </c>
      <c r="I168" s="43" t="n">
        <v>6</v>
      </c>
      <c r="J168" s="33" t="str">
        <f aca="false">INDEX(Lookups_Metadata!$E$4:$E$10, MATCH(I168, Lookups_Metadata!$D$4:$D$10, 0))</f>
        <v>Saturday</v>
      </c>
      <c r="K168" s="33" t="str">
        <f aca="false">IF(H168=TRUE(), "Holiday", IF(OR(I168=0, I168=6), "Weekend", "Weekday"))</f>
        <v>Weekend</v>
      </c>
      <c r="L168" s="33" t="str">
        <f aca="false">IF(AND(K168="Weekday", OR(AND(G168&gt;=7, G168&lt;=9), AND(G168&gt;=17, G168&lt;=19))), "Peak Commute", "Off-Peak")</f>
        <v>Off-Peak</v>
      </c>
      <c r="M168" s="43" t="n">
        <v>2</v>
      </c>
      <c r="N168" s="33" t="str">
        <f aca="false">VLOOKUP(M168, Lookups_Metadata!$G$4:$H$7, 2, FALSE())</f>
        <v>Mist / Cloudy</v>
      </c>
      <c r="O168" s="46" t="n">
        <v>0.18</v>
      </c>
      <c r="P168" s="46" t="n">
        <v>0.2424</v>
      </c>
      <c r="Q168" s="46" t="n">
        <f aca="false">IF(OR(P168="", ISBLANK(P168)), ROUND(0.9367*O168+0.0175, 4), P168)</f>
        <v>0.2424</v>
      </c>
      <c r="R168" s="33" t="str">
        <f aca="false">IF(OR(P168="", ISBLANK(P168)), "Imputed (Regression/Trend)", "Original")</f>
        <v>Original</v>
      </c>
      <c r="S168" s="46" t="n">
        <v>0.55</v>
      </c>
      <c r="T168" s="46" t="n">
        <v>0</v>
      </c>
      <c r="U168" s="18" t="n">
        <v>3</v>
      </c>
      <c r="V168" s="18" t="n">
        <v>13</v>
      </c>
      <c r="W168" s="18" t="n">
        <f aca="false">U168+V168</f>
        <v>16</v>
      </c>
      <c r="X168" s="47" t="n">
        <f aca="false">U168/W168</f>
        <v>0.1875</v>
      </c>
      <c r="Y168" s="47" t="n">
        <f aca="false">V168/W168</f>
        <v>0.8125</v>
      </c>
      <c r="Z168" s="33" t="str">
        <f aca="false">IF(W168&gt;=150, "High Demand", IF(W168&gt;=50, "Moderate Demand", "Low Demand"))</f>
        <v>Low Demand</v>
      </c>
      <c r="AA168" s="45" t="str">
        <f aca="false">TEXT(G168, "00") &amp; ":00"</f>
        <v>02:00</v>
      </c>
      <c r="AB168" s="43" t="n">
        <f aca="false">YEAR(B168)</f>
        <v>2011</v>
      </c>
      <c r="AC168" s="33" t="str">
        <f aca="false">TEXT(B168, "mmmm")</f>
        <v>January</v>
      </c>
      <c r="AD168" s="43" t="n">
        <f aca="false">LEN(TEXT(B168, "YYYY-MM-DD"))</f>
        <v>10</v>
      </c>
      <c r="AE168" s="45" t="str">
        <f aca="false">LEFT(TEXT(B168, "YYYY-MM-DD"), 4)</f>
        <v>2011</v>
      </c>
      <c r="AF168" s="45" t="str">
        <f aca="false">RIGHT(TEXT(B168, "YYYY-MM-DD"), 2)</f>
        <v>08</v>
      </c>
    </row>
    <row r="169" customFormat="false" ht="15" hidden="false" customHeight="false" outlineLevel="0" collapsed="false">
      <c r="A169" s="37" t="n">
        <v>165</v>
      </c>
      <c r="B169" s="38" t="s">
        <v>84</v>
      </c>
      <c r="C169" s="37" t="n">
        <v>1</v>
      </c>
      <c r="D169" s="35" t="str">
        <f aca="false">VLOOKUP(C169, Lookups_Metadata!$A$4:$B$7, 2, FALSE())</f>
        <v>Spring</v>
      </c>
      <c r="E169" s="37" t="n">
        <v>0</v>
      </c>
      <c r="F169" s="37" t="n">
        <v>1</v>
      </c>
      <c r="G169" s="37" t="n">
        <v>3</v>
      </c>
      <c r="H169" s="39" t="b">
        <f aca="false">FALSE()</f>
        <v>0</v>
      </c>
      <c r="I169" s="37" t="n">
        <v>6</v>
      </c>
      <c r="J169" s="35" t="str">
        <f aca="false">INDEX(Lookups_Metadata!$E$4:$E$10, MATCH(I169, Lookups_Metadata!$D$4:$D$10, 0))</f>
        <v>Saturday</v>
      </c>
      <c r="K169" s="35" t="str">
        <f aca="false">IF(H169=TRUE(), "Holiday", IF(OR(I169=0, I169=6), "Weekend", "Weekday"))</f>
        <v>Weekend</v>
      </c>
      <c r="L169" s="35" t="str">
        <f aca="false">IF(AND(K169="Weekday", OR(AND(G169&gt;=7, G169&lt;=9), AND(G169&gt;=17, G169&lt;=19))), "Peak Commute", "Off-Peak")</f>
        <v>Off-Peak</v>
      </c>
      <c r="M169" s="37" t="n">
        <v>3</v>
      </c>
      <c r="N169" s="35" t="str">
        <f aca="false">VLOOKUP(M169, Lookups_Metadata!$G$4:$H$7, 2, FALSE())</f>
        <v>Light Snow / Light Rain</v>
      </c>
      <c r="O169" s="40" t="n">
        <v>0.18</v>
      </c>
      <c r="P169" s="40" t="n">
        <v>0.197</v>
      </c>
      <c r="Q169" s="40" t="n">
        <f aca="false">IF(OR(P169="", ISBLANK(P169)), ROUND(0.9367*O169+0.0175, 4), P169)</f>
        <v>0.197</v>
      </c>
      <c r="R169" s="35" t="str">
        <f aca="false">IF(OR(P169="", ISBLANK(P169)), "Imputed (Regression/Trend)", "Original")</f>
        <v>Original</v>
      </c>
      <c r="S169" s="40" t="n">
        <v>0.55</v>
      </c>
      <c r="T169" s="40" t="n">
        <v>0.1642</v>
      </c>
      <c r="U169" s="41" t="n">
        <v>0</v>
      </c>
      <c r="V169" s="41" t="n">
        <v>7</v>
      </c>
      <c r="W169" s="41" t="n">
        <f aca="false">U169+V169</f>
        <v>7</v>
      </c>
      <c r="X169" s="42" t="n">
        <f aca="false">U169/W169</f>
        <v>0</v>
      </c>
      <c r="Y169" s="42" t="n">
        <f aca="false">V169/W169</f>
        <v>1</v>
      </c>
      <c r="Z169" s="35" t="str">
        <f aca="false">IF(W169&gt;=150, "High Demand", IF(W169&gt;=50, "Moderate Demand", "Low Demand"))</f>
        <v>Low Demand</v>
      </c>
      <c r="AA169" s="39" t="str">
        <f aca="false">TEXT(G169, "00") &amp; ":00"</f>
        <v>03:00</v>
      </c>
      <c r="AB169" s="37" t="n">
        <f aca="false">YEAR(B169)</f>
        <v>2011</v>
      </c>
      <c r="AC169" s="35" t="str">
        <f aca="false">TEXT(B169, "mmmm")</f>
        <v>January</v>
      </c>
      <c r="AD169" s="37" t="n">
        <f aca="false">LEN(TEXT(B169, "YYYY-MM-DD"))</f>
        <v>10</v>
      </c>
      <c r="AE169" s="39" t="str">
        <f aca="false">LEFT(TEXT(B169, "YYYY-MM-DD"), 4)</f>
        <v>2011</v>
      </c>
      <c r="AF169" s="39" t="str">
        <f aca="false">RIGHT(TEXT(B169, "YYYY-MM-DD"), 2)</f>
        <v>08</v>
      </c>
    </row>
    <row r="170" customFormat="false" ht="15" hidden="false" customHeight="false" outlineLevel="0" collapsed="false">
      <c r="A170" s="43" t="n">
        <v>166</v>
      </c>
      <c r="B170" s="44" t="s">
        <v>84</v>
      </c>
      <c r="C170" s="43" t="n">
        <v>1</v>
      </c>
      <c r="D170" s="33" t="str">
        <f aca="false">VLOOKUP(C170, Lookups_Metadata!$A$4:$B$7, 2, FALSE())</f>
        <v>Spring</v>
      </c>
      <c r="E170" s="43" t="n">
        <v>0</v>
      </c>
      <c r="F170" s="43" t="n">
        <v>1</v>
      </c>
      <c r="G170" s="43" t="n">
        <v>4</v>
      </c>
      <c r="H170" s="45" t="b">
        <f aca="false">FALSE()</f>
        <v>0</v>
      </c>
      <c r="I170" s="43" t="n">
        <v>6</v>
      </c>
      <c r="J170" s="33" t="str">
        <f aca="false">INDEX(Lookups_Metadata!$E$4:$E$10, MATCH(I170, Lookups_Metadata!$D$4:$D$10, 0))</f>
        <v>Saturday</v>
      </c>
      <c r="K170" s="33" t="str">
        <f aca="false">IF(H170=TRUE(), "Holiday", IF(OR(I170=0, I170=6), "Weekend", "Weekday"))</f>
        <v>Weekend</v>
      </c>
      <c r="L170" s="33" t="str">
        <f aca="false">IF(AND(K170="Weekday", OR(AND(G170&gt;=7, G170&lt;=9), AND(G170&gt;=17, G170&lt;=19))), "Peak Commute", "Off-Peak")</f>
        <v>Off-Peak</v>
      </c>
      <c r="M170" s="43" t="n">
        <v>3</v>
      </c>
      <c r="N170" s="33" t="str">
        <f aca="false">VLOOKUP(M170, Lookups_Metadata!$G$4:$H$7, 2, FALSE())</f>
        <v>Light Snow / Light Rain</v>
      </c>
      <c r="O170" s="46" t="n">
        <v>0.18</v>
      </c>
      <c r="P170" s="46" t="n">
        <v>0.197</v>
      </c>
      <c r="Q170" s="46" t="n">
        <f aca="false">IF(OR(P170="", ISBLANK(P170)), ROUND(0.9367*O170+0.0175, 4), P170)</f>
        <v>0.197</v>
      </c>
      <c r="R170" s="33" t="str">
        <f aca="false">IF(OR(P170="", ISBLANK(P170)), "Imputed (Regression/Trend)", "Original")</f>
        <v>Original</v>
      </c>
      <c r="S170" s="46" t="n">
        <v>0.55</v>
      </c>
      <c r="T170" s="46" t="n">
        <v>0.1642</v>
      </c>
      <c r="U170" s="18" t="n">
        <v>0</v>
      </c>
      <c r="V170" s="18" t="n">
        <v>1</v>
      </c>
      <c r="W170" s="18" t="n">
        <f aca="false">U170+V170</f>
        <v>1</v>
      </c>
      <c r="X170" s="47" t="n">
        <f aca="false">U170/W170</f>
        <v>0</v>
      </c>
      <c r="Y170" s="47" t="n">
        <f aca="false">V170/W170</f>
        <v>1</v>
      </c>
      <c r="Z170" s="33" t="str">
        <f aca="false">IF(W170&gt;=150, "High Demand", IF(W170&gt;=50, "Moderate Demand", "Low Demand"))</f>
        <v>Low Demand</v>
      </c>
      <c r="AA170" s="45" t="str">
        <f aca="false">TEXT(G170, "00") &amp; ":00"</f>
        <v>04:00</v>
      </c>
      <c r="AB170" s="43" t="n">
        <f aca="false">YEAR(B170)</f>
        <v>2011</v>
      </c>
      <c r="AC170" s="33" t="str">
        <f aca="false">TEXT(B170, "mmmm")</f>
        <v>January</v>
      </c>
      <c r="AD170" s="43" t="n">
        <f aca="false">LEN(TEXT(B170, "YYYY-MM-DD"))</f>
        <v>10</v>
      </c>
      <c r="AE170" s="45" t="str">
        <f aca="false">LEFT(TEXT(B170, "YYYY-MM-DD"), 4)</f>
        <v>2011</v>
      </c>
      <c r="AF170" s="45" t="str">
        <f aca="false">RIGHT(TEXT(B170, "YYYY-MM-DD"), 2)</f>
        <v>08</v>
      </c>
    </row>
    <row r="171" customFormat="false" ht="15" hidden="false" customHeight="false" outlineLevel="0" collapsed="false">
      <c r="A171" s="37" t="n">
        <v>167</v>
      </c>
      <c r="B171" s="38" t="s">
        <v>84</v>
      </c>
      <c r="C171" s="37" t="n">
        <v>1</v>
      </c>
      <c r="D171" s="35" t="str">
        <f aca="false">VLOOKUP(C171, Lookups_Metadata!$A$4:$B$7, 2, FALSE())</f>
        <v>Spring</v>
      </c>
      <c r="E171" s="37" t="n">
        <v>0</v>
      </c>
      <c r="F171" s="37" t="n">
        <v>1</v>
      </c>
      <c r="G171" s="37" t="n">
        <v>5</v>
      </c>
      <c r="H171" s="39" t="b">
        <f aca="false">FALSE()</f>
        <v>0</v>
      </c>
      <c r="I171" s="37" t="n">
        <v>6</v>
      </c>
      <c r="J171" s="35" t="str">
        <f aca="false">INDEX(Lookups_Metadata!$E$4:$E$10, MATCH(I171, Lookups_Metadata!$D$4:$D$10, 0))</f>
        <v>Saturday</v>
      </c>
      <c r="K171" s="35" t="str">
        <f aca="false">IF(H171=TRUE(), "Holiday", IF(OR(I171=0, I171=6), "Weekend", "Weekday"))</f>
        <v>Weekend</v>
      </c>
      <c r="L171" s="35" t="str">
        <f aca="false">IF(AND(K171="Weekday", OR(AND(G171&gt;=7, G171&lt;=9), AND(G171&gt;=17, G171&lt;=19))), "Peak Commute", "Off-Peak")</f>
        <v>Off-Peak</v>
      </c>
      <c r="M171" s="37" t="n">
        <v>2</v>
      </c>
      <c r="N171" s="35" t="str">
        <f aca="false">VLOOKUP(M171, Lookups_Metadata!$G$4:$H$7, 2, FALSE())</f>
        <v>Mist / Cloudy</v>
      </c>
      <c r="O171" s="40" t="n">
        <v>0.16</v>
      </c>
      <c r="P171" s="40" t="n">
        <v>0.1667</v>
      </c>
      <c r="Q171" s="40" t="n">
        <f aca="false">IF(OR(P171="", ISBLANK(P171)), ROUND(0.9367*O171+0.0175, 4), P171)</f>
        <v>0.1667</v>
      </c>
      <c r="R171" s="35" t="str">
        <f aca="false">IF(OR(P171="", ISBLANK(P171)), "Imputed (Regression/Trend)", "Original")</f>
        <v>Original</v>
      </c>
      <c r="S171" s="40" t="n">
        <v>0.74</v>
      </c>
      <c r="T171" s="40" t="n">
        <v>0.1642</v>
      </c>
      <c r="U171" s="41" t="n">
        <v>0</v>
      </c>
      <c r="V171" s="41" t="n">
        <v>5</v>
      </c>
      <c r="W171" s="41" t="n">
        <f aca="false">U171+V171</f>
        <v>5</v>
      </c>
      <c r="X171" s="42" t="n">
        <f aca="false">U171/W171</f>
        <v>0</v>
      </c>
      <c r="Y171" s="42" t="n">
        <f aca="false">V171/W171</f>
        <v>1</v>
      </c>
      <c r="Z171" s="35" t="str">
        <f aca="false">IF(W171&gt;=150, "High Demand", IF(W171&gt;=50, "Moderate Demand", "Low Demand"))</f>
        <v>Low Demand</v>
      </c>
      <c r="AA171" s="39" t="str">
        <f aca="false">TEXT(G171, "00") &amp; ":00"</f>
        <v>05:00</v>
      </c>
      <c r="AB171" s="37" t="n">
        <f aca="false">YEAR(B171)</f>
        <v>2011</v>
      </c>
      <c r="AC171" s="35" t="str">
        <f aca="false">TEXT(B171, "mmmm")</f>
        <v>January</v>
      </c>
      <c r="AD171" s="37" t="n">
        <f aca="false">LEN(TEXT(B171, "YYYY-MM-DD"))</f>
        <v>10</v>
      </c>
      <c r="AE171" s="39" t="str">
        <f aca="false">LEFT(TEXT(B171, "YYYY-MM-DD"), 4)</f>
        <v>2011</v>
      </c>
      <c r="AF171" s="39" t="str">
        <f aca="false">RIGHT(TEXT(B171, "YYYY-MM-DD"), 2)</f>
        <v>08</v>
      </c>
    </row>
    <row r="172" customFormat="false" ht="15" hidden="false" customHeight="false" outlineLevel="0" collapsed="false">
      <c r="A172" s="43" t="n">
        <v>168</v>
      </c>
      <c r="B172" s="44" t="s">
        <v>84</v>
      </c>
      <c r="C172" s="43" t="n">
        <v>1</v>
      </c>
      <c r="D172" s="33" t="str">
        <f aca="false">VLOOKUP(C172, Lookups_Metadata!$A$4:$B$7, 2, FALSE())</f>
        <v>Spring</v>
      </c>
      <c r="E172" s="43" t="n">
        <v>0</v>
      </c>
      <c r="F172" s="43" t="n">
        <v>1</v>
      </c>
      <c r="G172" s="43" t="n">
        <v>6</v>
      </c>
      <c r="H172" s="45" t="b">
        <f aca="false">FALSE()</f>
        <v>0</v>
      </c>
      <c r="I172" s="43" t="n">
        <v>6</v>
      </c>
      <c r="J172" s="33" t="str">
        <f aca="false">INDEX(Lookups_Metadata!$E$4:$E$10, MATCH(I172, Lookups_Metadata!$D$4:$D$10, 0))</f>
        <v>Saturday</v>
      </c>
      <c r="K172" s="33" t="str">
        <f aca="false">IF(H172=TRUE(), "Holiday", IF(OR(I172=0, I172=6), "Weekend", "Weekday"))</f>
        <v>Weekend</v>
      </c>
      <c r="L172" s="33" t="str">
        <f aca="false">IF(AND(K172="Weekday", OR(AND(G172&gt;=7, G172&lt;=9), AND(G172&gt;=17, G172&lt;=19))), "Peak Commute", "Off-Peak")</f>
        <v>Off-Peak</v>
      </c>
      <c r="M172" s="43" t="n">
        <v>2</v>
      </c>
      <c r="N172" s="33" t="str">
        <f aca="false">VLOOKUP(M172, Lookups_Metadata!$G$4:$H$7, 2, FALSE())</f>
        <v>Mist / Cloudy</v>
      </c>
      <c r="O172" s="46" t="n">
        <v>0.16</v>
      </c>
      <c r="P172" s="46" t="n">
        <v>0.1667</v>
      </c>
      <c r="Q172" s="46" t="n">
        <f aca="false">IF(OR(P172="", ISBLANK(P172)), ROUND(0.9367*O172+0.0175, 4), P172)</f>
        <v>0.1667</v>
      </c>
      <c r="R172" s="33" t="str">
        <f aca="false">IF(OR(P172="", ISBLANK(P172)), "Imputed (Regression/Trend)", "Original")</f>
        <v>Original</v>
      </c>
      <c r="S172" s="46" t="n">
        <v>0.74</v>
      </c>
      <c r="T172" s="46" t="n">
        <v>0.1642</v>
      </c>
      <c r="U172" s="18" t="n">
        <v>0</v>
      </c>
      <c r="V172" s="18" t="n">
        <v>2</v>
      </c>
      <c r="W172" s="18" t="n">
        <f aca="false">U172+V172</f>
        <v>2</v>
      </c>
      <c r="X172" s="47" t="n">
        <f aca="false">U172/W172</f>
        <v>0</v>
      </c>
      <c r="Y172" s="47" t="n">
        <f aca="false">V172/W172</f>
        <v>1</v>
      </c>
      <c r="Z172" s="33" t="str">
        <f aca="false">IF(W172&gt;=150, "High Demand", IF(W172&gt;=50, "Moderate Demand", "Low Demand"))</f>
        <v>Low Demand</v>
      </c>
      <c r="AA172" s="45" t="str">
        <f aca="false">TEXT(G172, "00") &amp; ":00"</f>
        <v>06:00</v>
      </c>
      <c r="AB172" s="43" t="n">
        <f aca="false">YEAR(B172)</f>
        <v>2011</v>
      </c>
      <c r="AC172" s="33" t="str">
        <f aca="false">TEXT(B172, "mmmm")</f>
        <v>January</v>
      </c>
      <c r="AD172" s="43" t="n">
        <f aca="false">LEN(TEXT(B172, "YYYY-MM-DD"))</f>
        <v>10</v>
      </c>
      <c r="AE172" s="45" t="str">
        <f aca="false">LEFT(TEXT(B172, "YYYY-MM-DD"), 4)</f>
        <v>2011</v>
      </c>
      <c r="AF172" s="45" t="str">
        <f aca="false">RIGHT(TEXT(B172, "YYYY-MM-DD"), 2)</f>
        <v>08</v>
      </c>
    </row>
    <row r="173" customFormat="false" ht="15" hidden="false" customHeight="false" outlineLevel="0" collapsed="false">
      <c r="A173" s="37" t="n">
        <v>169</v>
      </c>
      <c r="B173" s="38" t="s">
        <v>84</v>
      </c>
      <c r="C173" s="37" t="n">
        <v>1</v>
      </c>
      <c r="D173" s="35" t="str">
        <f aca="false">VLOOKUP(C173, Lookups_Metadata!$A$4:$B$7, 2, FALSE())</f>
        <v>Spring</v>
      </c>
      <c r="E173" s="37" t="n">
        <v>0</v>
      </c>
      <c r="F173" s="37" t="n">
        <v>1</v>
      </c>
      <c r="G173" s="37" t="n">
        <v>7</v>
      </c>
      <c r="H173" s="39" t="b">
        <f aca="false">FALSE()</f>
        <v>0</v>
      </c>
      <c r="I173" s="37" t="n">
        <v>6</v>
      </c>
      <c r="J173" s="35" t="str">
        <f aca="false">INDEX(Lookups_Metadata!$E$4:$E$10, MATCH(I173, Lookups_Metadata!$D$4:$D$10, 0))</f>
        <v>Saturday</v>
      </c>
      <c r="K173" s="35" t="str">
        <f aca="false">IF(H173=TRUE(), "Holiday", IF(OR(I173=0, I173=6), "Weekend", "Weekday"))</f>
        <v>Weekend</v>
      </c>
      <c r="L173" s="35" t="str">
        <f aca="false">IF(AND(K173="Weekday", OR(AND(G173&gt;=7, G173&lt;=9), AND(G173&gt;=17, G173&lt;=19))), "Peak Commute", "Off-Peak")</f>
        <v>Off-Peak</v>
      </c>
      <c r="M173" s="37" t="n">
        <v>2</v>
      </c>
      <c r="N173" s="35" t="str">
        <f aca="false">VLOOKUP(M173, Lookups_Metadata!$G$4:$H$7, 2, FALSE())</f>
        <v>Mist / Cloudy</v>
      </c>
      <c r="O173" s="40" t="n">
        <v>0.16</v>
      </c>
      <c r="P173" s="40" t="n">
        <v>0.1818</v>
      </c>
      <c r="Q173" s="40" t="n">
        <f aca="false">IF(OR(P173="", ISBLANK(P173)), ROUND(0.9367*O173+0.0175, 4), P173)</f>
        <v>0.1818</v>
      </c>
      <c r="R173" s="35" t="str">
        <f aca="false">IF(OR(P173="", ISBLANK(P173)), "Imputed (Regression/Trend)", "Original")</f>
        <v>Original</v>
      </c>
      <c r="S173" s="40" t="n">
        <v>0.74</v>
      </c>
      <c r="T173" s="40" t="n">
        <v>0.1045</v>
      </c>
      <c r="U173" s="41" t="n">
        <v>1</v>
      </c>
      <c r="V173" s="41" t="n">
        <v>8</v>
      </c>
      <c r="W173" s="41" t="n">
        <f aca="false">U173+V173</f>
        <v>9</v>
      </c>
      <c r="X173" s="42" t="n">
        <f aca="false">U173/W173</f>
        <v>0.111111111111111</v>
      </c>
      <c r="Y173" s="42" t="n">
        <f aca="false">V173/W173</f>
        <v>0.888888888888889</v>
      </c>
      <c r="Z173" s="35" t="str">
        <f aca="false">IF(W173&gt;=150, "High Demand", IF(W173&gt;=50, "Moderate Demand", "Low Demand"))</f>
        <v>Low Demand</v>
      </c>
      <c r="AA173" s="39" t="str">
        <f aca="false">TEXT(G173, "00") &amp; ":00"</f>
        <v>07:00</v>
      </c>
      <c r="AB173" s="37" t="n">
        <f aca="false">YEAR(B173)</f>
        <v>2011</v>
      </c>
      <c r="AC173" s="35" t="str">
        <f aca="false">TEXT(B173, "mmmm")</f>
        <v>January</v>
      </c>
      <c r="AD173" s="37" t="n">
        <f aca="false">LEN(TEXT(B173, "YYYY-MM-DD"))</f>
        <v>10</v>
      </c>
      <c r="AE173" s="39" t="str">
        <f aca="false">LEFT(TEXT(B173, "YYYY-MM-DD"), 4)</f>
        <v>2011</v>
      </c>
      <c r="AF173" s="39" t="str">
        <f aca="false">RIGHT(TEXT(B173, "YYYY-MM-DD"), 2)</f>
        <v>08</v>
      </c>
    </row>
    <row r="174" customFormat="false" ht="15" hidden="false" customHeight="false" outlineLevel="0" collapsed="false">
      <c r="A174" s="43" t="n">
        <v>170</v>
      </c>
      <c r="B174" s="44" t="s">
        <v>84</v>
      </c>
      <c r="C174" s="43" t="n">
        <v>1</v>
      </c>
      <c r="D174" s="33" t="str">
        <f aca="false">VLOOKUP(C174, Lookups_Metadata!$A$4:$B$7, 2, FALSE())</f>
        <v>Spring</v>
      </c>
      <c r="E174" s="43" t="n">
        <v>0</v>
      </c>
      <c r="F174" s="43" t="n">
        <v>1</v>
      </c>
      <c r="G174" s="43" t="n">
        <v>8</v>
      </c>
      <c r="H174" s="45" t="b">
        <f aca="false">FALSE()</f>
        <v>0</v>
      </c>
      <c r="I174" s="43" t="n">
        <v>6</v>
      </c>
      <c r="J174" s="33" t="str">
        <f aca="false">INDEX(Lookups_Metadata!$E$4:$E$10, MATCH(I174, Lookups_Metadata!$D$4:$D$10, 0))</f>
        <v>Saturday</v>
      </c>
      <c r="K174" s="33" t="str">
        <f aca="false">IF(H174=TRUE(), "Holiday", IF(OR(I174=0, I174=6), "Weekend", "Weekday"))</f>
        <v>Weekend</v>
      </c>
      <c r="L174" s="33" t="str">
        <f aca="false">IF(AND(K174="Weekday", OR(AND(G174&gt;=7, G174&lt;=9), AND(G174&gt;=17, G174&lt;=19))), "Peak Commute", "Off-Peak")</f>
        <v>Off-Peak</v>
      </c>
      <c r="M174" s="43" t="n">
        <v>3</v>
      </c>
      <c r="N174" s="33" t="str">
        <f aca="false">VLOOKUP(M174, Lookups_Metadata!$G$4:$H$7, 2, FALSE())</f>
        <v>Light Snow / Light Rain</v>
      </c>
      <c r="O174" s="46" t="n">
        <v>0.16</v>
      </c>
      <c r="P174" s="46" t="n">
        <v>0.1818</v>
      </c>
      <c r="Q174" s="46" t="n">
        <f aca="false">IF(OR(P174="", ISBLANK(P174)), ROUND(0.9367*O174+0.0175, 4), P174)</f>
        <v>0.1818</v>
      </c>
      <c r="R174" s="33" t="str">
        <f aca="false">IF(OR(P174="", ISBLANK(P174)), "Imputed (Regression/Trend)", "Original")</f>
        <v>Original</v>
      </c>
      <c r="S174" s="46" t="n">
        <v>0.93</v>
      </c>
      <c r="T174" s="46" t="n">
        <v>0.1045</v>
      </c>
      <c r="U174" s="18" t="n">
        <v>0</v>
      </c>
      <c r="V174" s="18" t="n">
        <v>15</v>
      </c>
      <c r="W174" s="18" t="n">
        <f aca="false">U174+V174</f>
        <v>15</v>
      </c>
      <c r="X174" s="47" t="n">
        <f aca="false">U174/W174</f>
        <v>0</v>
      </c>
      <c r="Y174" s="47" t="n">
        <f aca="false">V174/W174</f>
        <v>1</v>
      </c>
      <c r="Z174" s="33" t="str">
        <f aca="false">IF(W174&gt;=150, "High Demand", IF(W174&gt;=50, "Moderate Demand", "Low Demand"))</f>
        <v>Low Demand</v>
      </c>
      <c r="AA174" s="45" t="str">
        <f aca="false">TEXT(G174, "00") &amp; ":00"</f>
        <v>08:00</v>
      </c>
      <c r="AB174" s="43" t="n">
        <f aca="false">YEAR(B174)</f>
        <v>2011</v>
      </c>
      <c r="AC174" s="33" t="str">
        <f aca="false">TEXT(B174, "mmmm")</f>
        <v>January</v>
      </c>
      <c r="AD174" s="43" t="n">
        <f aca="false">LEN(TEXT(B174, "YYYY-MM-DD"))</f>
        <v>10</v>
      </c>
      <c r="AE174" s="45" t="str">
        <f aca="false">LEFT(TEXT(B174, "YYYY-MM-DD"), 4)</f>
        <v>2011</v>
      </c>
      <c r="AF174" s="45" t="str">
        <f aca="false">RIGHT(TEXT(B174, "YYYY-MM-DD"), 2)</f>
        <v>08</v>
      </c>
    </row>
    <row r="175" customFormat="false" ht="15" hidden="false" customHeight="false" outlineLevel="0" collapsed="false">
      <c r="A175" s="37" t="n">
        <v>171</v>
      </c>
      <c r="B175" s="38" t="s">
        <v>84</v>
      </c>
      <c r="C175" s="37" t="n">
        <v>1</v>
      </c>
      <c r="D175" s="35" t="str">
        <f aca="false">VLOOKUP(C175, Lookups_Metadata!$A$4:$B$7, 2, FALSE())</f>
        <v>Spring</v>
      </c>
      <c r="E175" s="37" t="n">
        <v>0</v>
      </c>
      <c r="F175" s="37" t="n">
        <v>1</v>
      </c>
      <c r="G175" s="37" t="n">
        <v>9</v>
      </c>
      <c r="H175" s="39" t="b">
        <f aca="false">FALSE()</f>
        <v>0</v>
      </c>
      <c r="I175" s="37" t="n">
        <v>6</v>
      </c>
      <c r="J175" s="35" t="str">
        <f aca="false">INDEX(Lookups_Metadata!$E$4:$E$10, MATCH(I175, Lookups_Metadata!$D$4:$D$10, 0))</f>
        <v>Saturday</v>
      </c>
      <c r="K175" s="35" t="str">
        <f aca="false">IF(H175=TRUE(), "Holiday", IF(OR(I175=0, I175=6), "Weekend", "Weekday"))</f>
        <v>Weekend</v>
      </c>
      <c r="L175" s="35" t="str">
        <f aca="false">IF(AND(K175="Weekday", OR(AND(G175&gt;=7, G175&lt;=9), AND(G175&gt;=17, G175&lt;=19))), "Peak Commute", "Off-Peak")</f>
        <v>Off-Peak</v>
      </c>
      <c r="M175" s="37" t="n">
        <v>3</v>
      </c>
      <c r="N175" s="35" t="str">
        <f aca="false">VLOOKUP(M175, Lookups_Metadata!$G$4:$H$7, 2, FALSE())</f>
        <v>Light Snow / Light Rain</v>
      </c>
      <c r="O175" s="40" t="n">
        <v>0.16</v>
      </c>
      <c r="P175" s="40" t="n">
        <v>0.1818</v>
      </c>
      <c r="Q175" s="40" t="n">
        <f aca="false">IF(OR(P175="", ISBLANK(P175)), ROUND(0.9367*O175+0.0175, 4), P175)</f>
        <v>0.1818</v>
      </c>
      <c r="R175" s="35" t="str">
        <f aca="false">IF(OR(P175="", ISBLANK(P175)), "Imputed (Regression/Trend)", "Original")</f>
        <v>Original</v>
      </c>
      <c r="S175" s="40" t="n">
        <v>0.93</v>
      </c>
      <c r="T175" s="40" t="n">
        <v>0.1045</v>
      </c>
      <c r="U175" s="41" t="n">
        <v>0</v>
      </c>
      <c r="V175" s="41" t="n">
        <v>20</v>
      </c>
      <c r="W175" s="41" t="n">
        <f aca="false">U175+V175</f>
        <v>20</v>
      </c>
      <c r="X175" s="42" t="n">
        <f aca="false">U175/W175</f>
        <v>0</v>
      </c>
      <c r="Y175" s="42" t="n">
        <f aca="false">V175/W175</f>
        <v>1</v>
      </c>
      <c r="Z175" s="35" t="str">
        <f aca="false">IF(W175&gt;=150, "High Demand", IF(W175&gt;=50, "Moderate Demand", "Low Demand"))</f>
        <v>Low Demand</v>
      </c>
      <c r="AA175" s="39" t="str">
        <f aca="false">TEXT(G175, "00") &amp; ":00"</f>
        <v>09:00</v>
      </c>
      <c r="AB175" s="37" t="n">
        <f aca="false">YEAR(B175)</f>
        <v>2011</v>
      </c>
      <c r="AC175" s="35" t="str">
        <f aca="false">TEXT(B175, "mmmm")</f>
        <v>January</v>
      </c>
      <c r="AD175" s="37" t="n">
        <f aca="false">LEN(TEXT(B175, "YYYY-MM-DD"))</f>
        <v>10</v>
      </c>
      <c r="AE175" s="39" t="str">
        <f aca="false">LEFT(TEXT(B175, "YYYY-MM-DD"), 4)</f>
        <v>2011</v>
      </c>
      <c r="AF175" s="39" t="str">
        <f aca="false">RIGHT(TEXT(B175, "YYYY-MM-DD"), 2)</f>
        <v>08</v>
      </c>
    </row>
    <row r="176" customFormat="false" ht="15" hidden="false" customHeight="false" outlineLevel="0" collapsed="false">
      <c r="A176" s="43" t="n">
        <v>172</v>
      </c>
      <c r="B176" s="44" t="s">
        <v>84</v>
      </c>
      <c r="C176" s="43" t="n">
        <v>1</v>
      </c>
      <c r="D176" s="33" t="str">
        <f aca="false">VLOOKUP(C176, Lookups_Metadata!$A$4:$B$7, 2, FALSE())</f>
        <v>Spring</v>
      </c>
      <c r="E176" s="43" t="n">
        <v>0</v>
      </c>
      <c r="F176" s="43" t="n">
        <v>1</v>
      </c>
      <c r="G176" s="43" t="n">
        <v>10</v>
      </c>
      <c r="H176" s="45" t="b">
        <f aca="false">FALSE()</f>
        <v>0</v>
      </c>
      <c r="I176" s="43" t="n">
        <v>6</v>
      </c>
      <c r="J176" s="33" t="str">
        <f aca="false">INDEX(Lookups_Metadata!$E$4:$E$10, MATCH(I176, Lookups_Metadata!$D$4:$D$10, 0))</f>
        <v>Saturday</v>
      </c>
      <c r="K176" s="33" t="str">
        <f aca="false">IF(H176=TRUE(), "Holiday", IF(OR(I176=0, I176=6), "Weekend", "Weekday"))</f>
        <v>Weekend</v>
      </c>
      <c r="L176" s="33" t="str">
        <f aca="false">IF(AND(K176="Weekday", OR(AND(G176&gt;=7, G176&lt;=9), AND(G176&gt;=17, G176&lt;=19))), "Peak Commute", "Off-Peak")</f>
        <v>Off-Peak</v>
      </c>
      <c r="M176" s="43" t="n">
        <v>2</v>
      </c>
      <c r="N176" s="33" t="str">
        <f aca="false">VLOOKUP(M176, Lookups_Metadata!$G$4:$H$7, 2, FALSE())</f>
        <v>Mist / Cloudy</v>
      </c>
      <c r="O176" s="46" t="n">
        <v>0.18</v>
      </c>
      <c r="P176" s="46" t="n">
        <v>0.197</v>
      </c>
      <c r="Q176" s="46" t="n">
        <f aca="false">IF(OR(P176="", ISBLANK(P176)), ROUND(0.9367*O176+0.0175, 4), P176)</f>
        <v>0.197</v>
      </c>
      <c r="R176" s="33" t="str">
        <f aca="false">IF(OR(P176="", ISBLANK(P176)), "Imputed (Regression/Trend)", "Original")</f>
        <v>Original</v>
      </c>
      <c r="S176" s="46" t="n">
        <v>0.8</v>
      </c>
      <c r="T176" s="46" t="n">
        <v>0.1642</v>
      </c>
      <c r="U176" s="18" t="n">
        <v>5</v>
      </c>
      <c r="V176" s="18" t="n">
        <v>56</v>
      </c>
      <c r="W176" s="18" t="n">
        <f aca="false">U176+V176</f>
        <v>61</v>
      </c>
      <c r="X176" s="47" t="n">
        <f aca="false">U176/W176</f>
        <v>0.0819672131147541</v>
      </c>
      <c r="Y176" s="47" t="n">
        <f aca="false">V176/W176</f>
        <v>0.918032786885246</v>
      </c>
      <c r="Z176" s="33" t="str">
        <f aca="false">IF(W176&gt;=150, "High Demand", IF(W176&gt;=50, "Moderate Demand", "Low Demand"))</f>
        <v>Moderate Demand</v>
      </c>
      <c r="AA176" s="45" t="str">
        <f aca="false">TEXT(G176, "00") &amp; ":00"</f>
        <v>10:00</v>
      </c>
      <c r="AB176" s="43" t="n">
        <f aca="false">YEAR(B176)</f>
        <v>2011</v>
      </c>
      <c r="AC176" s="33" t="str">
        <f aca="false">TEXT(B176, "mmmm")</f>
        <v>January</v>
      </c>
      <c r="AD176" s="43" t="n">
        <f aca="false">LEN(TEXT(B176, "YYYY-MM-DD"))</f>
        <v>10</v>
      </c>
      <c r="AE176" s="45" t="str">
        <f aca="false">LEFT(TEXT(B176, "YYYY-MM-DD"), 4)</f>
        <v>2011</v>
      </c>
      <c r="AF176" s="45" t="str">
        <f aca="false">RIGHT(TEXT(B176, "YYYY-MM-DD"), 2)</f>
        <v>08</v>
      </c>
    </row>
    <row r="177" customFormat="false" ht="15" hidden="false" customHeight="false" outlineLevel="0" collapsed="false">
      <c r="A177" s="37" t="n">
        <v>173</v>
      </c>
      <c r="B177" s="38" t="s">
        <v>84</v>
      </c>
      <c r="C177" s="37" t="n">
        <v>1</v>
      </c>
      <c r="D177" s="35" t="str">
        <f aca="false">VLOOKUP(C177, Lookups_Metadata!$A$4:$B$7, 2, FALSE())</f>
        <v>Spring</v>
      </c>
      <c r="E177" s="37" t="n">
        <v>0</v>
      </c>
      <c r="F177" s="37" t="n">
        <v>1</v>
      </c>
      <c r="G177" s="37" t="n">
        <v>11</v>
      </c>
      <c r="H177" s="39" t="b">
        <f aca="false">FALSE()</f>
        <v>0</v>
      </c>
      <c r="I177" s="37" t="n">
        <v>6</v>
      </c>
      <c r="J177" s="35" t="str">
        <f aca="false">INDEX(Lookups_Metadata!$E$4:$E$10, MATCH(I177, Lookups_Metadata!$D$4:$D$10, 0))</f>
        <v>Saturday</v>
      </c>
      <c r="K177" s="35" t="str">
        <f aca="false">IF(H177=TRUE(), "Holiday", IF(OR(I177=0, I177=6), "Weekend", "Weekday"))</f>
        <v>Weekend</v>
      </c>
      <c r="L177" s="35" t="str">
        <f aca="false">IF(AND(K177="Weekday", OR(AND(G177&gt;=7, G177&lt;=9), AND(G177&gt;=17, G177&lt;=19))), "Peak Commute", "Off-Peak")</f>
        <v>Off-Peak</v>
      </c>
      <c r="M177" s="37" t="n">
        <v>2</v>
      </c>
      <c r="N177" s="35" t="str">
        <f aca="false">VLOOKUP(M177, Lookups_Metadata!$G$4:$H$7, 2, FALSE())</f>
        <v>Mist / Cloudy</v>
      </c>
      <c r="O177" s="40" t="n">
        <v>0.2</v>
      </c>
      <c r="P177" s="40" t="n">
        <v>0.1818</v>
      </c>
      <c r="Q177" s="40" t="n">
        <f aca="false">IF(OR(P177="", ISBLANK(P177)), ROUND(0.9367*O177+0.0175, 4), P177)</f>
        <v>0.1818</v>
      </c>
      <c r="R177" s="35" t="str">
        <f aca="false">IF(OR(P177="", ISBLANK(P177)), "Imputed (Regression/Trend)", "Original")</f>
        <v>Original</v>
      </c>
      <c r="S177" s="40" t="n">
        <v>0.69</v>
      </c>
      <c r="T177" s="40" t="n">
        <v>0.3881</v>
      </c>
      <c r="U177" s="41" t="n">
        <v>2</v>
      </c>
      <c r="V177" s="41" t="n">
        <v>60</v>
      </c>
      <c r="W177" s="41" t="n">
        <f aca="false">U177+V177</f>
        <v>62</v>
      </c>
      <c r="X177" s="42" t="n">
        <f aca="false">U177/W177</f>
        <v>0.032258064516129</v>
      </c>
      <c r="Y177" s="42" t="n">
        <f aca="false">V177/W177</f>
        <v>0.967741935483871</v>
      </c>
      <c r="Z177" s="35" t="str">
        <f aca="false">IF(W177&gt;=150, "High Demand", IF(W177&gt;=50, "Moderate Demand", "Low Demand"))</f>
        <v>Moderate Demand</v>
      </c>
      <c r="AA177" s="39" t="str">
        <f aca="false">TEXT(G177, "00") &amp; ":00"</f>
        <v>11:00</v>
      </c>
      <c r="AB177" s="37" t="n">
        <f aca="false">YEAR(B177)</f>
        <v>2011</v>
      </c>
      <c r="AC177" s="35" t="str">
        <f aca="false">TEXT(B177, "mmmm")</f>
        <v>January</v>
      </c>
      <c r="AD177" s="37" t="n">
        <f aca="false">LEN(TEXT(B177, "YYYY-MM-DD"))</f>
        <v>10</v>
      </c>
      <c r="AE177" s="39" t="str">
        <f aca="false">LEFT(TEXT(B177, "YYYY-MM-DD"), 4)</f>
        <v>2011</v>
      </c>
      <c r="AF177" s="39" t="str">
        <f aca="false">RIGHT(TEXT(B177, "YYYY-MM-DD"), 2)</f>
        <v>08</v>
      </c>
    </row>
    <row r="178" customFormat="false" ht="15" hidden="false" customHeight="false" outlineLevel="0" collapsed="false">
      <c r="A178" s="43" t="n">
        <v>174</v>
      </c>
      <c r="B178" s="44" t="s">
        <v>84</v>
      </c>
      <c r="C178" s="43" t="n">
        <v>1</v>
      </c>
      <c r="D178" s="33" t="str">
        <f aca="false">VLOOKUP(C178, Lookups_Metadata!$A$4:$B$7, 2, FALSE())</f>
        <v>Spring</v>
      </c>
      <c r="E178" s="43" t="n">
        <v>0</v>
      </c>
      <c r="F178" s="43" t="n">
        <v>1</v>
      </c>
      <c r="G178" s="43" t="n">
        <v>12</v>
      </c>
      <c r="H178" s="45" t="b">
        <f aca="false">FALSE()</f>
        <v>0</v>
      </c>
      <c r="I178" s="43" t="n">
        <v>6</v>
      </c>
      <c r="J178" s="33" t="str">
        <f aca="false">INDEX(Lookups_Metadata!$E$4:$E$10, MATCH(I178, Lookups_Metadata!$D$4:$D$10, 0))</f>
        <v>Saturday</v>
      </c>
      <c r="K178" s="33" t="str">
        <f aca="false">IF(H178=TRUE(), "Holiday", IF(OR(I178=0, I178=6), "Weekend", "Weekday"))</f>
        <v>Weekend</v>
      </c>
      <c r="L178" s="33" t="str">
        <f aca="false">IF(AND(K178="Weekday", OR(AND(G178&gt;=7, G178&lt;=9), AND(G178&gt;=17, G178&lt;=19))), "Peak Commute", "Off-Peak")</f>
        <v>Off-Peak</v>
      </c>
      <c r="M178" s="43" t="n">
        <v>2</v>
      </c>
      <c r="N178" s="33" t="str">
        <f aca="false">VLOOKUP(M178, Lookups_Metadata!$G$4:$H$7, 2, FALSE())</f>
        <v>Mist / Cloudy</v>
      </c>
      <c r="O178" s="46" t="n">
        <v>0.2</v>
      </c>
      <c r="P178" s="46" t="n">
        <v>0.1818</v>
      </c>
      <c r="Q178" s="46" t="n">
        <f aca="false">IF(OR(P178="", ISBLANK(P178)), ROUND(0.9367*O178+0.0175, 4), P178)</f>
        <v>0.1818</v>
      </c>
      <c r="R178" s="33" t="str">
        <f aca="false">IF(OR(P178="", ISBLANK(P178)), "Imputed (Regression/Trend)", "Original")</f>
        <v>Original</v>
      </c>
      <c r="S178" s="46" t="n">
        <v>0.59</v>
      </c>
      <c r="T178" s="46" t="n">
        <v>0.3582</v>
      </c>
      <c r="U178" s="18" t="n">
        <v>8</v>
      </c>
      <c r="V178" s="18" t="n">
        <v>90</v>
      </c>
      <c r="W178" s="18" t="n">
        <f aca="false">U178+V178</f>
        <v>98</v>
      </c>
      <c r="X178" s="47" t="n">
        <f aca="false">U178/W178</f>
        <v>0.0816326530612245</v>
      </c>
      <c r="Y178" s="47" t="n">
        <f aca="false">V178/W178</f>
        <v>0.918367346938776</v>
      </c>
      <c r="Z178" s="33" t="str">
        <f aca="false">IF(W178&gt;=150, "High Demand", IF(W178&gt;=50, "Moderate Demand", "Low Demand"))</f>
        <v>Moderate Demand</v>
      </c>
      <c r="AA178" s="45" t="str">
        <f aca="false">TEXT(G178, "00") &amp; ":00"</f>
        <v>12:00</v>
      </c>
      <c r="AB178" s="43" t="n">
        <f aca="false">YEAR(B178)</f>
        <v>2011</v>
      </c>
      <c r="AC178" s="33" t="str">
        <f aca="false">TEXT(B178, "mmmm")</f>
        <v>January</v>
      </c>
      <c r="AD178" s="43" t="n">
        <f aca="false">LEN(TEXT(B178, "YYYY-MM-DD"))</f>
        <v>10</v>
      </c>
      <c r="AE178" s="45" t="str">
        <f aca="false">LEFT(TEXT(B178, "YYYY-MM-DD"), 4)</f>
        <v>2011</v>
      </c>
      <c r="AF178" s="45" t="str">
        <f aca="false">RIGHT(TEXT(B178, "YYYY-MM-DD"), 2)</f>
        <v>08</v>
      </c>
    </row>
    <row r="179" customFormat="false" ht="15" hidden="false" customHeight="false" outlineLevel="0" collapsed="false">
      <c r="A179" s="37" t="n">
        <v>175</v>
      </c>
      <c r="B179" s="38" t="s">
        <v>84</v>
      </c>
      <c r="C179" s="37" t="n">
        <v>1</v>
      </c>
      <c r="D179" s="35" t="str">
        <f aca="false">VLOOKUP(C179, Lookups_Metadata!$A$4:$B$7, 2, FALSE())</f>
        <v>Spring</v>
      </c>
      <c r="E179" s="37" t="n">
        <v>0</v>
      </c>
      <c r="F179" s="37" t="n">
        <v>1</v>
      </c>
      <c r="G179" s="37" t="n">
        <v>13</v>
      </c>
      <c r="H179" s="39" t="b">
        <f aca="false">FALSE()</f>
        <v>0</v>
      </c>
      <c r="I179" s="37" t="n">
        <v>6</v>
      </c>
      <c r="J179" s="35" t="str">
        <f aca="false">INDEX(Lookups_Metadata!$E$4:$E$10, MATCH(I179, Lookups_Metadata!$D$4:$D$10, 0))</f>
        <v>Saturday</v>
      </c>
      <c r="K179" s="35" t="str">
        <f aca="false">IF(H179=TRUE(), "Holiday", IF(OR(I179=0, I179=6), "Weekend", "Weekday"))</f>
        <v>Weekend</v>
      </c>
      <c r="L179" s="35" t="str">
        <f aca="false">IF(AND(K179="Weekday", OR(AND(G179&gt;=7, G179&lt;=9), AND(G179&gt;=17, G179&lt;=19))), "Peak Commute", "Off-Peak")</f>
        <v>Off-Peak</v>
      </c>
      <c r="M179" s="37" t="n">
        <v>1</v>
      </c>
      <c r="N179" s="35" t="str">
        <f aca="false">VLOOKUP(M179, Lookups_Metadata!$G$4:$H$7, 2, FALSE())</f>
        <v>Clear / Few Clouds</v>
      </c>
      <c r="O179" s="40" t="n">
        <v>0.2</v>
      </c>
      <c r="P179" s="40" t="n">
        <v>0.1818</v>
      </c>
      <c r="Q179" s="40" t="n">
        <f aca="false">IF(OR(P179="", ISBLANK(P179)), ROUND(0.9367*O179+0.0175, 4), P179)</f>
        <v>0.1818</v>
      </c>
      <c r="R179" s="35" t="str">
        <f aca="false">IF(OR(P179="", ISBLANK(P179)), "Imputed (Regression/Trend)", "Original")</f>
        <v>Original</v>
      </c>
      <c r="S179" s="40" t="n">
        <v>0.44</v>
      </c>
      <c r="T179" s="40" t="n">
        <v>0.3284</v>
      </c>
      <c r="U179" s="41" t="n">
        <v>7</v>
      </c>
      <c r="V179" s="41" t="n">
        <v>95</v>
      </c>
      <c r="W179" s="41" t="n">
        <f aca="false">U179+V179</f>
        <v>102</v>
      </c>
      <c r="X179" s="42" t="n">
        <f aca="false">U179/W179</f>
        <v>0.0686274509803922</v>
      </c>
      <c r="Y179" s="42" t="n">
        <f aca="false">V179/W179</f>
        <v>0.931372549019608</v>
      </c>
      <c r="Z179" s="35" t="str">
        <f aca="false">IF(W179&gt;=150, "High Demand", IF(W179&gt;=50, "Moderate Demand", "Low Demand"))</f>
        <v>Moderate Demand</v>
      </c>
      <c r="AA179" s="39" t="str">
        <f aca="false">TEXT(G179, "00") &amp; ":00"</f>
        <v>13:00</v>
      </c>
      <c r="AB179" s="37" t="n">
        <f aca="false">YEAR(B179)</f>
        <v>2011</v>
      </c>
      <c r="AC179" s="35" t="str">
        <f aca="false">TEXT(B179, "mmmm")</f>
        <v>January</v>
      </c>
      <c r="AD179" s="37" t="n">
        <f aca="false">LEN(TEXT(B179, "YYYY-MM-DD"))</f>
        <v>10</v>
      </c>
      <c r="AE179" s="39" t="str">
        <f aca="false">LEFT(TEXT(B179, "YYYY-MM-DD"), 4)</f>
        <v>2011</v>
      </c>
      <c r="AF179" s="39" t="str">
        <f aca="false">RIGHT(TEXT(B179, "YYYY-MM-DD"), 2)</f>
        <v>08</v>
      </c>
    </row>
    <row r="180" customFormat="false" ht="15" hidden="false" customHeight="false" outlineLevel="0" collapsed="false">
      <c r="A180" s="43" t="n">
        <v>176</v>
      </c>
      <c r="B180" s="44" t="s">
        <v>84</v>
      </c>
      <c r="C180" s="43" t="n">
        <v>1</v>
      </c>
      <c r="D180" s="33" t="str">
        <f aca="false">VLOOKUP(C180, Lookups_Metadata!$A$4:$B$7, 2, FALSE())</f>
        <v>Spring</v>
      </c>
      <c r="E180" s="43" t="n">
        <v>0</v>
      </c>
      <c r="F180" s="43" t="n">
        <v>1</v>
      </c>
      <c r="G180" s="43" t="n">
        <v>14</v>
      </c>
      <c r="H180" s="45" t="b">
        <f aca="false">FALSE()</f>
        <v>0</v>
      </c>
      <c r="I180" s="43" t="n">
        <v>6</v>
      </c>
      <c r="J180" s="33" t="str">
        <f aca="false">INDEX(Lookups_Metadata!$E$4:$E$10, MATCH(I180, Lookups_Metadata!$D$4:$D$10, 0))</f>
        <v>Saturday</v>
      </c>
      <c r="K180" s="33" t="str">
        <f aca="false">IF(H180=TRUE(), "Holiday", IF(OR(I180=0, I180=6), "Weekend", "Weekday"))</f>
        <v>Weekend</v>
      </c>
      <c r="L180" s="33" t="str">
        <f aca="false">IF(AND(K180="Weekday", OR(AND(G180&gt;=7, G180&lt;=9), AND(G180&gt;=17, G180&lt;=19))), "Peak Commute", "Off-Peak")</f>
        <v>Off-Peak</v>
      </c>
      <c r="M180" s="43" t="n">
        <v>1</v>
      </c>
      <c r="N180" s="33" t="str">
        <f aca="false">VLOOKUP(M180, Lookups_Metadata!$G$4:$H$7, 2, FALSE())</f>
        <v>Clear / Few Clouds</v>
      </c>
      <c r="O180" s="46" t="n">
        <v>0.2</v>
      </c>
      <c r="P180" s="46" t="n">
        <v>0.1667</v>
      </c>
      <c r="Q180" s="46" t="n">
        <f aca="false">IF(OR(P180="", ISBLANK(P180)), ROUND(0.9367*O180+0.0175, 4), P180)</f>
        <v>0.1667</v>
      </c>
      <c r="R180" s="33" t="str">
        <f aca="false">IF(OR(P180="", ISBLANK(P180)), "Imputed (Regression/Trend)", "Original")</f>
        <v>Original</v>
      </c>
      <c r="S180" s="46" t="n">
        <v>0.32</v>
      </c>
      <c r="T180" s="46" t="n">
        <v>0.4925</v>
      </c>
      <c r="U180" s="18" t="n">
        <v>12</v>
      </c>
      <c r="V180" s="18" t="n">
        <v>83</v>
      </c>
      <c r="W180" s="18" t="n">
        <f aca="false">U180+V180</f>
        <v>95</v>
      </c>
      <c r="X180" s="47" t="n">
        <f aca="false">U180/W180</f>
        <v>0.126315789473684</v>
      </c>
      <c r="Y180" s="47" t="n">
        <f aca="false">V180/W180</f>
        <v>0.873684210526316</v>
      </c>
      <c r="Z180" s="33" t="str">
        <f aca="false">IF(W180&gt;=150, "High Demand", IF(W180&gt;=50, "Moderate Demand", "Low Demand"))</f>
        <v>Moderate Demand</v>
      </c>
      <c r="AA180" s="45" t="str">
        <f aca="false">TEXT(G180, "00") &amp; ":00"</f>
        <v>14:00</v>
      </c>
      <c r="AB180" s="43" t="n">
        <f aca="false">YEAR(B180)</f>
        <v>2011</v>
      </c>
      <c r="AC180" s="33" t="str">
        <f aca="false">TEXT(B180, "mmmm")</f>
        <v>January</v>
      </c>
      <c r="AD180" s="43" t="n">
        <f aca="false">LEN(TEXT(B180, "YYYY-MM-DD"))</f>
        <v>10</v>
      </c>
      <c r="AE180" s="45" t="str">
        <f aca="false">LEFT(TEXT(B180, "YYYY-MM-DD"), 4)</f>
        <v>2011</v>
      </c>
      <c r="AF180" s="45" t="str">
        <f aca="false">RIGHT(TEXT(B180, "YYYY-MM-DD"), 2)</f>
        <v>08</v>
      </c>
    </row>
    <row r="181" customFormat="false" ht="15" hidden="false" customHeight="false" outlineLevel="0" collapsed="false">
      <c r="A181" s="37" t="n">
        <v>177</v>
      </c>
      <c r="B181" s="38" t="s">
        <v>84</v>
      </c>
      <c r="C181" s="37" t="n">
        <v>1</v>
      </c>
      <c r="D181" s="35" t="str">
        <f aca="false">VLOOKUP(C181, Lookups_Metadata!$A$4:$B$7, 2, FALSE())</f>
        <v>Spring</v>
      </c>
      <c r="E181" s="37" t="n">
        <v>0</v>
      </c>
      <c r="F181" s="37" t="n">
        <v>1</v>
      </c>
      <c r="G181" s="37" t="n">
        <v>15</v>
      </c>
      <c r="H181" s="39" t="b">
        <f aca="false">FALSE()</f>
        <v>0</v>
      </c>
      <c r="I181" s="37" t="n">
        <v>6</v>
      </c>
      <c r="J181" s="35" t="str">
        <f aca="false">INDEX(Lookups_Metadata!$E$4:$E$10, MATCH(I181, Lookups_Metadata!$D$4:$D$10, 0))</f>
        <v>Saturday</v>
      </c>
      <c r="K181" s="35" t="str">
        <f aca="false">IF(H181=TRUE(), "Holiday", IF(OR(I181=0, I181=6), "Weekend", "Weekday"))</f>
        <v>Weekend</v>
      </c>
      <c r="L181" s="35" t="str">
        <f aca="false">IF(AND(K181="Weekday", OR(AND(G181&gt;=7, G181&lt;=9), AND(G181&gt;=17, G181&lt;=19))), "Peak Commute", "Off-Peak")</f>
        <v>Off-Peak</v>
      </c>
      <c r="M181" s="37" t="n">
        <v>1</v>
      </c>
      <c r="N181" s="35" t="str">
        <f aca="false">VLOOKUP(M181, Lookups_Metadata!$G$4:$H$7, 2, FALSE())</f>
        <v>Clear / Few Clouds</v>
      </c>
      <c r="O181" s="40" t="n">
        <v>0.2</v>
      </c>
      <c r="P181" s="40" t="n">
        <v>0.1667</v>
      </c>
      <c r="Q181" s="40" t="n">
        <f aca="false">IF(OR(P181="", ISBLANK(P181)), ROUND(0.9367*O181+0.0175, 4), P181)</f>
        <v>0.1667</v>
      </c>
      <c r="R181" s="35" t="str">
        <f aca="false">IF(OR(P181="", ISBLANK(P181)), "Imputed (Regression/Trend)", "Original")</f>
        <v>Original</v>
      </c>
      <c r="S181" s="40" t="n">
        <v>0.32</v>
      </c>
      <c r="T181" s="40" t="n">
        <v>0.4478</v>
      </c>
      <c r="U181" s="41" t="n">
        <v>5</v>
      </c>
      <c r="V181" s="41" t="n">
        <v>69</v>
      </c>
      <c r="W181" s="41" t="n">
        <f aca="false">U181+V181</f>
        <v>74</v>
      </c>
      <c r="X181" s="42" t="n">
        <f aca="false">U181/W181</f>
        <v>0.0675675675675676</v>
      </c>
      <c r="Y181" s="42" t="n">
        <f aca="false">V181/W181</f>
        <v>0.932432432432433</v>
      </c>
      <c r="Z181" s="35" t="str">
        <f aca="false">IF(W181&gt;=150, "High Demand", IF(W181&gt;=50, "Moderate Demand", "Low Demand"))</f>
        <v>Moderate Demand</v>
      </c>
      <c r="AA181" s="39" t="str">
        <f aca="false">TEXT(G181, "00") &amp; ":00"</f>
        <v>15:00</v>
      </c>
      <c r="AB181" s="37" t="n">
        <f aca="false">YEAR(B181)</f>
        <v>2011</v>
      </c>
      <c r="AC181" s="35" t="str">
        <f aca="false">TEXT(B181, "mmmm")</f>
        <v>January</v>
      </c>
      <c r="AD181" s="37" t="n">
        <f aca="false">LEN(TEXT(B181, "YYYY-MM-DD"))</f>
        <v>10</v>
      </c>
      <c r="AE181" s="39" t="str">
        <f aca="false">LEFT(TEXT(B181, "YYYY-MM-DD"), 4)</f>
        <v>2011</v>
      </c>
      <c r="AF181" s="39" t="str">
        <f aca="false">RIGHT(TEXT(B181, "YYYY-MM-DD"), 2)</f>
        <v>08</v>
      </c>
    </row>
    <row r="182" customFormat="false" ht="15" hidden="false" customHeight="false" outlineLevel="0" collapsed="false">
      <c r="A182" s="43" t="n">
        <v>178</v>
      </c>
      <c r="B182" s="44" t="s">
        <v>84</v>
      </c>
      <c r="C182" s="43" t="n">
        <v>1</v>
      </c>
      <c r="D182" s="33" t="str">
        <f aca="false">VLOOKUP(C182, Lookups_Metadata!$A$4:$B$7, 2, FALSE())</f>
        <v>Spring</v>
      </c>
      <c r="E182" s="43" t="n">
        <v>0</v>
      </c>
      <c r="F182" s="43" t="n">
        <v>1</v>
      </c>
      <c r="G182" s="43" t="n">
        <v>16</v>
      </c>
      <c r="H182" s="45" t="b">
        <f aca="false">FALSE()</f>
        <v>0</v>
      </c>
      <c r="I182" s="43" t="n">
        <v>6</v>
      </c>
      <c r="J182" s="33" t="str">
        <f aca="false">INDEX(Lookups_Metadata!$E$4:$E$10, MATCH(I182, Lookups_Metadata!$D$4:$D$10, 0))</f>
        <v>Saturday</v>
      </c>
      <c r="K182" s="33" t="str">
        <f aca="false">IF(H182=TRUE(), "Holiday", IF(OR(I182=0, I182=6), "Weekend", "Weekday"))</f>
        <v>Weekend</v>
      </c>
      <c r="L182" s="33" t="str">
        <f aca="false">IF(AND(K182="Weekday", OR(AND(G182&gt;=7, G182&lt;=9), AND(G182&gt;=17, G182&lt;=19))), "Peak Commute", "Off-Peak")</f>
        <v>Off-Peak</v>
      </c>
      <c r="M182" s="43" t="n">
        <v>1</v>
      </c>
      <c r="N182" s="33" t="str">
        <f aca="false">VLOOKUP(M182, Lookups_Metadata!$G$4:$H$7, 2, FALSE())</f>
        <v>Clear / Few Clouds</v>
      </c>
      <c r="O182" s="46" t="n">
        <v>0.18</v>
      </c>
      <c r="P182" s="46" t="n">
        <v>0.1364</v>
      </c>
      <c r="Q182" s="46" t="n">
        <f aca="false">IF(OR(P182="", ISBLANK(P182)), ROUND(0.9367*O182+0.0175, 4), P182)</f>
        <v>0.1364</v>
      </c>
      <c r="R182" s="33" t="str">
        <f aca="false">IF(OR(P182="", ISBLANK(P182)), "Imputed (Regression/Trend)", "Original")</f>
        <v>Original</v>
      </c>
      <c r="S182" s="46" t="n">
        <v>0.29</v>
      </c>
      <c r="T182" s="46" t="n">
        <v>0.4478</v>
      </c>
      <c r="U182" s="18" t="n">
        <v>8</v>
      </c>
      <c r="V182" s="18" t="n">
        <v>68</v>
      </c>
      <c r="W182" s="18" t="n">
        <f aca="false">U182+V182</f>
        <v>76</v>
      </c>
      <c r="X182" s="47" t="n">
        <f aca="false">U182/W182</f>
        <v>0.105263157894737</v>
      </c>
      <c r="Y182" s="47" t="n">
        <f aca="false">V182/W182</f>
        <v>0.894736842105263</v>
      </c>
      <c r="Z182" s="33" t="str">
        <f aca="false">IF(W182&gt;=150, "High Demand", IF(W182&gt;=50, "Moderate Demand", "Low Demand"))</f>
        <v>Moderate Demand</v>
      </c>
      <c r="AA182" s="45" t="str">
        <f aca="false">TEXT(G182, "00") &amp; ":00"</f>
        <v>16:00</v>
      </c>
      <c r="AB182" s="43" t="n">
        <f aca="false">YEAR(B182)</f>
        <v>2011</v>
      </c>
      <c r="AC182" s="33" t="str">
        <f aca="false">TEXT(B182, "mmmm")</f>
        <v>January</v>
      </c>
      <c r="AD182" s="43" t="n">
        <f aca="false">LEN(TEXT(B182, "YYYY-MM-DD"))</f>
        <v>10</v>
      </c>
      <c r="AE182" s="45" t="str">
        <f aca="false">LEFT(TEXT(B182, "YYYY-MM-DD"), 4)</f>
        <v>2011</v>
      </c>
      <c r="AF182" s="45" t="str">
        <f aca="false">RIGHT(TEXT(B182, "YYYY-MM-DD"), 2)</f>
        <v>08</v>
      </c>
    </row>
    <row r="183" customFormat="false" ht="15" hidden="false" customHeight="false" outlineLevel="0" collapsed="false">
      <c r="A183" s="37" t="n">
        <v>179</v>
      </c>
      <c r="B183" s="38" t="s">
        <v>84</v>
      </c>
      <c r="C183" s="37" t="n">
        <v>1</v>
      </c>
      <c r="D183" s="35" t="str">
        <f aca="false">VLOOKUP(C183, Lookups_Metadata!$A$4:$B$7, 2, FALSE())</f>
        <v>Spring</v>
      </c>
      <c r="E183" s="37" t="n">
        <v>0</v>
      </c>
      <c r="F183" s="37" t="n">
        <v>1</v>
      </c>
      <c r="G183" s="37" t="n">
        <v>17</v>
      </c>
      <c r="H183" s="39" t="b">
        <f aca="false">FALSE()</f>
        <v>0</v>
      </c>
      <c r="I183" s="37" t="n">
        <v>6</v>
      </c>
      <c r="J183" s="35" t="str">
        <f aca="false">INDEX(Lookups_Metadata!$E$4:$E$10, MATCH(I183, Lookups_Metadata!$D$4:$D$10, 0))</f>
        <v>Saturday</v>
      </c>
      <c r="K183" s="35" t="str">
        <f aca="false">IF(H183=TRUE(), "Holiday", IF(OR(I183=0, I183=6), "Weekend", "Weekday"))</f>
        <v>Weekend</v>
      </c>
      <c r="L183" s="35" t="str">
        <f aca="false">IF(AND(K183="Weekday", OR(AND(G183&gt;=7, G183&lt;=9), AND(G183&gt;=17, G183&lt;=19))), "Peak Commute", "Off-Peak")</f>
        <v>Off-Peak</v>
      </c>
      <c r="M183" s="37" t="n">
        <v>1</v>
      </c>
      <c r="N183" s="35" t="str">
        <f aca="false">VLOOKUP(M183, Lookups_Metadata!$G$4:$H$7, 2, FALSE())</f>
        <v>Clear / Few Clouds</v>
      </c>
      <c r="O183" s="40" t="n">
        <v>0.16</v>
      </c>
      <c r="P183" s="40" t="n">
        <v>0.1212</v>
      </c>
      <c r="Q183" s="40" t="n">
        <f aca="false">IF(OR(P183="", ISBLANK(P183)), ROUND(0.9367*O183+0.0175, 4), P183)</f>
        <v>0.1212</v>
      </c>
      <c r="R183" s="35" t="str">
        <f aca="false">IF(OR(P183="", ISBLANK(P183)), "Imputed (Regression/Trend)", "Original")</f>
        <v>Original</v>
      </c>
      <c r="S183" s="40" t="n">
        <v>0.37</v>
      </c>
      <c r="T183" s="40" t="n">
        <v>0.5522</v>
      </c>
      <c r="U183" s="41" t="n">
        <v>5</v>
      </c>
      <c r="V183" s="41" t="n">
        <v>64</v>
      </c>
      <c r="W183" s="41" t="n">
        <f aca="false">U183+V183</f>
        <v>69</v>
      </c>
      <c r="X183" s="42" t="n">
        <f aca="false">U183/W183</f>
        <v>0.072463768115942</v>
      </c>
      <c r="Y183" s="42" t="n">
        <f aca="false">V183/W183</f>
        <v>0.927536231884058</v>
      </c>
      <c r="Z183" s="35" t="str">
        <f aca="false">IF(W183&gt;=150, "High Demand", IF(W183&gt;=50, "Moderate Demand", "Low Demand"))</f>
        <v>Moderate Demand</v>
      </c>
      <c r="AA183" s="39" t="str">
        <f aca="false">TEXT(G183, "00") &amp; ":00"</f>
        <v>17:00</v>
      </c>
      <c r="AB183" s="37" t="n">
        <f aca="false">YEAR(B183)</f>
        <v>2011</v>
      </c>
      <c r="AC183" s="35" t="str">
        <f aca="false">TEXT(B183, "mmmm")</f>
        <v>January</v>
      </c>
      <c r="AD183" s="37" t="n">
        <f aca="false">LEN(TEXT(B183, "YYYY-MM-DD"))</f>
        <v>10</v>
      </c>
      <c r="AE183" s="39" t="str">
        <f aca="false">LEFT(TEXT(B183, "YYYY-MM-DD"), 4)</f>
        <v>2011</v>
      </c>
      <c r="AF183" s="39" t="str">
        <f aca="false">RIGHT(TEXT(B183, "YYYY-MM-DD"), 2)</f>
        <v>08</v>
      </c>
    </row>
    <row r="184" customFormat="false" ht="15" hidden="false" customHeight="false" outlineLevel="0" collapsed="false">
      <c r="A184" s="43" t="n">
        <v>180</v>
      </c>
      <c r="B184" s="44" t="s">
        <v>84</v>
      </c>
      <c r="C184" s="43" t="n">
        <v>1</v>
      </c>
      <c r="D184" s="33" t="str">
        <f aca="false">VLOOKUP(C184, Lookups_Metadata!$A$4:$B$7, 2, FALSE())</f>
        <v>Spring</v>
      </c>
      <c r="E184" s="43" t="n">
        <v>0</v>
      </c>
      <c r="F184" s="43" t="n">
        <v>1</v>
      </c>
      <c r="G184" s="43" t="n">
        <v>18</v>
      </c>
      <c r="H184" s="45" t="b">
        <f aca="false">FALSE()</f>
        <v>0</v>
      </c>
      <c r="I184" s="43" t="n">
        <v>6</v>
      </c>
      <c r="J184" s="33" t="str">
        <f aca="false">INDEX(Lookups_Metadata!$E$4:$E$10, MATCH(I184, Lookups_Metadata!$D$4:$D$10, 0))</f>
        <v>Saturday</v>
      </c>
      <c r="K184" s="33" t="str">
        <f aca="false">IF(H184=TRUE(), "Holiday", IF(OR(I184=0, I184=6), "Weekend", "Weekday"))</f>
        <v>Weekend</v>
      </c>
      <c r="L184" s="33" t="str">
        <f aca="false">IF(AND(K184="Weekday", OR(AND(G184&gt;=7, G184&lt;=9), AND(G184&gt;=17, G184&lt;=19))), "Peak Commute", "Off-Peak")</f>
        <v>Off-Peak</v>
      </c>
      <c r="M184" s="43" t="n">
        <v>1</v>
      </c>
      <c r="N184" s="33" t="str">
        <f aca="false">VLOOKUP(M184, Lookups_Metadata!$G$4:$H$7, 2, FALSE())</f>
        <v>Clear / Few Clouds</v>
      </c>
      <c r="O184" s="46" t="n">
        <v>0.14</v>
      </c>
      <c r="P184" s="46" t="n">
        <v>0.1212</v>
      </c>
      <c r="Q184" s="46" t="n">
        <f aca="false">IF(OR(P184="", ISBLANK(P184)), ROUND(0.9367*O184+0.0175, 4), P184)</f>
        <v>0.1212</v>
      </c>
      <c r="R184" s="33" t="str">
        <f aca="false">IF(OR(P184="", ISBLANK(P184)), "Imputed (Regression/Trend)", "Original")</f>
        <v>Original</v>
      </c>
      <c r="S184" s="46" t="n">
        <v>0.39</v>
      </c>
      <c r="T184" s="46" t="n">
        <v>0.2985</v>
      </c>
      <c r="U184" s="18" t="n">
        <v>3</v>
      </c>
      <c r="V184" s="18" t="n">
        <v>52</v>
      </c>
      <c r="W184" s="18" t="n">
        <f aca="false">U184+V184</f>
        <v>55</v>
      </c>
      <c r="X184" s="47" t="n">
        <f aca="false">U184/W184</f>
        <v>0.0545454545454545</v>
      </c>
      <c r="Y184" s="47" t="n">
        <f aca="false">V184/W184</f>
        <v>0.945454545454545</v>
      </c>
      <c r="Z184" s="33" t="str">
        <f aca="false">IF(W184&gt;=150, "High Demand", IF(W184&gt;=50, "Moderate Demand", "Low Demand"))</f>
        <v>Moderate Demand</v>
      </c>
      <c r="AA184" s="45" t="str">
        <f aca="false">TEXT(G184, "00") &amp; ":00"</f>
        <v>18:00</v>
      </c>
      <c r="AB184" s="43" t="n">
        <f aca="false">YEAR(B184)</f>
        <v>2011</v>
      </c>
      <c r="AC184" s="33" t="str">
        <f aca="false">TEXT(B184, "mmmm")</f>
        <v>January</v>
      </c>
      <c r="AD184" s="43" t="n">
        <f aca="false">LEN(TEXT(B184, "YYYY-MM-DD"))</f>
        <v>10</v>
      </c>
      <c r="AE184" s="45" t="str">
        <f aca="false">LEFT(TEXT(B184, "YYYY-MM-DD"), 4)</f>
        <v>2011</v>
      </c>
      <c r="AF184" s="45" t="str">
        <f aca="false">RIGHT(TEXT(B184, "YYYY-MM-DD"), 2)</f>
        <v>08</v>
      </c>
    </row>
    <row r="185" customFormat="false" ht="15" hidden="false" customHeight="false" outlineLevel="0" collapsed="false">
      <c r="A185" s="37" t="n">
        <v>181</v>
      </c>
      <c r="B185" s="38" t="s">
        <v>84</v>
      </c>
      <c r="C185" s="37" t="n">
        <v>1</v>
      </c>
      <c r="D185" s="35" t="str">
        <f aca="false">VLOOKUP(C185, Lookups_Metadata!$A$4:$B$7, 2, FALSE())</f>
        <v>Spring</v>
      </c>
      <c r="E185" s="37" t="n">
        <v>0</v>
      </c>
      <c r="F185" s="37" t="n">
        <v>1</v>
      </c>
      <c r="G185" s="37" t="n">
        <v>19</v>
      </c>
      <c r="H185" s="39" t="b">
        <f aca="false">FALSE()</f>
        <v>0</v>
      </c>
      <c r="I185" s="37" t="n">
        <v>6</v>
      </c>
      <c r="J185" s="35" t="str">
        <f aca="false">INDEX(Lookups_Metadata!$E$4:$E$10, MATCH(I185, Lookups_Metadata!$D$4:$D$10, 0))</f>
        <v>Saturday</v>
      </c>
      <c r="K185" s="35" t="str">
        <f aca="false">IF(H185=TRUE(), "Holiday", IF(OR(I185=0, I185=6), "Weekend", "Weekday"))</f>
        <v>Weekend</v>
      </c>
      <c r="L185" s="35" t="str">
        <f aca="false">IF(AND(K185="Weekday", OR(AND(G185&gt;=7, G185&lt;=9), AND(G185&gt;=17, G185&lt;=19))), "Peak Commute", "Off-Peak")</f>
        <v>Off-Peak</v>
      </c>
      <c r="M185" s="37" t="n">
        <v>1</v>
      </c>
      <c r="N185" s="35" t="str">
        <f aca="false">VLOOKUP(M185, Lookups_Metadata!$G$4:$H$7, 2, FALSE())</f>
        <v>Clear / Few Clouds</v>
      </c>
      <c r="O185" s="40" t="n">
        <v>0.14</v>
      </c>
      <c r="P185" s="40" t="n">
        <v>0.1212</v>
      </c>
      <c r="Q185" s="40" t="n">
        <f aca="false">IF(OR(P185="", ISBLANK(P185)), ROUND(0.9367*O185+0.0175, 4), P185)</f>
        <v>0.1212</v>
      </c>
      <c r="R185" s="35" t="str">
        <f aca="false">IF(OR(P185="", ISBLANK(P185)), "Imputed (Regression/Trend)", "Original")</f>
        <v>Original</v>
      </c>
      <c r="S185" s="40" t="n">
        <v>0.36</v>
      </c>
      <c r="T185" s="40" t="n">
        <v>0.2537</v>
      </c>
      <c r="U185" s="41" t="n">
        <v>4</v>
      </c>
      <c r="V185" s="41" t="n">
        <v>26</v>
      </c>
      <c r="W185" s="41" t="n">
        <f aca="false">U185+V185</f>
        <v>30</v>
      </c>
      <c r="X185" s="42" t="n">
        <f aca="false">U185/W185</f>
        <v>0.133333333333333</v>
      </c>
      <c r="Y185" s="42" t="n">
        <f aca="false">V185/W185</f>
        <v>0.866666666666667</v>
      </c>
      <c r="Z185" s="35" t="str">
        <f aca="false">IF(W185&gt;=150, "High Demand", IF(W185&gt;=50, "Moderate Demand", "Low Demand"))</f>
        <v>Low Demand</v>
      </c>
      <c r="AA185" s="39" t="str">
        <f aca="false">TEXT(G185, "00") &amp; ":00"</f>
        <v>19:00</v>
      </c>
      <c r="AB185" s="37" t="n">
        <f aca="false">YEAR(B185)</f>
        <v>2011</v>
      </c>
      <c r="AC185" s="35" t="str">
        <f aca="false">TEXT(B185, "mmmm")</f>
        <v>January</v>
      </c>
      <c r="AD185" s="37" t="n">
        <f aca="false">LEN(TEXT(B185, "YYYY-MM-DD"))</f>
        <v>10</v>
      </c>
      <c r="AE185" s="39" t="str">
        <f aca="false">LEFT(TEXT(B185, "YYYY-MM-DD"), 4)</f>
        <v>2011</v>
      </c>
      <c r="AF185" s="39" t="str">
        <f aca="false">RIGHT(TEXT(B185, "YYYY-MM-DD"), 2)</f>
        <v>08</v>
      </c>
    </row>
    <row r="186" customFormat="false" ht="15" hidden="false" customHeight="false" outlineLevel="0" collapsed="false">
      <c r="A186" s="43" t="n">
        <v>182</v>
      </c>
      <c r="B186" s="44" t="s">
        <v>84</v>
      </c>
      <c r="C186" s="43" t="n">
        <v>1</v>
      </c>
      <c r="D186" s="33" t="str">
        <f aca="false">VLOOKUP(C186, Lookups_Metadata!$A$4:$B$7, 2, FALSE())</f>
        <v>Spring</v>
      </c>
      <c r="E186" s="43" t="n">
        <v>0</v>
      </c>
      <c r="F186" s="43" t="n">
        <v>1</v>
      </c>
      <c r="G186" s="43" t="n">
        <v>20</v>
      </c>
      <c r="H186" s="45" t="b">
        <f aca="false">FALSE()</f>
        <v>0</v>
      </c>
      <c r="I186" s="43" t="n">
        <v>6</v>
      </c>
      <c r="J186" s="33" t="str">
        <f aca="false">INDEX(Lookups_Metadata!$E$4:$E$10, MATCH(I186, Lookups_Metadata!$D$4:$D$10, 0))</f>
        <v>Saturday</v>
      </c>
      <c r="K186" s="33" t="str">
        <f aca="false">IF(H186=TRUE(), "Holiday", IF(OR(I186=0, I186=6), "Weekend", "Weekday"))</f>
        <v>Weekend</v>
      </c>
      <c r="L186" s="33" t="str">
        <f aca="false">IF(AND(K186="Weekday", OR(AND(G186&gt;=7, G186&lt;=9), AND(G186&gt;=17, G186&lt;=19))), "Peak Commute", "Off-Peak")</f>
        <v>Off-Peak</v>
      </c>
      <c r="M186" s="43" t="n">
        <v>1</v>
      </c>
      <c r="N186" s="33" t="str">
        <f aca="false">VLOOKUP(M186, Lookups_Metadata!$G$4:$H$7, 2, FALSE())</f>
        <v>Clear / Few Clouds</v>
      </c>
      <c r="O186" s="46" t="n">
        <v>0.12</v>
      </c>
      <c r="P186" s="46" t="n">
        <v>0.1212</v>
      </c>
      <c r="Q186" s="46" t="n">
        <f aca="false">IF(OR(P186="", ISBLANK(P186)), ROUND(0.9367*O186+0.0175, 4), P186)</f>
        <v>0.1212</v>
      </c>
      <c r="R186" s="33" t="str">
        <f aca="false">IF(OR(P186="", ISBLANK(P186)), "Imputed (Regression/Trend)", "Original")</f>
        <v>Original</v>
      </c>
      <c r="S186" s="46" t="n">
        <v>0.36</v>
      </c>
      <c r="T186" s="46" t="n">
        <v>0.2537</v>
      </c>
      <c r="U186" s="18" t="n">
        <v>0</v>
      </c>
      <c r="V186" s="18" t="n">
        <v>28</v>
      </c>
      <c r="W186" s="18" t="n">
        <f aca="false">U186+V186</f>
        <v>28</v>
      </c>
      <c r="X186" s="47" t="n">
        <f aca="false">U186/W186</f>
        <v>0</v>
      </c>
      <c r="Y186" s="47" t="n">
        <f aca="false">V186/W186</f>
        <v>1</v>
      </c>
      <c r="Z186" s="33" t="str">
        <f aca="false">IF(W186&gt;=150, "High Demand", IF(W186&gt;=50, "Moderate Demand", "Low Demand"))</f>
        <v>Low Demand</v>
      </c>
      <c r="AA186" s="45" t="str">
        <f aca="false">TEXT(G186, "00") &amp; ":00"</f>
        <v>20:00</v>
      </c>
      <c r="AB186" s="43" t="n">
        <f aca="false">YEAR(B186)</f>
        <v>2011</v>
      </c>
      <c r="AC186" s="33" t="str">
        <f aca="false">TEXT(B186, "mmmm")</f>
        <v>January</v>
      </c>
      <c r="AD186" s="43" t="n">
        <f aca="false">LEN(TEXT(B186, "YYYY-MM-DD"))</f>
        <v>10</v>
      </c>
      <c r="AE186" s="45" t="str">
        <f aca="false">LEFT(TEXT(B186, "YYYY-MM-DD"), 4)</f>
        <v>2011</v>
      </c>
      <c r="AF186" s="45" t="str">
        <f aca="false">RIGHT(TEXT(B186, "YYYY-MM-DD"), 2)</f>
        <v>08</v>
      </c>
    </row>
    <row r="187" customFormat="false" ht="15" hidden="false" customHeight="false" outlineLevel="0" collapsed="false">
      <c r="A187" s="37" t="n">
        <v>183</v>
      </c>
      <c r="B187" s="38" t="s">
        <v>84</v>
      </c>
      <c r="C187" s="37" t="n">
        <v>1</v>
      </c>
      <c r="D187" s="35" t="str">
        <f aca="false">VLOOKUP(C187, Lookups_Metadata!$A$4:$B$7, 2, FALSE())</f>
        <v>Spring</v>
      </c>
      <c r="E187" s="37" t="n">
        <v>0</v>
      </c>
      <c r="F187" s="37" t="n">
        <v>1</v>
      </c>
      <c r="G187" s="37" t="n">
        <v>21</v>
      </c>
      <c r="H187" s="39" t="b">
        <f aca="false">FALSE()</f>
        <v>0</v>
      </c>
      <c r="I187" s="37" t="n">
        <v>6</v>
      </c>
      <c r="J187" s="35" t="str">
        <f aca="false">INDEX(Lookups_Metadata!$E$4:$E$10, MATCH(I187, Lookups_Metadata!$D$4:$D$10, 0))</f>
        <v>Saturday</v>
      </c>
      <c r="K187" s="35" t="str">
        <f aca="false">IF(H187=TRUE(), "Holiday", IF(OR(I187=0, I187=6), "Weekend", "Weekday"))</f>
        <v>Weekend</v>
      </c>
      <c r="L187" s="35" t="str">
        <f aca="false">IF(AND(K187="Weekday", OR(AND(G187&gt;=7, G187&lt;=9), AND(G187&gt;=17, G187&lt;=19))), "Peak Commute", "Off-Peak")</f>
        <v>Off-Peak</v>
      </c>
      <c r="M187" s="37" t="n">
        <v>1</v>
      </c>
      <c r="N187" s="35" t="str">
        <f aca="false">VLOOKUP(M187, Lookups_Metadata!$G$4:$H$7, 2, FALSE())</f>
        <v>Clear / Few Clouds</v>
      </c>
      <c r="O187" s="40" t="n">
        <v>0.12</v>
      </c>
      <c r="P187" s="40" t="n">
        <v>0.1061</v>
      </c>
      <c r="Q187" s="40" t="n">
        <f aca="false">IF(OR(P187="", ISBLANK(P187)), ROUND(0.9367*O187+0.0175, 4), P187)</f>
        <v>0.1061</v>
      </c>
      <c r="R187" s="35" t="str">
        <f aca="false">IF(OR(P187="", ISBLANK(P187)), "Imputed (Regression/Trend)", "Original")</f>
        <v>Original</v>
      </c>
      <c r="S187" s="40" t="n">
        <v>0.39</v>
      </c>
      <c r="T187" s="40" t="n">
        <v>0.3582</v>
      </c>
      <c r="U187" s="41" t="n">
        <v>2</v>
      </c>
      <c r="V187" s="41" t="n">
        <v>35</v>
      </c>
      <c r="W187" s="41" t="n">
        <f aca="false">U187+V187</f>
        <v>37</v>
      </c>
      <c r="X187" s="42" t="n">
        <f aca="false">U187/W187</f>
        <v>0.0540540540540541</v>
      </c>
      <c r="Y187" s="42" t="n">
        <f aca="false">V187/W187</f>
        <v>0.945945945945946</v>
      </c>
      <c r="Z187" s="35" t="str">
        <f aca="false">IF(W187&gt;=150, "High Demand", IF(W187&gt;=50, "Moderate Demand", "Low Demand"))</f>
        <v>Low Demand</v>
      </c>
      <c r="AA187" s="39" t="str">
        <f aca="false">TEXT(G187, "00") &amp; ":00"</f>
        <v>21:00</v>
      </c>
      <c r="AB187" s="37" t="n">
        <f aca="false">YEAR(B187)</f>
        <v>2011</v>
      </c>
      <c r="AC187" s="35" t="str">
        <f aca="false">TEXT(B187, "mmmm")</f>
        <v>January</v>
      </c>
      <c r="AD187" s="37" t="n">
        <f aca="false">LEN(TEXT(B187, "YYYY-MM-DD"))</f>
        <v>10</v>
      </c>
      <c r="AE187" s="39" t="str">
        <f aca="false">LEFT(TEXT(B187, "YYYY-MM-DD"), 4)</f>
        <v>2011</v>
      </c>
      <c r="AF187" s="39" t="str">
        <f aca="false">RIGHT(TEXT(B187, "YYYY-MM-DD"), 2)</f>
        <v>08</v>
      </c>
    </row>
    <row r="188" customFormat="false" ht="15" hidden="false" customHeight="false" outlineLevel="0" collapsed="false">
      <c r="A188" s="43" t="n">
        <v>184</v>
      </c>
      <c r="B188" s="44" t="s">
        <v>84</v>
      </c>
      <c r="C188" s="43" t="n">
        <v>1</v>
      </c>
      <c r="D188" s="33" t="str">
        <f aca="false">VLOOKUP(C188, Lookups_Metadata!$A$4:$B$7, 2, FALSE())</f>
        <v>Spring</v>
      </c>
      <c r="E188" s="43" t="n">
        <v>0</v>
      </c>
      <c r="F188" s="43" t="n">
        <v>1</v>
      </c>
      <c r="G188" s="43" t="n">
        <v>22</v>
      </c>
      <c r="H188" s="45" t="b">
        <f aca="false">FALSE()</f>
        <v>0</v>
      </c>
      <c r="I188" s="43" t="n">
        <v>6</v>
      </c>
      <c r="J188" s="33" t="str">
        <f aca="false">INDEX(Lookups_Metadata!$E$4:$E$10, MATCH(I188, Lookups_Metadata!$D$4:$D$10, 0))</f>
        <v>Saturday</v>
      </c>
      <c r="K188" s="33" t="str">
        <f aca="false">IF(H188=TRUE(), "Holiday", IF(OR(I188=0, I188=6), "Weekend", "Weekday"))</f>
        <v>Weekend</v>
      </c>
      <c r="L188" s="33" t="str">
        <f aca="false">IF(AND(K188="Weekday", OR(AND(G188&gt;=7, G188&lt;=9), AND(G188&gt;=17, G188&lt;=19))), "Peak Commute", "Off-Peak")</f>
        <v>Off-Peak</v>
      </c>
      <c r="M188" s="43" t="n">
        <v>1</v>
      </c>
      <c r="N188" s="33" t="str">
        <f aca="false">VLOOKUP(M188, Lookups_Metadata!$G$4:$H$7, 2, FALSE())</f>
        <v>Clear / Few Clouds</v>
      </c>
      <c r="O188" s="46" t="n">
        <v>0.12</v>
      </c>
      <c r="P188" s="46" t="n">
        <v>0.1061</v>
      </c>
      <c r="Q188" s="46" t="n">
        <f aca="false">IF(OR(P188="", ISBLANK(P188)), ROUND(0.9367*O188+0.0175, 4), P188)</f>
        <v>0.1061</v>
      </c>
      <c r="R188" s="33" t="str">
        <f aca="false">IF(OR(P188="", ISBLANK(P188)), "Imputed (Regression/Trend)", "Original")</f>
        <v>Original</v>
      </c>
      <c r="S188" s="46" t="n">
        <v>0.36</v>
      </c>
      <c r="T188" s="46" t="n">
        <v>0.3881</v>
      </c>
      <c r="U188" s="18" t="n">
        <v>1</v>
      </c>
      <c r="V188" s="18" t="n">
        <v>33</v>
      </c>
      <c r="W188" s="18" t="n">
        <f aca="false">U188+V188</f>
        <v>34</v>
      </c>
      <c r="X188" s="47" t="n">
        <f aca="false">U188/W188</f>
        <v>0.0294117647058824</v>
      </c>
      <c r="Y188" s="47" t="n">
        <f aca="false">V188/W188</f>
        <v>0.970588235294118</v>
      </c>
      <c r="Z188" s="33" t="str">
        <f aca="false">IF(W188&gt;=150, "High Demand", IF(W188&gt;=50, "Moderate Demand", "Low Demand"))</f>
        <v>Low Demand</v>
      </c>
      <c r="AA188" s="45" t="str">
        <f aca="false">TEXT(G188, "00") &amp; ":00"</f>
        <v>22:00</v>
      </c>
      <c r="AB188" s="43" t="n">
        <f aca="false">YEAR(B188)</f>
        <v>2011</v>
      </c>
      <c r="AC188" s="33" t="str">
        <f aca="false">TEXT(B188, "mmmm")</f>
        <v>January</v>
      </c>
      <c r="AD188" s="43" t="n">
        <f aca="false">LEN(TEXT(B188, "YYYY-MM-DD"))</f>
        <v>10</v>
      </c>
      <c r="AE188" s="45" t="str">
        <f aca="false">LEFT(TEXT(B188, "YYYY-MM-DD"), 4)</f>
        <v>2011</v>
      </c>
      <c r="AF188" s="45" t="str">
        <f aca="false">RIGHT(TEXT(B188, "YYYY-MM-DD"), 2)</f>
        <v>08</v>
      </c>
    </row>
    <row r="189" customFormat="false" ht="15" hidden="false" customHeight="false" outlineLevel="0" collapsed="false">
      <c r="A189" s="37" t="n">
        <v>185</v>
      </c>
      <c r="B189" s="38" t="s">
        <v>84</v>
      </c>
      <c r="C189" s="37" t="n">
        <v>1</v>
      </c>
      <c r="D189" s="35" t="str">
        <f aca="false">VLOOKUP(C189, Lookups_Metadata!$A$4:$B$7, 2, FALSE())</f>
        <v>Spring</v>
      </c>
      <c r="E189" s="37" t="n">
        <v>0</v>
      </c>
      <c r="F189" s="37" t="n">
        <v>1</v>
      </c>
      <c r="G189" s="37" t="n">
        <v>23</v>
      </c>
      <c r="H189" s="39" t="b">
        <f aca="false">FALSE()</f>
        <v>0</v>
      </c>
      <c r="I189" s="37" t="n">
        <v>6</v>
      </c>
      <c r="J189" s="35" t="str">
        <f aca="false">INDEX(Lookups_Metadata!$E$4:$E$10, MATCH(I189, Lookups_Metadata!$D$4:$D$10, 0))</f>
        <v>Saturday</v>
      </c>
      <c r="K189" s="35" t="str">
        <f aca="false">IF(H189=TRUE(), "Holiday", IF(OR(I189=0, I189=6), "Weekend", "Weekday"))</f>
        <v>Weekend</v>
      </c>
      <c r="L189" s="35" t="str">
        <f aca="false">IF(AND(K189="Weekday", OR(AND(G189&gt;=7, G189&lt;=9), AND(G189&gt;=17, G189&lt;=19))), "Peak Commute", "Off-Peak")</f>
        <v>Off-Peak</v>
      </c>
      <c r="M189" s="37" t="n">
        <v>1</v>
      </c>
      <c r="N189" s="35" t="str">
        <f aca="false">VLOOKUP(M189, Lookups_Metadata!$G$4:$H$7, 2, FALSE())</f>
        <v>Clear / Few Clouds</v>
      </c>
      <c r="O189" s="40" t="n">
        <v>0.1</v>
      </c>
      <c r="P189" s="40" t="n">
        <v>0.0606</v>
      </c>
      <c r="Q189" s="40" t="n">
        <f aca="false">IF(OR(P189="", ISBLANK(P189)), ROUND(0.9367*O189+0.0175, 4), P189)</f>
        <v>0.0606</v>
      </c>
      <c r="R189" s="35" t="str">
        <f aca="false">IF(OR(P189="", ISBLANK(P189)), "Imputed (Regression/Trend)", "Original")</f>
        <v>Original</v>
      </c>
      <c r="S189" s="40" t="n">
        <v>0.39</v>
      </c>
      <c r="T189" s="40" t="n">
        <v>0.4478</v>
      </c>
      <c r="U189" s="41" t="n">
        <v>0</v>
      </c>
      <c r="V189" s="41" t="n">
        <v>22</v>
      </c>
      <c r="W189" s="41" t="n">
        <f aca="false">U189+V189</f>
        <v>22</v>
      </c>
      <c r="X189" s="42" t="n">
        <f aca="false">U189/W189</f>
        <v>0</v>
      </c>
      <c r="Y189" s="42" t="n">
        <f aca="false">V189/W189</f>
        <v>1</v>
      </c>
      <c r="Z189" s="35" t="str">
        <f aca="false">IF(W189&gt;=150, "High Demand", IF(W189&gt;=50, "Moderate Demand", "Low Demand"))</f>
        <v>Low Demand</v>
      </c>
      <c r="AA189" s="39" t="str">
        <f aca="false">TEXT(G189, "00") &amp; ":00"</f>
        <v>23:00</v>
      </c>
      <c r="AB189" s="37" t="n">
        <f aca="false">YEAR(B189)</f>
        <v>2011</v>
      </c>
      <c r="AC189" s="35" t="str">
        <f aca="false">TEXT(B189, "mmmm")</f>
        <v>January</v>
      </c>
      <c r="AD189" s="37" t="n">
        <f aca="false">LEN(TEXT(B189, "YYYY-MM-DD"))</f>
        <v>10</v>
      </c>
      <c r="AE189" s="39" t="str">
        <f aca="false">LEFT(TEXT(B189, "YYYY-MM-DD"), 4)</f>
        <v>2011</v>
      </c>
      <c r="AF189" s="39" t="str">
        <f aca="false">RIGHT(TEXT(B189, "YYYY-MM-DD"), 2)</f>
        <v>08</v>
      </c>
    </row>
    <row r="190" customFormat="false" ht="15" hidden="false" customHeight="false" outlineLevel="0" collapsed="false">
      <c r="A190" s="43" t="n">
        <v>186</v>
      </c>
      <c r="B190" s="44" t="s">
        <v>85</v>
      </c>
      <c r="C190" s="43" t="n">
        <v>1</v>
      </c>
      <c r="D190" s="33" t="str">
        <f aca="false">VLOOKUP(C190, Lookups_Metadata!$A$4:$B$7, 2, FALSE())</f>
        <v>Spring</v>
      </c>
      <c r="E190" s="43" t="n">
        <v>0</v>
      </c>
      <c r="F190" s="43" t="n">
        <v>1</v>
      </c>
      <c r="G190" s="43" t="n">
        <v>0</v>
      </c>
      <c r="H190" s="45" t="b">
        <f aca="false">FALSE()</f>
        <v>0</v>
      </c>
      <c r="I190" s="43" t="n">
        <v>0</v>
      </c>
      <c r="J190" s="33" t="str">
        <f aca="false">INDEX(Lookups_Metadata!$E$4:$E$10, MATCH(I190, Lookups_Metadata!$D$4:$D$10, 0))</f>
        <v>Sunday</v>
      </c>
      <c r="K190" s="33" t="str">
        <f aca="false">IF(H190=TRUE(), "Holiday", IF(OR(I190=0, I190=6), "Weekend", "Weekday"))</f>
        <v>Weekend</v>
      </c>
      <c r="L190" s="33" t="str">
        <f aca="false">IF(AND(K190="Weekday", OR(AND(G190&gt;=7, G190&lt;=9), AND(G190&gt;=17, G190&lt;=19))), "Peak Commute", "Off-Peak")</f>
        <v>Off-Peak</v>
      </c>
      <c r="M190" s="43" t="n">
        <v>1</v>
      </c>
      <c r="N190" s="33" t="str">
        <f aca="false">VLOOKUP(M190, Lookups_Metadata!$G$4:$H$7, 2, FALSE())</f>
        <v>Clear / Few Clouds</v>
      </c>
      <c r="O190" s="46" t="n">
        <v>0.1</v>
      </c>
      <c r="P190" s="46" t="n">
        <v>0.0758</v>
      </c>
      <c r="Q190" s="46" t="n">
        <f aca="false">IF(OR(P190="", ISBLANK(P190)), ROUND(0.9367*O190+0.0175, 4), P190)</f>
        <v>0.0758</v>
      </c>
      <c r="R190" s="33" t="str">
        <f aca="false">IF(OR(P190="", ISBLANK(P190)), "Imputed (Regression/Trend)", "Original")</f>
        <v>Original</v>
      </c>
      <c r="S190" s="46" t="n">
        <v>0.42</v>
      </c>
      <c r="T190" s="46" t="n">
        <v>0.3881</v>
      </c>
      <c r="U190" s="18" t="n">
        <v>1</v>
      </c>
      <c r="V190" s="18" t="n">
        <v>24</v>
      </c>
      <c r="W190" s="18" t="n">
        <f aca="false">U190+V190</f>
        <v>25</v>
      </c>
      <c r="X190" s="47" t="n">
        <f aca="false">U190/W190</f>
        <v>0.04</v>
      </c>
      <c r="Y190" s="47" t="n">
        <f aca="false">V190/W190</f>
        <v>0.96</v>
      </c>
      <c r="Z190" s="33" t="str">
        <f aca="false">IF(W190&gt;=150, "High Demand", IF(W190&gt;=50, "Moderate Demand", "Low Demand"))</f>
        <v>Low Demand</v>
      </c>
      <c r="AA190" s="45" t="str">
        <f aca="false">TEXT(G190, "00") &amp; ":00"</f>
        <v>00:00</v>
      </c>
      <c r="AB190" s="43" t="n">
        <f aca="false">YEAR(B190)</f>
        <v>2011</v>
      </c>
      <c r="AC190" s="33" t="str">
        <f aca="false">TEXT(B190, "mmmm")</f>
        <v>January</v>
      </c>
      <c r="AD190" s="43" t="n">
        <f aca="false">LEN(TEXT(B190, "YYYY-MM-DD"))</f>
        <v>10</v>
      </c>
      <c r="AE190" s="45" t="str">
        <f aca="false">LEFT(TEXT(B190, "YYYY-MM-DD"), 4)</f>
        <v>2011</v>
      </c>
      <c r="AF190" s="45" t="str">
        <f aca="false">RIGHT(TEXT(B190, "YYYY-MM-DD"), 2)</f>
        <v>09</v>
      </c>
    </row>
    <row r="191" customFormat="false" ht="15" hidden="false" customHeight="false" outlineLevel="0" collapsed="false">
      <c r="A191" s="37" t="n">
        <v>187</v>
      </c>
      <c r="B191" s="38" t="s">
        <v>85</v>
      </c>
      <c r="C191" s="37" t="n">
        <v>1</v>
      </c>
      <c r="D191" s="35" t="str">
        <f aca="false">VLOOKUP(C191, Lookups_Metadata!$A$4:$B$7, 2, FALSE())</f>
        <v>Spring</v>
      </c>
      <c r="E191" s="37" t="n">
        <v>0</v>
      </c>
      <c r="F191" s="37" t="n">
        <v>1</v>
      </c>
      <c r="G191" s="37" t="n">
        <v>1</v>
      </c>
      <c r="H191" s="39" t="b">
        <f aca="false">FALSE()</f>
        <v>0</v>
      </c>
      <c r="I191" s="37" t="n">
        <v>0</v>
      </c>
      <c r="J191" s="35" t="str">
        <f aca="false">INDEX(Lookups_Metadata!$E$4:$E$10, MATCH(I191, Lookups_Metadata!$D$4:$D$10, 0))</f>
        <v>Sunday</v>
      </c>
      <c r="K191" s="35" t="str">
        <f aca="false">IF(H191=TRUE(), "Holiday", IF(OR(I191=0, I191=6), "Weekend", "Weekday"))</f>
        <v>Weekend</v>
      </c>
      <c r="L191" s="35" t="str">
        <f aca="false">IF(AND(K191="Weekday", OR(AND(G191&gt;=7, G191&lt;=9), AND(G191&gt;=17, G191&lt;=19))), "Peak Commute", "Off-Peak")</f>
        <v>Off-Peak</v>
      </c>
      <c r="M191" s="37" t="n">
        <v>1</v>
      </c>
      <c r="N191" s="35" t="str">
        <f aca="false">VLOOKUP(M191, Lookups_Metadata!$G$4:$H$7, 2, FALSE())</f>
        <v>Clear / Few Clouds</v>
      </c>
      <c r="O191" s="40" t="n">
        <v>0.1</v>
      </c>
      <c r="P191" s="40" t="n">
        <v>0.0606</v>
      </c>
      <c r="Q191" s="40" t="n">
        <f aca="false">IF(OR(P191="", ISBLANK(P191)), ROUND(0.9367*O191+0.0175, 4), P191)</f>
        <v>0.0606</v>
      </c>
      <c r="R191" s="35" t="str">
        <f aca="false">IF(OR(P191="", ISBLANK(P191)), "Imputed (Regression/Trend)", "Original")</f>
        <v>Original</v>
      </c>
      <c r="S191" s="40" t="n">
        <v>0.42</v>
      </c>
      <c r="T191" s="40" t="n">
        <v>0.4627</v>
      </c>
      <c r="U191" s="41" t="n">
        <v>0</v>
      </c>
      <c r="V191" s="41" t="n">
        <v>12</v>
      </c>
      <c r="W191" s="41" t="n">
        <f aca="false">U191+V191</f>
        <v>12</v>
      </c>
      <c r="X191" s="42" t="n">
        <f aca="false">U191/W191</f>
        <v>0</v>
      </c>
      <c r="Y191" s="42" t="n">
        <f aca="false">V191/W191</f>
        <v>1</v>
      </c>
      <c r="Z191" s="35" t="str">
        <f aca="false">IF(W191&gt;=150, "High Demand", IF(W191&gt;=50, "Moderate Demand", "Low Demand"))</f>
        <v>Low Demand</v>
      </c>
      <c r="AA191" s="39" t="str">
        <f aca="false">TEXT(G191, "00") &amp; ":00"</f>
        <v>01:00</v>
      </c>
      <c r="AB191" s="37" t="n">
        <f aca="false">YEAR(B191)</f>
        <v>2011</v>
      </c>
      <c r="AC191" s="35" t="str">
        <f aca="false">TEXT(B191, "mmmm")</f>
        <v>January</v>
      </c>
      <c r="AD191" s="37" t="n">
        <f aca="false">LEN(TEXT(B191, "YYYY-MM-DD"))</f>
        <v>10</v>
      </c>
      <c r="AE191" s="39" t="str">
        <f aca="false">LEFT(TEXT(B191, "YYYY-MM-DD"), 4)</f>
        <v>2011</v>
      </c>
      <c r="AF191" s="39" t="str">
        <f aca="false">RIGHT(TEXT(B191, "YYYY-MM-DD"), 2)</f>
        <v>09</v>
      </c>
    </row>
    <row r="192" customFormat="false" ht="15" hidden="false" customHeight="false" outlineLevel="0" collapsed="false">
      <c r="A192" s="43" t="n">
        <v>188</v>
      </c>
      <c r="B192" s="44" t="s">
        <v>85</v>
      </c>
      <c r="C192" s="43" t="n">
        <v>1</v>
      </c>
      <c r="D192" s="33" t="str">
        <f aca="false">VLOOKUP(C192, Lookups_Metadata!$A$4:$B$7, 2, FALSE())</f>
        <v>Spring</v>
      </c>
      <c r="E192" s="43" t="n">
        <v>0</v>
      </c>
      <c r="F192" s="43" t="n">
        <v>1</v>
      </c>
      <c r="G192" s="43" t="n">
        <v>2</v>
      </c>
      <c r="H192" s="45" t="b">
        <f aca="false">FALSE()</f>
        <v>0</v>
      </c>
      <c r="I192" s="43" t="n">
        <v>0</v>
      </c>
      <c r="J192" s="33" t="str">
        <f aca="false">INDEX(Lookups_Metadata!$E$4:$E$10, MATCH(I192, Lookups_Metadata!$D$4:$D$10, 0))</f>
        <v>Sunday</v>
      </c>
      <c r="K192" s="33" t="str">
        <f aca="false">IF(H192=TRUE(), "Holiday", IF(OR(I192=0, I192=6), "Weekend", "Weekday"))</f>
        <v>Weekend</v>
      </c>
      <c r="L192" s="33" t="str">
        <f aca="false">IF(AND(K192="Weekday", OR(AND(G192&gt;=7, G192&lt;=9), AND(G192&gt;=17, G192&lt;=19))), "Peak Commute", "Off-Peak")</f>
        <v>Off-Peak</v>
      </c>
      <c r="M192" s="43" t="n">
        <v>1</v>
      </c>
      <c r="N192" s="33" t="str">
        <f aca="false">VLOOKUP(M192, Lookups_Metadata!$G$4:$H$7, 2, FALSE())</f>
        <v>Clear / Few Clouds</v>
      </c>
      <c r="O192" s="46" t="n">
        <v>0.1</v>
      </c>
      <c r="P192" s="46" t="n">
        <v>0.0606</v>
      </c>
      <c r="Q192" s="46" t="n">
        <f aca="false">IF(OR(P192="", ISBLANK(P192)), ROUND(0.9367*O192+0.0175, 4), P192)</f>
        <v>0.0606</v>
      </c>
      <c r="R192" s="33" t="str">
        <f aca="false">IF(OR(P192="", ISBLANK(P192)), "Imputed (Regression/Trend)", "Original")</f>
        <v>Original</v>
      </c>
      <c r="S192" s="46" t="n">
        <v>0.46</v>
      </c>
      <c r="T192" s="46" t="n">
        <v>0.4627</v>
      </c>
      <c r="U192" s="18" t="n">
        <v>0</v>
      </c>
      <c r="V192" s="18" t="n">
        <v>11</v>
      </c>
      <c r="W192" s="18" t="n">
        <f aca="false">U192+V192</f>
        <v>11</v>
      </c>
      <c r="X192" s="47" t="n">
        <f aca="false">U192/W192</f>
        <v>0</v>
      </c>
      <c r="Y192" s="47" t="n">
        <f aca="false">V192/W192</f>
        <v>1</v>
      </c>
      <c r="Z192" s="33" t="str">
        <f aca="false">IF(W192&gt;=150, "High Demand", IF(W192&gt;=50, "Moderate Demand", "Low Demand"))</f>
        <v>Low Demand</v>
      </c>
      <c r="AA192" s="45" t="str">
        <f aca="false">TEXT(G192, "00") &amp; ":00"</f>
        <v>02:00</v>
      </c>
      <c r="AB192" s="43" t="n">
        <f aca="false">YEAR(B192)</f>
        <v>2011</v>
      </c>
      <c r="AC192" s="33" t="str">
        <f aca="false">TEXT(B192, "mmmm")</f>
        <v>January</v>
      </c>
      <c r="AD192" s="43" t="n">
        <f aca="false">LEN(TEXT(B192, "YYYY-MM-DD"))</f>
        <v>10</v>
      </c>
      <c r="AE192" s="45" t="str">
        <f aca="false">LEFT(TEXT(B192, "YYYY-MM-DD"), 4)</f>
        <v>2011</v>
      </c>
      <c r="AF192" s="45" t="str">
        <f aca="false">RIGHT(TEXT(B192, "YYYY-MM-DD"), 2)</f>
        <v>09</v>
      </c>
    </row>
    <row r="193" customFormat="false" ht="15" hidden="false" customHeight="false" outlineLevel="0" collapsed="false">
      <c r="A193" s="37" t="n">
        <v>189</v>
      </c>
      <c r="B193" s="38" t="s">
        <v>85</v>
      </c>
      <c r="C193" s="37" t="n">
        <v>1</v>
      </c>
      <c r="D193" s="35" t="str">
        <f aca="false">VLOOKUP(C193, Lookups_Metadata!$A$4:$B$7, 2, FALSE())</f>
        <v>Spring</v>
      </c>
      <c r="E193" s="37" t="n">
        <v>0</v>
      </c>
      <c r="F193" s="37" t="n">
        <v>1</v>
      </c>
      <c r="G193" s="37" t="n">
        <v>3</v>
      </c>
      <c r="H193" s="39" t="b">
        <f aca="false">FALSE()</f>
        <v>0</v>
      </c>
      <c r="I193" s="37" t="n">
        <v>0</v>
      </c>
      <c r="J193" s="35" t="str">
        <f aca="false">INDEX(Lookups_Metadata!$E$4:$E$10, MATCH(I193, Lookups_Metadata!$D$4:$D$10, 0))</f>
        <v>Sunday</v>
      </c>
      <c r="K193" s="35" t="str">
        <f aca="false">IF(H193=TRUE(), "Holiday", IF(OR(I193=0, I193=6), "Weekend", "Weekday"))</f>
        <v>Weekend</v>
      </c>
      <c r="L193" s="35" t="str">
        <f aca="false">IF(AND(K193="Weekday", OR(AND(G193&gt;=7, G193&lt;=9), AND(G193&gt;=17, G193&lt;=19))), "Peak Commute", "Off-Peak")</f>
        <v>Off-Peak</v>
      </c>
      <c r="M193" s="37" t="n">
        <v>1</v>
      </c>
      <c r="N193" s="35" t="str">
        <f aca="false">VLOOKUP(M193, Lookups_Metadata!$G$4:$H$7, 2, FALSE())</f>
        <v>Clear / Few Clouds</v>
      </c>
      <c r="O193" s="40" t="n">
        <v>0.1</v>
      </c>
      <c r="P193" s="40" t="n">
        <v>0.0758</v>
      </c>
      <c r="Q193" s="40" t="n">
        <f aca="false">IF(OR(P193="", ISBLANK(P193)), ROUND(0.9367*O193+0.0175, 4), P193)</f>
        <v>0.0758</v>
      </c>
      <c r="R193" s="35" t="str">
        <f aca="false">IF(OR(P193="", ISBLANK(P193)), "Imputed (Regression/Trend)", "Original")</f>
        <v>Original</v>
      </c>
      <c r="S193" s="40" t="n">
        <v>0.46</v>
      </c>
      <c r="T193" s="40" t="n">
        <v>0.4179</v>
      </c>
      <c r="U193" s="41" t="n">
        <v>0</v>
      </c>
      <c r="V193" s="41" t="n">
        <v>4</v>
      </c>
      <c r="W193" s="41" t="n">
        <f aca="false">U193+V193</f>
        <v>4</v>
      </c>
      <c r="X193" s="42" t="n">
        <f aca="false">U193/W193</f>
        <v>0</v>
      </c>
      <c r="Y193" s="42" t="n">
        <f aca="false">V193/W193</f>
        <v>1</v>
      </c>
      <c r="Z193" s="35" t="str">
        <f aca="false">IF(W193&gt;=150, "High Demand", IF(W193&gt;=50, "Moderate Demand", "Low Demand"))</f>
        <v>Low Demand</v>
      </c>
      <c r="AA193" s="39" t="str">
        <f aca="false">TEXT(G193, "00") &amp; ":00"</f>
        <v>03:00</v>
      </c>
      <c r="AB193" s="37" t="n">
        <f aca="false">YEAR(B193)</f>
        <v>2011</v>
      </c>
      <c r="AC193" s="35" t="str">
        <f aca="false">TEXT(B193, "mmmm")</f>
        <v>January</v>
      </c>
      <c r="AD193" s="37" t="n">
        <f aca="false">LEN(TEXT(B193, "YYYY-MM-DD"))</f>
        <v>10</v>
      </c>
      <c r="AE193" s="39" t="str">
        <f aca="false">LEFT(TEXT(B193, "YYYY-MM-DD"), 4)</f>
        <v>2011</v>
      </c>
      <c r="AF193" s="39" t="str">
        <f aca="false">RIGHT(TEXT(B193, "YYYY-MM-DD"), 2)</f>
        <v>09</v>
      </c>
    </row>
    <row r="194" customFormat="false" ht="15" hidden="false" customHeight="false" outlineLevel="0" collapsed="false">
      <c r="A194" s="43" t="n">
        <v>190</v>
      </c>
      <c r="B194" s="44" t="s">
        <v>85</v>
      </c>
      <c r="C194" s="43" t="n">
        <v>1</v>
      </c>
      <c r="D194" s="33" t="str">
        <f aca="false">VLOOKUP(C194, Lookups_Metadata!$A$4:$B$7, 2, FALSE())</f>
        <v>Spring</v>
      </c>
      <c r="E194" s="43" t="n">
        <v>0</v>
      </c>
      <c r="F194" s="43" t="n">
        <v>1</v>
      </c>
      <c r="G194" s="43" t="n">
        <v>4</v>
      </c>
      <c r="H194" s="45" t="b">
        <f aca="false">FALSE()</f>
        <v>0</v>
      </c>
      <c r="I194" s="43" t="n">
        <v>0</v>
      </c>
      <c r="J194" s="33" t="str">
        <f aca="false">INDEX(Lookups_Metadata!$E$4:$E$10, MATCH(I194, Lookups_Metadata!$D$4:$D$10, 0))</f>
        <v>Sunday</v>
      </c>
      <c r="K194" s="33" t="str">
        <f aca="false">IF(H194=TRUE(), "Holiday", IF(OR(I194=0, I194=6), "Weekend", "Weekday"))</f>
        <v>Weekend</v>
      </c>
      <c r="L194" s="33" t="str">
        <f aca="false">IF(AND(K194="Weekday", OR(AND(G194&gt;=7, G194&lt;=9), AND(G194&gt;=17, G194&lt;=19))), "Peak Commute", "Off-Peak")</f>
        <v>Off-Peak</v>
      </c>
      <c r="M194" s="43" t="n">
        <v>1</v>
      </c>
      <c r="N194" s="33" t="str">
        <f aca="false">VLOOKUP(M194, Lookups_Metadata!$G$4:$H$7, 2, FALSE())</f>
        <v>Clear / Few Clouds</v>
      </c>
      <c r="O194" s="46" t="n">
        <v>0.08</v>
      </c>
      <c r="P194" s="46" t="n">
        <v>0.0909</v>
      </c>
      <c r="Q194" s="46" t="n">
        <f aca="false">IF(OR(P194="", ISBLANK(P194)), ROUND(0.9367*O194+0.0175, 4), P194)</f>
        <v>0.0909</v>
      </c>
      <c r="R194" s="33" t="str">
        <f aca="false">IF(OR(P194="", ISBLANK(P194)), "Imputed (Regression/Trend)", "Original")</f>
        <v>Original</v>
      </c>
      <c r="S194" s="46" t="n">
        <v>0.53</v>
      </c>
      <c r="T194" s="46" t="n">
        <v>0.194</v>
      </c>
      <c r="U194" s="18" t="n">
        <v>0</v>
      </c>
      <c r="V194" s="18" t="n">
        <v>1</v>
      </c>
      <c r="W194" s="18" t="n">
        <f aca="false">U194+V194</f>
        <v>1</v>
      </c>
      <c r="X194" s="47" t="n">
        <f aca="false">U194/W194</f>
        <v>0</v>
      </c>
      <c r="Y194" s="47" t="n">
        <f aca="false">V194/W194</f>
        <v>1</v>
      </c>
      <c r="Z194" s="33" t="str">
        <f aca="false">IF(W194&gt;=150, "High Demand", IF(W194&gt;=50, "Moderate Demand", "Low Demand"))</f>
        <v>Low Demand</v>
      </c>
      <c r="AA194" s="45" t="str">
        <f aca="false">TEXT(G194, "00") &amp; ":00"</f>
        <v>04:00</v>
      </c>
      <c r="AB194" s="43" t="n">
        <f aca="false">YEAR(B194)</f>
        <v>2011</v>
      </c>
      <c r="AC194" s="33" t="str">
        <f aca="false">TEXT(B194, "mmmm")</f>
        <v>January</v>
      </c>
      <c r="AD194" s="43" t="n">
        <f aca="false">LEN(TEXT(B194, "YYYY-MM-DD"))</f>
        <v>10</v>
      </c>
      <c r="AE194" s="45" t="str">
        <f aca="false">LEFT(TEXT(B194, "YYYY-MM-DD"), 4)</f>
        <v>2011</v>
      </c>
      <c r="AF194" s="45" t="str">
        <f aca="false">RIGHT(TEXT(B194, "YYYY-MM-DD"), 2)</f>
        <v>09</v>
      </c>
    </row>
    <row r="195" customFormat="false" ht="15" hidden="false" customHeight="false" outlineLevel="0" collapsed="false">
      <c r="A195" s="37" t="n">
        <v>191</v>
      </c>
      <c r="B195" s="38" t="s">
        <v>85</v>
      </c>
      <c r="C195" s="37" t="n">
        <v>1</v>
      </c>
      <c r="D195" s="35" t="str">
        <f aca="false">VLOOKUP(C195, Lookups_Metadata!$A$4:$B$7, 2, FALSE())</f>
        <v>Spring</v>
      </c>
      <c r="E195" s="37" t="n">
        <v>0</v>
      </c>
      <c r="F195" s="37" t="n">
        <v>1</v>
      </c>
      <c r="G195" s="37" t="n">
        <v>5</v>
      </c>
      <c r="H195" s="39" t="b">
        <f aca="false">FALSE()</f>
        <v>0</v>
      </c>
      <c r="I195" s="37" t="n">
        <v>0</v>
      </c>
      <c r="J195" s="35" t="str">
        <f aca="false">INDEX(Lookups_Metadata!$E$4:$E$10, MATCH(I195, Lookups_Metadata!$D$4:$D$10, 0))</f>
        <v>Sunday</v>
      </c>
      <c r="K195" s="35" t="str">
        <f aca="false">IF(H195=TRUE(), "Holiday", IF(OR(I195=0, I195=6), "Weekend", "Weekday"))</f>
        <v>Weekend</v>
      </c>
      <c r="L195" s="35" t="str">
        <f aca="false">IF(AND(K195="Weekday", OR(AND(G195&gt;=7, G195&lt;=9), AND(G195&gt;=17, G195&lt;=19))), "Peak Commute", "Off-Peak")</f>
        <v>Off-Peak</v>
      </c>
      <c r="M195" s="37" t="n">
        <v>1</v>
      </c>
      <c r="N195" s="35" t="str">
        <f aca="false">VLOOKUP(M195, Lookups_Metadata!$G$4:$H$7, 2, FALSE())</f>
        <v>Clear / Few Clouds</v>
      </c>
      <c r="O195" s="40" t="n">
        <v>0.08</v>
      </c>
      <c r="P195" s="40" t="n">
        <v>0.0909</v>
      </c>
      <c r="Q195" s="40" t="n">
        <f aca="false">IF(OR(P195="", ISBLANK(P195)), ROUND(0.9367*O195+0.0175, 4), P195)</f>
        <v>0.0909</v>
      </c>
      <c r="R195" s="35" t="str">
        <f aca="false">IF(OR(P195="", ISBLANK(P195)), "Imputed (Regression/Trend)", "Original")</f>
        <v>Original</v>
      </c>
      <c r="S195" s="40" t="n">
        <v>0.53</v>
      </c>
      <c r="T195" s="40" t="n">
        <v>0.194</v>
      </c>
      <c r="U195" s="41" t="n">
        <v>0</v>
      </c>
      <c r="V195" s="41" t="n">
        <v>1</v>
      </c>
      <c r="W195" s="41" t="n">
        <f aca="false">U195+V195</f>
        <v>1</v>
      </c>
      <c r="X195" s="42" t="n">
        <f aca="false">U195/W195</f>
        <v>0</v>
      </c>
      <c r="Y195" s="42" t="n">
        <f aca="false">V195/W195</f>
        <v>1</v>
      </c>
      <c r="Z195" s="35" t="str">
        <f aca="false">IF(W195&gt;=150, "High Demand", IF(W195&gt;=50, "Moderate Demand", "Low Demand"))</f>
        <v>Low Demand</v>
      </c>
      <c r="AA195" s="39" t="str">
        <f aca="false">TEXT(G195, "00") &amp; ":00"</f>
        <v>05:00</v>
      </c>
      <c r="AB195" s="37" t="n">
        <f aca="false">YEAR(B195)</f>
        <v>2011</v>
      </c>
      <c r="AC195" s="35" t="str">
        <f aca="false">TEXT(B195, "mmmm")</f>
        <v>January</v>
      </c>
      <c r="AD195" s="37" t="n">
        <f aca="false">LEN(TEXT(B195, "YYYY-MM-DD"))</f>
        <v>10</v>
      </c>
      <c r="AE195" s="39" t="str">
        <f aca="false">LEFT(TEXT(B195, "YYYY-MM-DD"), 4)</f>
        <v>2011</v>
      </c>
      <c r="AF195" s="39" t="str">
        <f aca="false">RIGHT(TEXT(B195, "YYYY-MM-DD"), 2)</f>
        <v>09</v>
      </c>
    </row>
    <row r="196" customFormat="false" ht="15" hidden="false" customHeight="false" outlineLevel="0" collapsed="false">
      <c r="A196" s="43" t="n">
        <v>192</v>
      </c>
      <c r="B196" s="44" t="s">
        <v>85</v>
      </c>
      <c r="C196" s="43" t="n">
        <v>1</v>
      </c>
      <c r="D196" s="33" t="str">
        <f aca="false">VLOOKUP(C196, Lookups_Metadata!$A$4:$B$7, 2, FALSE())</f>
        <v>Spring</v>
      </c>
      <c r="E196" s="43" t="n">
        <v>0</v>
      </c>
      <c r="F196" s="43" t="n">
        <v>1</v>
      </c>
      <c r="G196" s="43" t="n">
        <v>6</v>
      </c>
      <c r="H196" s="45" t="b">
        <f aca="false">FALSE()</f>
        <v>0</v>
      </c>
      <c r="I196" s="43" t="n">
        <v>0</v>
      </c>
      <c r="J196" s="33" t="str">
        <f aca="false">INDEX(Lookups_Metadata!$E$4:$E$10, MATCH(I196, Lookups_Metadata!$D$4:$D$10, 0))</f>
        <v>Sunday</v>
      </c>
      <c r="K196" s="33" t="str">
        <f aca="false">IF(H196=TRUE(), "Holiday", IF(OR(I196=0, I196=6), "Weekend", "Weekday"))</f>
        <v>Weekend</v>
      </c>
      <c r="L196" s="33" t="str">
        <f aca="false">IF(AND(K196="Weekday", OR(AND(G196&gt;=7, G196&lt;=9), AND(G196&gt;=17, G196&lt;=19))), "Peak Commute", "Off-Peak")</f>
        <v>Off-Peak</v>
      </c>
      <c r="M196" s="43" t="n">
        <v>1</v>
      </c>
      <c r="N196" s="33" t="str">
        <f aca="false">VLOOKUP(M196, Lookups_Metadata!$G$4:$H$7, 2, FALSE())</f>
        <v>Clear / Few Clouds</v>
      </c>
      <c r="O196" s="46" t="n">
        <v>0.1</v>
      </c>
      <c r="P196" s="46" t="n">
        <v>0.0909</v>
      </c>
      <c r="Q196" s="46" t="n">
        <f aca="false">IF(OR(P196="", ISBLANK(P196)), ROUND(0.9367*O196+0.0175, 4), P196)</f>
        <v>0.0909</v>
      </c>
      <c r="R196" s="33" t="str">
        <f aca="false">IF(OR(P196="", ISBLANK(P196)), "Imputed (Regression/Trend)", "Original")</f>
        <v>Original</v>
      </c>
      <c r="S196" s="46" t="n">
        <v>0.49</v>
      </c>
      <c r="T196" s="46" t="n">
        <v>0.2836</v>
      </c>
      <c r="U196" s="18" t="n">
        <v>0</v>
      </c>
      <c r="V196" s="18" t="n">
        <v>1</v>
      </c>
      <c r="W196" s="18" t="n">
        <f aca="false">U196+V196</f>
        <v>1</v>
      </c>
      <c r="X196" s="47" t="n">
        <f aca="false">U196/W196</f>
        <v>0</v>
      </c>
      <c r="Y196" s="47" t="n">
        <f aca="false">V196/W196</f>
        <v>1</v>
      </c>
      <c r="Z196" s="33" t="str">
        <f aca="false">IF(W196&gt;=150, "High Demand", IF(W196&gt;=50, "Moderate Demand", "Low Demand"))</f>
        <v>Low Demand</v>
      </c>
      <c r="AA196" s="45" t="str">
        <f aca="false">TEXT(G196, "00") &amp; ":00"</f>
        <v>06:00</v>
      </c>
      <c r="AB196" s="43" t="n">
        <f aca="false">YEAR(B196)</f>
        <v>2011</v>
      </c>
      <c r="AC196" s="33" t="str">
        <f aca="false">TEXT(B196, "mmmm")</f>
        <v>January</v>
      </c>
      <c r="AD196" s="43" t="n">
        <f aca="false">LEN(TEXT(B196, "YYYY-MM-DD"))</f>
        <v>10</v>
      </c>
      <c r="AE196" s="45" t="str">
        <f aca="false">LEFT(TEXT(B196, "YYYY-MM-DD"), 4)</f>
        <v>2011</v>
      </c>
      <c r="AF196" s="45" t="str">
        <f aca="false">RIGHT(TEXT(B196, "YYYY-MM-DD"), 2)</f>
        <v>09</v>
      </c>
    </row>
    <row r="197" customFormat="false" ht="15" hidden="false" customHeight="false" outlineLevel="0" collapsed="false">
      <c r="A197" s="37" t="n">
        <v>193</v>
      </c>
      <c r="B197" s="38" t="s">
        <v>85</v>
      </c>
      <c r="C197" s="37" t="n">
        <v>1</v>
      </c>
      <c r="D197" s="35" t="str">
        <f aca="false">VLOOKUP(C197, Lookups_Metadata!$A$4:$B$7, 2, FALSE())</f>
        <v>Spring</v>
      </c>
      <c r="E197" s="37" t="n">
        <v>0</v>
      </c>
      <c r="F197" s="37" t="n">
        <v>1</v>
      </c>
      <c r="G197" s="37" t="n">
        <v>7</v>
      </c>
      <c r="H197" s="39" t="b">
        <f aca="false">FALSE()</f>
        <v>0</v>
      </c>
      <c r="I197" s="37" t="n">
        <v>0</v>
      </c>
      <c r="J197" s="35" t="str">
        <f aca="false">INDEX(Lookups_Metadata!$E$4:$E$10, MATCH(I197, Lookups_Metadata!$D$4:$D$10, 0))</f>
        <v>Sunday</v>
      </c>
      <c r="K197" s="35" t="str">
        <f aca="false">IF(H197=TRUE(), "Holiday", IF(OR(I197=0, I197=6), "Weekend", "Weekday"))</f>
        <v>Weekend</v>
      </c>
      <c r="L197" s="35" t="str">
        <f aca="false">IF(AND(K197="Weekday", OR(AND(G197&gt;=7, G197&lt;=9), AND(G197&gt;=17, G197&lt;=19))), "Peak Commute", "Off-Peak")</f>
        <v>Off-Peak</v>
      </c>
      <c r="M197" s="37" t="n">
        <v>1</v>
      </c>
      <c r="N197" s="35" t="str">
        <f aca="false">VLOOKUP(M197, Lookups_Metadata!$G$4:$H$7, 2, FALSE())</f>
        <v>Clear / Few Clouds</v>
      </c>
      <c r="O197" s="40" t="n">
        <v>0.08</v>
      </c>
      <c r="P197" s="40" t="n">
        <v>0.0909</v>
      </c>
      <c r="Q197" s="40" t="n">
        <f aca="false">IF(OR(P197="", ISBLANK(P197)), ROUND(0.9367*O197+0.0175, 4), P197)</f>
        <v>0.0909</v>
      </c>
      <c r="R197" s="35" t="str">
        <f aca="false">IF(OR(P197="", ISBLANK(P197)), "Imputed (Regression/Trend)", "Original")</f>
        <v>Original</v>
      </c>
      <c r="S197" s="40" t="n">
        <v>0.53</v>
      </c>
      <c r="T197" s="40" t="n">
        <v>0.194</v>
      </c>
      <c r="U197" s="41" t="n">
        <v>1</v>
      </c>
      <c r="V197" s="41" t="n">
        <v>5</v>
      </c>
      <c r="W197" s="41" t="n">
        <f aca="false">U197+V197</f>
        <v>6</v>
      </c>
      <c r="X197" s="42" t="n">
        <f aca="false">U197/W197</f>
        <v>0.166666666666667</v>
      </c>
      <c r="Y197" s="42" t="n">
        <f aca="false">V197/W197</f>
        <v>0.833333333333333</v>
      </c>
      <c r="Z197" s="35" t="str">
        <f aca="false">IF(W197&gt;=150, "High Demand", IF(W197&gt;=50, "Moderate Demand", "Low Demand"))</f>
        <v>Low Demand</v>
      </c>
      <c r="AA197" s="39" t="str">
        <f aca="false">TEXT(G197, "00") &amp; ":00"</f>
        <v>07:00</v>
      </c>
      <c r="AB197" s="37" t="n">
        <f aca="false">YEAR(B197)</f>
        <v>2011</v>
      </c>
      <c r="AC197" s="35" t="str">
        <f aca="false">TEXT(B197, "mmmm")</f>
        <v>January</v>
      </c>
      <c r="AD197" s="37" t="n">
        <f aca="false">LEN(TEXT(B197, "YYYY-MM-DD"))</f>
        <v>10</v>
      </c>
      <c r="AE197" s="39" t="str">
        <f aca="false">LEFT(TEXT(B197, "YYYY-MM-DD"), 4)</f>
        <v>2011</v>
      </c>
      <c r="AF197" s="39" t="str">
        <f aca="false">RIGHT(TEXT(B197, "YYYY-MM-DD"), 2)</f>
        <v>09</v>
      </c>
    </row>
    <row r="198" customFormat="false" ht="15" hidden="false" customHeight="false" outlineLevel="0" collapsed="false">
      <c r="A198" s="43" t="n">
        <v>194</v>
      </c>
      <c r="B198" s="44" t="s">
        <v>85</v>
      </c>
      <c r="C198" s="43" t="n">
        <v>1</v>
      </c>
      <c r="D198" s="33" t="str">
        <f aca="false">VLOOKUP(C198, Lookups_Metadata!$A$4:$B$7, 2, FALSE())</f>
        <v>Spring</v>
      </c>
      <c r="E198" s="43" t="n">
        <v>0</v>
      </c>
      <c r="F198" s="43" t="n">
        <v>1</v>
      </c>
      <c r="G198" s="43" t="n">
        <v>8</v>
      </c>
      <c r="H198" s="45" t="b">
        <f aca="false">FALSE()</f>
        <v>0</v>
      </c>
      <c r="I198" s="43" t="n">
        <v>0</v>
      </c>
      <c r="J198" s="33" t="str">
        <f aca="false">INDEX(Lookups_Metadata!$E$4:$E$10, MATCH(I198, Lookups_Metadata!$D$4:$D$10, 0))</f>
        <v>Sunday</v>
      </c>
      <c r="K198" s="33" t="str">
        <f aca="false">IF(H198=TRUE(), "Holiday", IF(OR(I198=0, I198=6), "Weekend", "Weekday"))</f>
        <v>Weekend</v>
      </c>
      <c r="L198" s="33" t="str">
        <f aca="false">IF(AND(K198="Weekday", OR(AND(G198&gt;=7, G198&lt;=9), AND(G198&gt;=17, G198&lt;=19))), "Peak Commute", "Off-Peak")</f>
        <v>Off-Peak</v>
      </c>
      <c r="M198" s="43" t="n">
        <v>1</v>
      </c>
      <c r="N198" s="33" t="str">
        <f aca="false">VLOOKUP(M198, Lookups_Metadata!$G$4:$H$7, 2, FALSE())</f>
        <v>Clear / Few Clouds</v>
      </c>
      <c r="O198" s="46" t="n">
        <v>0.1</v>
      </c>
      <c r="P198" s="46" t="n">
        <v>0.0909</v>
      </c>
      <c r="Q198" s="46" t="n">
        <f aca="false">IF(OR(P198="", ISBLANK(P198)), ROUND(0.9367*O198+0.0175, 4), P198)</f>
        <v>0.0909</v>
      </c>
      <c r="R198" s="33" t="str">
        <f aca="false">IF(OR(P198="", ISBLANK(P198)), "Imputed (Regression/Trend)", "Original")</f>
        <v>Original</v>
      </c>
      <c r="S198" s="46" t="n">
        <v>0.49</v>
      </c>
      <c r="T198" s="46" t="n">
        <v>0.2836</v>
      </c>
      <c r="U198" s="18" t="n">
        <v>0</v>
      </c>
      <c r="V198" s="18" t="n">
        <v>10</v>
      </c>
      <c r="W198" s="18" t="n">
        <f aca="false">U198+V198</f>
        <v>10</v>
      </c>
      <c r="X198" s="47" t="n">
        <f aca="false">U198/W198</f>
        <v>0</v>
      </c>
      <c r="Y198" s="47" t="n">
        <f aca="false">V198/W198</f>
        <v>1</v>
      </c>
      <c r="Z198" s="33" t="str">
        <f aca="false">IF(W198&gt;=150, "High Demand", IF(W198&gt;=50, "Moderate Demand", "Low Demand"))</f>
        <v>Low Demand</v>
      </c>
      <c r="AA198" s="45" t="str">
        <f aca="false">TEXT(G198, "00") &amp; ":00"</f>
        <v>08:00</v>
      </c>
      <c r="AB198" s="43" t="n">
        <f aca="false">YEAR(B198)</f>
        <v>2011</v>
      </c>
      <c r="AC198" s="33" t="str">
        <f aca="false">TEXT(B198, "mmmm")</f>
        <v>January</v>
      </c>
      <c r="AD198" s="43" t="n">
        <f aca="false">LEN(TEXT(B198, "YYYY-MM-DD"))</f>
        <v>10</v>
      </c>
      <c r="AE198" s="45" t="str">
        <f aca="false">LEFT(TEXT(B198, "YYYY-MM-DD"), 4)</f>
        <v>2011</v>
      </c>
      <c r="AF198" s="45" t="str">
        <f aca="false">RIGHT(TEXT(B198, "YYYY-MM-DD"), 2)</f>
        <v>09</v>
      </c>
    </row>
    <row r="199" customFormat="false" ht="15" hidden="false" customHeight="false" outlineLevel="0" collapsed="false">
      <c r="A199" s="37" t="n">
        <v>195</v>
      </c>
      <c r="B199" s="38" t="s">
        <v>85</v>
      </c>
      <c r="C199" s="37" t="n">
        <v>1</v>
      </c>
      <c r="D199" s="35" t="str">
        <f aca="false">VLOOKUP(C199, Lookups_Metadata!$A$4:$B$7, 2, FALSE())</f>
        <v>Spring</v>
      </c>
      <c r="E199" s="37" t="n">
        <v>0</v>
      </c>
      <c r="F199" s="37" t="n">
        <v>1</v>
      </c>
      <c r="G199" s="37" t="n">
        <v>9</v>
      </c>
      <c r="H199" s="39" t="b">
        <f aca="false">FALSE()</f>
        <v>0</v>
      </c>
      <c r="I199" s="37" t="n">
        <v>0</v>
      </c>
      <c r="J199" s="35" t="str">
        <f aca="false">INDEX(Lookups_Metadata!$E$4:$E$10, MATCH(I199, Lookups_Metadata!$D$4:$D$10, 0))</f>
        <v>Sunday</v>
      </c>
      <c r="K199" s="35" t="str">
        <f aca="false">IF(H199=TRUE(), "Holiday", IF(OR(I199=0, I199=6), "Weekend", "Weekday"))</f>
        <v>Weekend</v>
      </c>
      <c r="L199" s="35" t="str">
        <f aca="false">IF(AND(K199="Weekday", OR(AND(G199&gt;=7, G199&lt;=9), AND(G199&gt;=17, G199&lt;=19))), "Peak Commute", "Off-Peak")</f>
        <v>Off-Peak</v>
      </c>
      <c r="M199" s="37" t="n">
        <v>1</v>
      </c>
      <c r="N199" s="35" t="str">
        <f aca="false">VLOOKUP(M199, Lookups_Metadata!$G$4:$H$7, 2, FALSE())</f>
        <v>Clear / Few Clouds</v>
      </c>
      <c r="O199" s="40" t="n">
        <v>0.12</v>
      </c>
      <c r="P199" s="40" t="n">
        <v>0.0758</v>
      </c>
      <c r="Q199" s="40" t="n">
        <f aca="false">IF(OR(P199="", ISBLANK(P199)), ROUND(0.9367*O199+0.0175, 4), P199)</f>
        <v>0.0758</v>
      </c>
      <c r="R199" s="35" t="str">
        <f aca="false">IF(OR(P199="", ISBLANK(P199)), "Imputed (Regression/Trend)", "Original")</f>
        <v>Original</v>
      </c>
      <c r="S199" s="40" t="n">
        <v>0.46</v>
      </c>
      <c r="T199" s="40" t="n">
        <v>0.5224</v>
      </c>
      <c r="U199" s="41" t="n">
        <v>0</v>
      </c>
      <c r="V199" s="41" t="n">
        <v>19</v>
      </c>
      <c r="W199" s="41" t="n">
        <f aca="false">U199+V199</f>
        <v>19</v>
      </c>
      <c r="X199" s="42" t="n">
        <f aca="false">U199/W199</f>
        <v>0</v>
      </c>
      <c r="Y199" s="42" t="n">
        <f aca="false">V199/W199</f>
        <v>1</v>
      </c>
      <c r="Z199" s="35" t="str">
        <f aca="false">IF(W199&gt;=150, "High Demand", IF(W199&gt;=50, "Moderate Demand", "Low Demand"))</f>
        <v>Low Demand</v>
      </c>
      <c r="AA199" s="39" t="str">
        <f aca="false">TEXT(G199, "00") &amp; ":00"</f>
        <v>09:00</v>
      </c>
      <c r="AB199" s="37" t="n">
        <f aca="false">YEAR(B199)</f>
        <v>2011</v>
      </c>
      <c r="AC199" s="35" t="str">
        <f aca="false">TEXT(B199, "mmmm")</f>
        <v>January</v>
      </c>
      <c r="AD199" s="37" t="n">
        <f aca="false">LEN(TEXT(B199, "YYYY-MM-DD"))</f>
        <v>10</v>
      </c>
      <c r="AE199" s="39" t="str">
        <f aca="false">LEFT(TEXT(B199, "YYYY-MM-DD"), 4)</f>
        <v>2011</v>
      </c>
      <c r="AF199" s="39" t="str">
        <f aca="false">RIGHT(TEXT(B199, "YYYY-MM-DD"), 2)</f>
        <v>09</v>
      </c>
    </row>
    <row r="200" customFormat="false" ht="15" hidden="false" customHeight="false" outlineLevel="0" collapsed="false">
      <c r="A200" s="43" t="n">
        <v>196</v>
      </c>
      <c r="B200" s="44" t="s">
        <v>85</v>
      </c>
      <c r="C200" s="43" t="n">
        <v>1</v>
      </c>
      <c r="D200" s="33" t="str">
        <f aca="false">VLOOKUP(C200, Lookups_Metadata!$A$4:$B$7, 2, FALSE())</f>
        <v>Spring</v>
      </c>
      <c r="E200" s="43" t="n">
        <v>0</v>
      </c>
      <c r="F200" s="43" t="n">
        <v>1</v>
      </c>
      <c r="G200" s="43" t="n">
        <v>10</v>
      </c>
      <c r="H200" s="45" t="b">
        <f aca="false">FALSE()</f>
        <v>0</v>
      </c>
      <c r="I200" s="43" t="n">
        <v>0</v>
      </c>
      <c r="J200" s="33" t="str">
        <f aca="false">INDEX(Lookups_Metadata!$E$4:$E$10, MATCH(I200, Lookups_Metadata!$D$4:$D$10, 0))</f>
        <v>Sunday</v>
      </c>
      <c r="K200" s="33" t="str">
        <f aca="false">IF(H200=TRUE(), "Holiday", IF(OR(I200=0, I200=6), "Weekend", "Weekday"))</f>
        <v>Weekend</v>
      </c>
      <c r="L200" s="33" t="str">
        <f aca="false">IF(AND(K200="Weekday", OR(AND(G200&gt;=7, G200&lt;=9), AND(G200&gt;=17, G200&lt;=19))), "Peak Commute", "Off-Peak")</f>
        <v>Off-Peak</v>
      </c>
      <c r="M200" s="43" t="n">
        <v>1</v>
      </c>
      <c r="N200" s="33" t="str">
        <f aca="false">VLOOKUP(M200, Lookups_Metadata!$G$4:$H$7, 2, FALSE())</f>
        <v>Clear / Few Clouds</v>
      </c>
      <c r="O200" s="46" t="n">
        <v>0.14</v>
      </c>
      <c r="P200" s="46" t="n">
        <v>0.1061</v>
      </c>
      <c r="Q200" s="46" t="n">
        <f aca="false">IF(OR(P200="", ISBLANK(P200)), ROUND(0.9367*O200+0.0175, 4), P200)</f>
        <v>0.1061</v>
      </c>
      <c r="R200" s="33" t="str">
        <f aca="false">IF(OR(P200="", ISBLANK(P200)), "Imputed (Regression/Trend)", "Original")</f>
        <v>Original</v>
      </c>
      <c r="S200" s="46" t="n">
        <v>0.43</v>
      </c>
      <c r="T200" s="46" t="n">
        <v>0.3881</v>
      </c>
      <c r="U200" s="18" t="n">
        <v>0</v>
      </c>
      <c r="V200" s="18" t="n">
        <v>49</v>
      </c>
      <c r="W200" s="18" t="n">
        <f aca="false">U200+V200</f>
        <v>49</v>
      </c>
      <c r="X200" s="47" t="n">
        <f aca="false">U200/W200</f>
        <v>0</v>
      </c>
      <c r="Y200" s="47" t="n">
        <f aca="false">V200/W200</f>
        <v>1</v>
      </c>
      <c r="Z200" s="33" t="str">
        <f aca="false">IF(W200&gt;=150, "High Demand", IF(W200&gt;=50, "Moderate Demand", "Low Demand"))</f>
        <v>Low Demand</v>
      </c>
      <c r="AA200" s="45" t="str">
        <f aca="false">TEXT(G200, "00") &amp; ":00"</f>
        <v>10:00</v>
      </c>
      <c r="AB200" s="43" t="n">
        <f aca="false">YEAR(B200)</f>
        <v>2011</v>
      </c>
      <c r="AC200" s="33" t="str">
        <f aca="false">TEXT(B200, "mmmm")</f>
        <v>January</v>
      </c>
      <c r="AD200" s="43" t="n">
        <f aca="false">LEN(TEXT(B200, "YYYY-MM-DD"))</f>
        <v>10</v>
      </c>
      <c r="AE200" s="45" t="str">
        <f aca="false">LEFT(TEXT(B200, "YYYY-MM-DD"), 4)</f>
        <v>2011</v>
      </c>
      <c r="AF200" s="45" t="str">
        <f aca="false">RIGHT(TEXT(B200, "YYYY-MM-DD"), 2)</f>
        <v>09</v>
      </c>
    </row>
    <row r="201" customFormat="false" ht="15" hidden="false" customHeight="false" outlineLevel="0" collapsed="false">
      <c r="A201" s="37" t="n">
        <v>197</v>
      </c>
      <c r="B201" s="38" t="s">
        <v>85</v>
      </c>
      <c r="C201" s="37" t="n">
        <v>1</v>
      </c>
      <c r="D201" s="35" t="str">
        <f aca="false">VLOOKUP(C201, Lookups_Metadata!$A$4:$B$7, 2, FALSE())</f>
        <v>Spring</v>
      </c>
      <c r="E201" s="37" t="n">
        <v>0</v>
      </c>
      <c r="F201" s="37" t="n">
        <v>1</v>
      </c>
      <c r="G201" s="37" t="n">
        <v>11</v>
      </c>
      <c r="H201" s="39" t="b">
        <f aca="false">FALSE()</f>
        <v>0</v>
      </c>
      <c r="I201" s="37" t="n">
        <v>0</v>
      </c>
      <c r="J201" s="35" t="str">
        <f aca="false">INDEX(Lookups_Metadata!$E$4:$E$10, MATCH(I201, Lookups_Metadata!$D$4:$D$10, 0))</f>
        <v>Sunday</v>
      </c>
      <c r="K201" s="35" t="str">
        <f aca="false">IF(H201=TRUE(), "Holiday", IF(OR(I201=0, I201=6), "Weekend", "Weekday"))</f>
        <v>Weekend</v>
      </c>
      <c r="L201" s="35" t="str">
        <f aca="false">IF(AND(K201="Weekday", OR(AND(G201&gt;=7, G201&lt;=9), AND(G201&gt;=17, G201&lt;=19))), "Peak Commute", "Off-Peak")</f>
        <v>Off-Peak</v>
      </c>
      <c r="M201" s="37" t="n">
        <v>1</v>
      </c>
      <c r="N201" s="35" t="str">
        <f aca="false">VLOOKUP(M201, Lookups_Metadata!$G$4:$H$7, 2, FALSE())</f>
        <v>Clear / Few Clouds</v>
      </c>
      <c r="O201" s="40" t="n">
        <v>0.16</v>
      </c>
      <c r="P201" s="40" t="n">
        <v>0.1212</v>
      </c>
      <c r="Q201" s="40" t="n">
        <f aca="false">IF(OR(P201="", ISBLANK(P201)), ROUND(0.9367*O201+0.0175, 4), P201)</f>
        <v>0.1212</v>
      </c>
      <c r="R201" s="35" t="str">
        <f aca="false">IF(OR(P201="", ISBLANK(P201)), "Imputed (Regression/Trend)", "Original")</f>
        <v>Original</v>
      </c>
      <c r="S201" s="40" t="n">
        <v>0.4</v>
      </c>
      <c r="T201" s="40" t="n">
        <v>0.5224</v>
      </c>
      <c r="U201" s="41" t="n">
        <v>2</v>
      </c>
      <c r="V201" s="41" t="n">
        <v>47</v>
      </c>
      <c r="W201" s="41" t="n">
        <f aca="false">U201+V201</f>
        <v>49</v>
      </c>
      <c r="X201" s="42" t="n">
        <f aca="false">U201/W201</f>
        <v>0.0408163265306122</v>
      </c>
      <c r="Y201" s="42" t="n">
        <f aca="false">V201/W201</f>
        <v>0.959183673469388</v>
      </c>
      <c r="Z201" s="35" t="str">
        <f aca="false">IF(W201&gt;=150, "High Demand", IF(W201&gt;=50, "Moderate Demand", "Low Demand"))</f>
        <v>Low Demand</v>
      </c>
      <c r="AA201" s="39" t="str">
        <f aca="false">TEXT(G201, "00") &amp; ":00"</f>
        <v>11:00</v>
      </c>
      <c r="AB201" s="37" t="n">
        <f aca="false">YEAR(B201)</f>
        <v>2011</v>
      </c>
      <c r="AC201" s="35" t="str">
        <f aca="false">TEXT(B201, "mmmm")</f>
        <v>January</v>
      </c>
      <c r="AD201" s="37" t="n">
        <f aca="false">LEN(TEXT(B201, "YYYY-MM-DD"))</f>
        <v>10</v>
      </c>
      <c r="AE201" s="39" t="str">
        <f aca="false">LEFT(TEXT(B201, "YYYY-MM-DD"), 4)</f>
        <v>2011</v>
      </c>
      <c r="AF201" s="39" t="str">
        <f aca="false">RIGHT(TEXT(B201, "YYYY-MM-DD"), 2)</f>
        <v>09</v>
      </c>
    </row>
    <row r="202" customFormat="false" ht="15" hidden="false" customHeight="false" outlineLevel="0" collapsed="false">
      <c r="A202" s="43" t="n">
        <v>198</v>
      </c>
      <c r="B202" s="44" t="s">
        <v>85</v>
      </c>
      <c r="C202" s="43" t="n">
        <v>1</v>
      </c>
      <c r="D202" s="33" t="str">
        <f aca="false">VLOOKUP(C202, Lookups_Metadata!$A$4:$B$7, 2, FALSE())</f>
        <v>Spring</v>
      </c>
      <c r="E202" s="43" t="n">
        <v>0</v>
      </c>
      <c r="F202" s="43" t="n">
        <v>1</v>
      </c>
      <c r="G202" s="43" t="n">
        <v>12</v>
      </c>
      <c r="H202" s="45" t="b">
        <f aca="false">FALSE()</f>
        <v>0</v>
      </c>
      <c r="I202" s="43" t="n">
        <v>0</v>
      </c>
      <c r="J202" s="33" t="str">
        <f aca="false">INDEX(Lookups_Metadata!$E$4:$E$10, MATCH(I202, Lookups_Metadata!$D$4:$D$10, 0))</f>
        <v>Sunday</v>
      </c>
      <c r="K202" s="33" t="str">
        <f aca="false">IF(H202=TRUE(), "Holiday", IF(OR(I202=0, I202=6), "Weekend", "Weekday"))</f>
        <v>Weekend</v>
      </c>
      <c r="L202" s="33" t="str">
        <f aca="false">IF(AND(K202="Weekday", OR(AND(G202&gt;=7, G202&lt;=9), AND(G202&gt;=17, G202&lt;=19))), "Peak Commute", "Off-Peak")</f>
        <v>Off-Peak</v>
      </c>
      <c r="M202" s="43" t="n">
        <v>1</v>
      </c>
      <c r="N202" s="33" t="str">
        <f aca="false">VLOOKUP(M202, Lookups_Metadata!$G$4:$H$7, 2, FALSE())</f>
        <v>Clear / Few Clouds</v>
      </c>
      <c r="O202" s="46" t="n">
        <v>0.18</v>
      </c>
      <c r="P202" s="46" t="n">
        <v>0.1364</v>
      </c>
      <c r="Q202" s="46" t="n">
        <f aca="false">IF(OR(P202="", ISBLANK(P202)), ROUND(0.9367*O202+0.0175, 4), P202)</f>
        <v>0.1364</v>
      </c>
      <c r="R202" s="33" t="str">
        <f aca="false">IF(OR(P202="", ISBLANK(P202)), "Imputed (Regression/Trend)", "Original")</f>
        <v>Original</v>
      </c>
      <c r="S202" s="46" t="n">
        <v>0.37</v>
      </c>
      <c r="T202" s="46" t="n">
        <v>0.4478</v>
      </c>
      <c r="U202" s="18" t="n">
        <v>4</v>
      </c>
      <c r="V202" s="18" t="n">
        <v>79</v>
      </c>
      <c r="W202" s="18" t="n">
        <f aca="false">U202+V202</f>
        <v>83</v>
      </c>
      <c r="X202" s="47" t="n">
        <f aca="false">U202/W202</f>
        <v>0.0481927710843374</v>
      </c>
      <c r="Y202" s="47" t="n">
        <f aca="false">V202/W202</f>
        <v>0.951807228915663</v>
      </c>
      <c r="Z202" s="33" t="str">
        <f aca="false">IF(W202&gt;=150, "High Demand", IF(W202&gt;=50, "Moderate Demand", "Low Demand"))</f>
        <v>Moderate Demand</v>
      </c>
      <c r="AA202" s="45" t="str">
        <f aca="false">TEXT(G202, "00") &amp; ":00"</f>
        <v>12:00</v>
      </c>
      <c r="AB202" s="43" t="n">
        <f aca="false">YEAR(B202)</f>
        <v>2011</v>
      </c>
      <c r="AC202" s="33" t="str">
        <f aca="false">TEXT(B202, "mmmm")</f>
        <v>January</v>
      </c>
      <c r="AD202" s="43" t="n">
        <f aca="false">LEN(TEXT(B202, "YYYY-MM-DD"))</f>
        <v>10</v>
      </c>
      <c r="AE202" s="45" t="str">
        <f aca="false">LEFT(TEXT(B202, "YYYY-MM-DD"), 4)</f>
        <v>2011</v>
      </c>
      <c r="AF202" s="45" t="str">
        <f aca="false">RIGHT(TEXT(B202, "YYYY-MM-DD"), 2)</f>
        <v>09</v>
      </c>
    </row>
    <row r="203" customFormat="false" ht="15" hidden="false" customHeight="false" outlineLevel="0" collapsed="false">
      <c r="A203" s="37" t="n">
        <v>199</v>
      </c>
      <c r="B203" s="38" t="s">
        <v>85</v>
      </c>
      <c r="C203" s="37" t="n">
        <v>1</v>
      </c>
      <c r="D203" s="35" t="str">
        <f aca="false">VLOOKUP(C203, Lookups_Metadata!$A$4:$B$7, 2, FALSE())</f>
        <v>Spring</v>
      </c>
      <c r="E203" s="37" t="n">
        <v>0</v>
      </c>
      <c r="F203" s="37" t="n">
        <v>1</v>
      </c>
      <c r="G203" s="37" t="n">
        <v>13</v>
      </c>
      <c r="H203" s="39" t="b">
        <f aca="false">FALSE()</f>
        <v>0</v>
      </c>
      <c r="I203" s="37" t="n">
        <v>0</v>
      </c>
      <c r="J203" s="35" t="str">
        <f aca="false">INDEX(Lookups_Metadata!$E$4:$E$10, MATCH(I203, Lookups_Metadata!$D$4:$D$10, 0))</f>
        <v>Sunday</v>
      </c>
      <c r="K203" s="35" t="str">
        <f aca="false">IF(H203=TRUE(), "Holiday", IF(OR(I203=0, I203=6), "Weekend", "Weekday"))</f>
        <v>Weekend</v>
      </c>
      <c r="L203" s="35" t="str">
        <f aca="false">IF(AND(K203="Weekday", OR(AND(G203&gt;=7, G203&lt;=9), AND(G203&gt;=17, G203&lt;=19))), "Peak Commute", "Off-Peak")</f>
        <v>Off-Peak</v>
      </c>
      <c r="M203" s="37" t="n">
        <v>1</v>
      </c>
      <c r="N203" s="35" t="str">
        <f aca="false">VLOOKUP(M203, Lookups_Metadata!$G$4:$H$7, 2, FALSE())</f>
        <v>Clear / Few Clouds</v>
      </c>
      <c r="O203" s="40" t="n">
        <v>0.2</v>
      </c>
      <c r="P203" s="40" t="n">
        <v>0.1667</v>
      </c>
      <c r="Q203" s="40" t="n">
        <f aca="false">IF(OR(P203="", ISBLANK(P203)), ROUND(0.9367*O203+0.0175, 4), P203)</f>
        <v>0.1667</v>
      </c>
      <c r="R203" s="35" t="str">
        <f aca="false">IF(OR(P203="", ISBLANK(P203)), "Imputed (Regression/Trend)", "Original")</f>
        <v>Original</v>
      </c>
      <c r="S203" s="40" t="n">
        <v>0.34</v>
      </c>
      <c r="T203" s="40" t="n">
        <v>0.4478</v>
      </c>
      <c r="U203" s="41" t="n">
        <v>6</v>
      </c>
      <c r="V203" s="41" t="n">
        <v>69</v>
      </c>
      <c r="W203" s="41" t="n">
        <f aca="false">U203+V203</f>
        <v>75</v>
      </c>
      <c r="X203" s="42" t="n">
        <f aca="false">U203/W203</f>
        <v>0.08</v>
      </c>
      <c r="Y203" s="42" t="n">
        <f aca="false">V203/W203</f>
        <v>0.92</v>
      </c>
      <c r="Z203" s="35" t="str">
        <f aca="false">IF(W203&gt;=150, "High Demand", IF(W203&gt;=50, "Moderate Demand", "Low Demand"))</f>
        <v>Moderate Demand</v>
      </c>
      <c r="AA203" s="39" t="str">
        <f aca="false">TEXT(G203, "00") &amp; ":00"</f>
        <v>13:00</v>
      </c>
      <c r="AB203" s="37" t="n">
        <f aca="false">YEAR(B203)</f>
        <v>2011</v>
      </c>
      <c r="AC203" s="35" t="str">
        <f aca="false">TEXT(B203, "mmmm")</f>
        <v>January</v>
      </c>
      <c r="AD203" s="37" t="n">
        <f aca="false">LEN(TEXT(B203, "YYYY-MM-DD"))</f>
        <v>10</v>
      </c>
      <c r="AE203" s="39" t="str">
        <f aca="false">LEFT(TEXT(B203, "YYYY-MM-DD"), 4)</f>
        <v>2011</v>
      </c>
      <c r="AF203" s="39" t="str">
        <f aca="false">RIGHT(TEXT(B203, "YYYY-MM-DD"), 2)</f>
        <v>09</v>
      </c>
    </row>
    <row r="204" customFormat="false" ht="15" hidden="false" customHeight="false" outlineLevel="0" collapsed="false">
      <c r="A204" s="43" t="n">
        <v>200</v>
      </c>
      <c r="B204" s="44" t="s">
        <v>85</v>
      </c>
      <c r="C204" s="43" t="n">
        <v>1</v>
      </c>
      <c r="D204" s="33" t="str">
        <f aca="false">VLOOKUP(C204, Lookups_Metadata!$A$4:$B$7, 2, FALSE())</f>
        <v>Spring</v>
      </c>
      <c r="E204" s="43" t="n">
        <v>0</v>
      </c>
      <c r="F204" s="43" t="n">
        <v>1</v>
      </c>
      <c r="G204" s="43" t="n">
        <v>14</v>
      </c>
      <c r="H204" s="45" t="b">
        <f aca="false">FALSE()</f>
        <v>0</v>
      </c>
      <c r="I204" s="43" t="n">
        <v>0</v>
      </c>
      <c r="J204" s="33" t="str">
        <f aca="false">INDEX(Lookups_Metadata!$E$4:$E$10, MATCH(I204, Lookups_Metadata!$D$4:$D$10, 0))</f>
        <v>Sunday</v>
      </c>
      <c r="K204" s="33" t="str">
        <f aca="false">IF(H204=TRUE(), "Holiday", IF(OR(I204=0, I204=6), "Weekend", "Weekday"))</f>
        <v>Weekend</v>
      </c>
      <c r="L204" s="33" t="str">
        <f aca="false">IF(AND(K204="Weekday", OR(AND(G204&gt;=7, G204&lt;=9), AND(G204&gt;=17, G204&lt;=19))), "Peak Commute", "Off-Peak")</f>
        <v>Off-Peak</v>
      </c>
      <c r="M204" s="43" t="n">
        <v>1</v>
      </c>
      <c r="N204" s="33" t="str">
        <f aca="false">VLOOKUP(M204, Lookups_Metadata!$G$4:$H$7, 2, FALSE())</f>
        <v>Clear / Few Clouds</v>
      </c>
      <c r="O204" s="46" t="n">
        <v>0.22</v>
      </c>
      <c r="P204" s="46" t="n">
        <v>0.1818</v>
      </c>
      <c r="Q204" s="46" t="n">
        <f aca="false">IF(OR(P204="", ISBLANK(P204)), ROUND(0.9367*O204+0.0175, 4), P204)</f>
        <v>0.1818</v>
      </c>
      <c r="R204" s="33" t="str">
        <f aca="false">IF(OR(P204="", ISBLANK(P204)), "Imputed (Regression/Trend)", "Original")</f>
        <v>Original</v>
      </c>
      <c r="S204" s="46" t="n">
        <v>0.32</v>
      </c>
      <c r="T204" s="46" t="n">
        <v>0.4627</v>
      </c>
      <c r="U204" s="18" t="n">
        <v>8</v>
      </c>
      <c r="V204" s="18" t="n">
        <v>64</v>
      </c>
      <c r="W204" s="18" t="n">
        <f aca="false">U204+V204</f>
        <v>72</v>
      </c>
      <c r="X204" s="47" t="n">
        <f aca="false">U204/W204</f>
        <v>0.111111111111111</v>
      </c>
      <c r="Y204" s="47" t="n">
        <f aca="false">V204/W204</f>
        <v>0.888888888888889</v>
      </c>
      <c r="Z204" s="33" t="str">
        <f aca="false">IF(W204&gt;=150, "High Demand", IF(W204&gt;=50, "Moderate Demand", "Low Demand"))</f>
        <v>Moderate Demand</v>
      </c>
      <c r="AA204" s="45" t="str">
        <f aca="false">TEXT(G204, "00") &amp; ":00"</f>
        <v>14:00</v>
      </c>
      <c r="AB204" s="43" t="n">
        <f aca="false">YEAR(B204)</f>
        <v>2011</v>
      </c>
      <c r="AC204" s="33" t="str">
        <f aca="false">TEXT(B204, "mmmm")</f>
        <v>January</v>
      </c>
      <c r="AD204" s="43" t="n">
        <f aca="false">LEN(TEXT(B204, "YYYY-MM-DD"))</f>
        <v>10</v>
      </c>
      <c r="AE204" s="45" t="str">
        <f aca="false">LEFT(TEXT(B204, "YYYY-MM-DD"), 4)</f>
        <v>2011</v>
      </c>
      <c r="AF204" s="45" t="str">
        <f aca="false">RIGHT(TEXT(B204, "YYYY-MM-DD"), 2)</f>
        <v>09</v>
      </c>
    </row>
    <row r="205" customFormat="false" ht="15" hidden="false" customHeight="false" outlineLevel="0" collapsed="false">
      <c r="A205" s="37" t="n">
        <v>201</v>
      </c>
      <c r="B205" s="38" t="s">
        <v>85</v>
      </c>
      <c r="C205" s="37" t="n">
        <v>1</v>
      </c>
      <c r="D205" s="35" t="str">
        <f aca="false">VLOOKUP(C205, Lookups_Metadata!$A$4:$B$7, 2, FALSE())</f>
        <v>Spring</v>
      </c>
      <c r="E205" s="37" t="n">
        <v>0</v>
      </c>
      <c r="F205" s="37" t="n">
        <v>1</v>
      </c>
      <c r="G205" s="37" t="n">
        <v>15</v>
      </c>
      <c r="H205" s="39" t="b">
        <f aca="false">FALSE()</f>
        <v>0</v>
      </c>
      <c r="I205" s="37" t="n">
        <v>0</v>
      </c>
      <c r="J205" s="35" t="str">
        <f aca="false">INDEX(Lookups_Metadata!$E$4:$E$10, MATCH(I205, Lookups_Metadata!$D$4:$D$10, 0))</f>
        <v>Sunday</v>
      </c>
      <c r="K205" s="35" t="str">
        <f aca="false">IF(H205=TRUE(), "Holiday", IF(OR(I205=0, I205=6), "Weekend", "Weekday"))</f>
        <v>Weekend</v>
      </c>
      <c r="L205" s="35" t="str">
        <f aca="false">IF(AND(K205="Weekday", OR(AND(G205&gt;=7, G205&lt;=9), AND(G205&gt;=17, G205&lt;=19))), "Peak Commute", "Off-Peak")</f>
        <v>Off-Peak</v>
      </c>
      <c r="M205" s="37" t="n">
        <v>1</v>
      </c>
      <c r="N205" s="35" t="str">
        <f aca="false">VLOOKUP(M205, Lookups_Metadata!$G$4:$H$7, 2, FALSE())</f>
        <v>Clear / Few Clouds</v>
      </c>
      <c r="O205" s="40" t="n">
        <v>0.22</v>
      </c>
      <c r="P205" s="40" t="n">
        <v>0.197</v>
      </c>
      <c r="Q205" s="40" t="n">
        <f aca="false">IF(OR(P205="", ISBLANK(P205)), ROUND(0.9367*O205+0.0175, 4), P205)</f>
        <v>0.197</v>
      </c>
      <c r="R205" s="35" t="str">
        <f aca="false">IF(OR(P205="", ISBLANK(P205)), "Imputed (Regression/Trend)", "Original")</f>
        <v>Original</v>
      </c>
      <c r="S205" s="40" t="n">
        <v>0.35</v>
      </c>
      <c r="T205" s="40" t="n">
        <v>0.3582</v>
      </c>
      <c r="U205" s="41" t="n">
        <v>5</v>
      </c>
      <c r="V205" s="41" t="n">
        <v>77</v>
      </c>
      <c r="W205" s="41" t="n">
        <f aca="false">U205+V205</f>
        <v>82</v>
      </c>
      <c r="X205" s="42" t="n">
        <f aca="false">U205/W205</f>
        <v>0.0609756097560976</v>
      </c>
      <c r="Y205" s="42" t="n">
        <f aca="false">V205/W205</f>
        <v>0.939024390243902</v>
      </c>
      <c r="Z205" s="35" t="str">
        <f aca="false">IF(W205&gt;=150, "High Demand", IF(W205&gt;=50, "Moderate Demand", "Low Demand"))</f>
        <v>Moderate Demand</v>
      </c>
      <c r="AA205" s="39" t="str">
        <f aca="false">TEXT(G205, "00") &amp; ":00"</f>
        <v>15:00</v>
      </c>
      <c r="AB205" s="37" t="n">
        <f aca="false">YEAR(B205)</f>
        <v>2011</v>
      </c>
      <c r="AC205" s="35" t="str">
        <f aca="false">TEXT(B205, "mmmm")</f>
        <v>January</v>
      </c>
      <c r="AD205" s="37" t="n">
        <f aca="false">LEN(TEXT(B205, "YYYY-MM-DD"))</f>
        <v>10</v>
      </c>
      <c r="AE205" s="39" t="str">
        <f aca="false">LEFT(TEXT(B205, "YYYY-MM-DD"), 4)</f>
        <v>2011</v>
      </c>
      <c r="AF205" s="39" t="str">
        <f aca="false">RIGHT(TEXT(B205, "YYYY-MM-DD"), 2)</f>
        <v>09</v>
      </c>
    </row>
    <row r="206" customFormat="false" ht="15" hidden="false" customHeight="false" outlineLevel="0" collapsed="false">
      <c r="A206" s="43" t="n">
        <v>202</v>
      </c>
      <c r="B206" s="44" t="s">
        <v>85</v>
      </c>
      <c r="C206" s="43" t="n">
        <v>1</v>
      </c>
      <c r="D206" s="33" t="str">
        <f aca="false">VLOOKUP(C206, Lookups_Metadata!$A$4:$B$7, 2, FALSE())</f>
        <v>Spring</v>
      </c>
      <c r="E206" s="43" t="n">
        <v>0</v>
      </c>
      <c r="F206" s="43" t="n">
        <v>1</v>
      </c>
      <c r="G206" s="43" t="n">
        <v>16</v>
      </c>
      <c r="H206" s="45" t="b">
        <f aca="false">FALSE()</f>
        <v>0</v>
      </c>
      <c r="I206" s="43" t="n">
        <v>0</v>
      </c>
      <c r="J206" s="33" t="str">
        <f aca="false">INDEX(Lookups_Metadata!$E$4:$E$10, MATCH(I206, Lookups_Metadata!$D$4:$D$10, 0))</f>
        <v>Sunday</v>
      </c>
      <c r="K206" s="33" t="str">
        <f aca="false">IF(H206=TRUE(), "Holiday", IF(OR(I206=0, I206=6), "Weekend", "Weekday"))</f>
        <v>Weekend</v>
      </c>
      <c r="L206" s="33" t="str">
        <f aca="false">IF(AND(K206="Weekday", OR(AND(G206&gt;=7, G206&lt;=9), AND(G206&gt;=17, G206&lt;=19))), "Peak Commute", "Off-Peak")</f>
        <v>Off-Peak</v>
      </c>
      <c r="M206" s="43" t="n">
        <v>1</v>
      </c>
      <c r="N206" s="33" t="str">
        <f aca="false">VLOOKUP(M206, Lookups_Metadata!$G$4:$H$7, 2, FALSE())</f>
        <v>Clear / Few Clouds</v>
      </c>
      <c r="O206" s="46" t="n">
        <v>0.2</v>
      </c>
      <c r="P206" s="46" t="n">
        <v>0.1667</v>
      </c>
      <c r="Q206" s="46" t="n">
        <f aca="false">IF(OR(P206="", ISBLANK(P206)), ROUND(0.9367*O206+0.0175, 4), P206)</f>
        <v>0.1667</v>
      </c>
      <c r="R206" s="33" t="str">
        <f aca="false">IF(OR(P206="", ISBLANK(P206)), "Imputed (Regression/Trend)", "Original")</f>
        <v>Original</v>
      </c>
      <c r="S206" s="46" t="n">
        <v>0.34</v>
      </c>
      <c r="T206" s="46" t="n">
        <v>0.4478</v>
      </c>
      <c r="U206" s="18" t="n">
        <v>13</v>
      </c>
      <c r="V206" s="18" t="n">
        <v>79</v>
      </c>
      <c r="W206" s="18" t="n">
        <f aca="false">U206+V206</f>
        <v>92</v>
      </c>
      <c r="X206" s="47" t="n">
        <f aca="false">U206/W206</f>
        <v>0.141304347826087</v>
      </c>
      <c r="Y206" s="47" t="n">
        <f aca="false">V206/W206</f>
        <v>0.858695652173913</v>
      </c>
      <c r="Z206" s="33" t="str">
        <f aca="false">IF(W206&gt;=150, "High Demand", IF(W206&gt;=50, "Moderate Demand", "Low Demand"))</f>
        <v>Moderate Demand</v>
      </c>
      <c r="AA206" s="45" t="str">
        <f aca="false">TEXT(G206, "00") &amp; ":00"</f>
        <v>16:00</v>
      </c>
      <c r="AB206" s="43" t="n">
        <f aca="false">YEAR(B206)</f>
        <v>2011</v>
      </c>
      <c r="AC206" s="33" t="str">
        <f aca="false">TEXT(B206, "mmmm")</f>
        <v>January</v>
      </c>
      <c r="AD206" s="43" t="n">
        <f aca="false">LEN(TEXT(B206, "YYYY-MM-DD"))</f>
        <v>10</v>
      </c>
      <c r="AE206" s="45" t="str">
        <f aca="false">LEFT(TEXT(B206, "YYYY-MM-DD"), 4)</f>
        <v>2011</v>
      </c>
      <c r="AF206" s="45" t="str">
        <f aca="false">RIGHT(TEXT(B206, "YYYY-MM-DD"), 2)</f>
        <v>09</v>
      </c>
    </row>
    <row r="207" customFormat="false" ht="15" hidden="false" customHeight="false" outlineLevel="0" collapsed="false">
      <c r="A207" s="37" t="n">
        <v>203</v>
      </c>
      <c r="B207" s="38" t="s">
        <v>85</v>
      </c>
      <c r="C207" s="37" t="n">
        <v>1</v>
      </c>
      <c r="D207" s="35" t="str">
        <f aca="false">VLOOKUP(C207, Lookups_Metadata!$A$4:$B$7, 2, FALSE())</f>
        <v>Spring</v>
      </c>
      <c r="E207" s="37" t="n">
        <v>0</v>
      </c>
      <c r="F207" s="37" t="n">
        <v>1</v>
      </c>
      <c r="G207" s="37" t="n">
        <v>17</v>
      </c>
      <c r="H207" s="39" t="b">
        <f aca="false">FALSE()</f>
        <v>0</v>
      </c>
      <c r="I207" s="37" t="n">
        <v>0</v>
      </c>
      <c r="J207" s="35" t="str">
        <f aca="false">INDEX(Lookups_Metadata!$E$4:$E$10, MATCH(I207, Lookups_Metadata!$D$4:$D$10, 0))</f>
        <v>Sunday</v>
      </c>
      <c r="K207" s="35" t="str">
        <f aca="false">IF(H207=TRUE(), "Holiday", IF(OR(I207=0, I207=6), "Weekend", "Weekday"))</f>
        <v>Weekend</v>
      </c>
      <c r="L207" s="35" t="str">
        <f aca="false">IF(AND(K207="Weekday", OR(AND(G207&gt;=7, G207&lt;=9), AND(G207&gt;=17, G207&lt;=19))), "Peak Commute", "Off-Peak")</f>
        <v>Off-Peak</v>
      </c>
      <c r="M207" s="37" t="n">
        <v>1</v>
      </c>
      <c r="N207" s="35" t="str">
        <f aca="false">VLOOKUP(M207, Lookups_Metadata!$G$4:$H$7, 2, FALSE())</f>
        <v>Clear / Few Clouds</v>
      </c>
      <c r="O207" s="40" t="n">
        <v>0.18</v>
      </c>
      <c r="P207" s="40" t="n">
        <v>0.1515</v>
      </c>
      <c r="Q207" s="40" t="n">
        <f aca="false">IF(OR(P207="", ISBLANK(P207)), ROUND(0.9367*O207+0.0175, 4), P207)</f>
        <v>0.1515</v>
      </c>
      <c r="R207" s="35" t="str">
        <f aca="false">IF(OR(P207="", ISBLANK(P207)), "Imputed (Regression/Trend)", "Original")</f>
        <v>Original</v>
      </c>
      <c r="S207" s="40" t="n">
        <v>0.37</v>
      </c>
      <c r="T207" s="40" t="n">
        <v>0.3881</v>
      </c>
      <c r="U207" s="41" t="n">
        <v>3</v>
      </c>
      <c r="V207" s="41" t="n">
        <v>59</v>
      </c>
      <c r="W207" s="41" t="n">
        <f aca="false">U207+V207</f>
        <v>62</v>
      </c>
      <c r="X207" s="42" t="n">
        <f aca="false">U207/W207</f>
        <v>0.0483870967741936</v>
      </c>
      <c r="Y207" s="42" t="n">
        <f aca="false">V207/W207</f>
        <v>0.951612903225807</v>
      </c>
      <c r="Z207" s="35" t="str">
        <f aca="false">IF(W207&gt;=150, "High Demand", IF(W207&gt;=50, "Moderate Demand", "Low Demand"))</f>
        <v>Moderate Demand</v>
      </c>
      <c r="AA207" s="39" t="str">
        <f aca="false">TEXT(G207, "00") &amp; ":00"</f>
        <v>17:00</v>
      </c>
      <c r="AB207" s="37" t="n">
        <f aca="false">YEAR(B207)</f>
        <v>2011</v>
      </c>
      <c r="AC207" s="35" t="str">
        <f aca="false">TEXT(B207, "mmmm")</f>
        <v>January</v>
      </c>
      <c r="AD207" s="37" t="n">
        <f aca="false">LEN(TEXT(B207, "YYYY-MM-DD"))</f>
        <v>10</v>
      </c>
      <c r="AE207" s="39" t="str">
        <f aca="false">LEFT(TEXT(B207, "YYYY-MM-DD"), 4)</f>
        <v>2011</v>
      </c>
      <c r="AF207" s="39" t="str">
        <f aca="false">RIGHT(TEXT(B207, "YYYY-MM-DD"), 2)</f>
        <v>09</v>
      </c>
    </row>
    <row r="208" customFormat="false" ht="15" hidden="false" customHeight="false" outlineLevel="0" collapsed="false">
      <c r="A208" s="43" t="n">
        <v>204</v>
      </c>
      <c r="B208" s="44" t="s">
        <v>85</v>
      </c>
      <c r="C208" s="43" t="n">
        <v>1</v>
      </c>
      <c r="D208" s="33" t="str">
        <f aca="false">VLOOKUP(C208, Lookups_Metadata!$A$4:$B$7, 2, FALSE())</f>
        <v>Spring</v>
      </c>
      <c r="E208" s="43" t="n">
        <v>0</v>
      </c>
      <c r="F208" s="43" t="n">
        <v>1</v>
      </c>
      <c r="G208" s="43" t="n">
        <v>18</v>
      </c>
      <c r="H208" s="45" t="b">
        <f aca="false">FALSE()</f>
        <v>0</v>
      </c>
      <c r="I208" s="43" t="n">
        <v>0</v>
      </c>
      <c r="J208" s="33" t="str">
        <f aca="false">INDEX(Lookups_Metadata!$E$4:$E$10, MATCH(I208, Lookups_Metadata!$D$4:$D$10, 0))</f>
        <v>Sunday</v>
      </c>
      <c r="K208" s="33" t="str">
        <f aca="false">IF(H208=TRUE(), "Holiday", IF(OR(I208=0, I208=6), "Weekend", "Weekday"))</f>
        <v>Weekend</v>
      </c>
      <c r="L208" s="33" t="str">
        <f aca="false">IF(AND(K208="Weekday", OR(AND(G208&gt;=7, G208&lt;=9), AND(G208&gt;=17, G208&lt;=19))), "Peak Commute", "Off-Peak")</f>
        <v>Off-Peak</v>
      </c>
      <c r="M208" s="43" t="n">
        <v>1</v>
      </c>
      <c r="N208" s="33" t="str">
        <f aca="false">VLOOKUP(M208, Lookups_Metadata!$G$4:$H$7, 2, FALSE())</f>
        <v>Clear / Few Clouds</v>
      </c>
      <c r="O208" s="46" t="n">
        <v>0.16</v>
      </c>
      <c r="P208" s="46" t="n">
        <v>0.1364</v>
      </c>
      <c r="Q208" s="46" t="n">
        <f aca="false">IF(OR(P208="", ISBLANK(P208)), ROUND(0.9367*O208+0.0175, 4), P208)</f>
        <v>0.1364</v>
      </c>
      <c r="R208" s="33" t="str">
        <f aca="false">IF(OR(P208="", ISBLANK(P208)), "Imputed (Regression/Trend)", "Original")</f>
        <v>Original</v>
      </c>
      <c r="S208" s="46" t="n">
        <v>0.4</v>
      </c>
      <c r="T208" s="46" t="n">
        <v>0.3284</v>
      </c>
      <c r="U208" s="18" t="n">
        <v>4</v>
      </c>
      <c r="V208" s="18" t="n">
        <v>44</v>
      </c>
      <c r="W208" s="18" t="n">
        <f aca="false">U208+V208</f>
        <v>48</v>
      </c>
      <c r="X208" s="47" t="n">
        <f aca="false">U208/W208</f>
        <v>0.0833333333333333</v>
      </c>
      <c r="Y208" s="47" t="n">
        <f aca="false">V208/W208</f>
        <v>0.916666666666667</v>
      </c>
      <c r="Z208" s="33" t="str">
        <f aca="false">IF(W208&gt;=150, "High Demand", IF(W208&gt;=50, "Moderate Demand", "Low Demand"))</f>
        <v>Low Demand</v>
      </c>
      <c r="AA208" s="45" t="str">
        <f aca="false">TEXT(G208, "00") &amp; ":00"</f>
        <v>18:00</v>
      </c>
      <c r="AB208" s="43" t="n">
        <f aca="false">YEAR(B208)</f>
        <v>2011</v>
      </c>
      <c r="AC208" s="33" t="str">
        <f aca="false">TEXT(B208, "mmmm")</f>
        <v>January</v>
      </c>
      <c r="AD208" s="43" t="n">
        <f aca="false">LEN(TEXT(B208, "YYYY-MM-DD"))</f>
        <v>10</v>
      </c>
      <c r="AE208" s="45" t="str">
        <f aca="false">LEFT(TEXT(B208, "YYYY-MM-DD"), 4)</f>
        <v>2011</v>
      </c>
      <c r="AF208" s="45" t="str">
        <f aca="false">RIGHT(TEXT(B208, "YYYY-MM-DD"), 2)</f>
        <v>09</v>
      </c>
    </row>
    <row r="209" customFormat="false" ht="15" hidden="false" customHeight="false" outlineLevel="0" collapsed="false">
      <c r="A209" s="37" t="n">
        <v>205</v>
      </c>
      <c r="B209" s="38" t="s">
        <v>85</v>
      </c>
      <c r="C209" s="37" t="n">
        <v>1</v>
      </c>
      <c r="D209" s="35" t="str">
        <f aca="false">VLOOKUP(C209, Lookups_Metadata!$A$4:$B$7, 2, FALSE())</f>
        <v>Spring</v>
      </c>
      <c r="E209" s="37" t="n">
        <v>0</v>
      </c>
      <c r="F209" s="37" t="n">
        <v>1</v>
      </c>
      <c r="G209" s="37" t="n">
        <v>19</v>
      </c>
      <c r="H209" s="39" t="b">
        <f aca="false">FALSE()</f>
        <v>0</v>
      </c>
      <c r="I209" s="37" t="n">
        <v>0</v>
      </c>
      <c r="J209" s="35" t="str">
        <f aca="false">INDEX(Lookups_Metadata!$E$4:$E$10, MATCH(I209, Lookups_Metadata!$D$4:$D$10, 0))</f>
        <v>Sunday</v>
      </c>
      <c r="K209" s="35" t="str">
        <f aca="false">IF(H209=TRUE(), "Holiday", IF(OR(I209=0, I209=6), "Weekend", "Weekday"))</f>
        <v>Weekend</v>
      </c>
      <c r="L209" s="35" t="str">
        <f aca="false">IF(AND(K209="Weekday", OR(AND(G209&gt;=7, G209&lt;=9), AND(G209&gt;=17, G209&lt;=19))), "Peak Commute", "Off-Peak")</f>
        <v>Off-Peak</v>
      </c>
      <c r="M209" s="37" t="n">
        <v>1</v>
      </c>
      <c r="N209" s="35" t="str">
        <f aca="false">VLOOKUP(M209, Lookups_Metadata!$G$4:$H$7, 2, FALSE())</f>
        <v>Clear / Few Clouds</v>
      </c>
      <c r="O209" s="40" t="n">
        <v>0.16</v>
      </c>
      <c r="P209" s="40" t="n">
        <v>0.1364</v>
      </c>
      <c r="Q209" s="40" t="n">
        <f aca="false">IF(OR(P209="", ISBLANK(P209)), ROUND(0.9367*O209+0.0175, 4), P209)</f>
        <v>0.1364</v>
      </c>
      <c r="R209" s="35" t="str">
        <f aca="false">IF(OR(P209="", ISBLANK(P209)), "Imputed (Regression/Trend)", "Original")</f>
        <v>Original</v>
      </c>
      <c r="S209" s="40" t="n">
        <v>0.43</v>
      </c>
      <c r="T209" s="40" t="n">
        <v>0.3284</v>
      </c>
      <c r="U209" s="41" t="n">
        <v>1</v>
      </c>
      <c r="V209" s="41" t="n">
        <v>40</v>
      </c>
      <c r="W209" s="41" t="n">
        <f aca="false">U209+V209</f>
        <v>41</v>
      </c>
      <c r="X209" s="42" t="n">
        <f aca="false">U209/W209</f>
        <v>0.024390243902439</v>
      </c>
      <c r="Y209" s="42" t="n">
        <f aca="false">V209/W209</f>
        <v>0.975609756097561</v>
      </c>
      <c r="Z209" s="35" t="str">
        <f aca="false">IF(W209&gt;=150, "High Demand", IF(W209&gt;=50, "Moderate Demand", "Low Demand"))</f>
        <v>Low Demand</v>
      </c>
      <c r="AA209" s="39" t="str">
        <f aca="false">TEXT(G209, "00") &amp; ":00"</f>
        <v>19:00</v>
      </c>
      <c r="AB209" s="37" t="n">
        <f aca="false">YEAR(B209)</f>
        <v>2011</v>
      </c>
      <c r="AC209" s="35" t="str">
        <f aca="false">TEXT(B209, "mmmm")</f>
        <v>January</v>
      </c>
      <c r="AD209" s="37" t="n">
        <f aca="false">LEN(TEXT(B209, "YYYY-MM-DD"))</f>
        <v>10</v>
      </c>
      <c r="AE209" s="39" t="str">
        <f aca="false">LEFT(TEXT(B209, "YYYY-MM-DD"), 4)</f>
        <v>2011</v>
      </c>
      <c r="AF209" s="39" t="str">
        <f aca="false">RIGHT(TEXT(B209, "YYYY-MM-DD"), 2)</f>
        <v>09</v>
      </c>
    </row>
    <row r="210" customFormat="false" ht="15" hidden="false" customHeight="false" outlineLevel="0" collapsed="false">
      <c r="A210" s="43" t="n">
        <v>206</v>
      </c>
      <c r="B210" s="44" t="s">
        <v>85</v>
      </c>
      <c r="C210" s="43" t="n">
        <v>1</v>
      </c>
      <c r="D210" s="33" t="str">
        <f aca="false">VLOOKUP(C210, Lookups_Metadata!$A$4:$B$7, 2, FALSE())</f>
        <v>Spring</v>
      </c>
      <c r="E210" s="43" t="n">
        <v>0</v>
      </c>
      <c r="F210" s="43" t="n">
        <v>1</v>
      </c>
      <c r="G210" s="43" t="n">
        <v>20</v>
      </c>
      <c r="H210" s="45" t="b">
        <f aca="false">FALSE()</f>
        <v>0</v>
      </c>
      <c r="I210" s="43" t="n">
        <v>0</v>
      </c>
      <c r="J210" s="33" t="str">
        <f aca="false">INDEX(Lookups_Metadata!$E$4:$E$10, MATCH(I210, Lookups_Metadata!$D$4:$D$10, 0))</f>
        <v>Sunday</v>
      </c>
      <c r="K210" s="33" t="str">
        <f aca="false">IF(H210=TRUE(), "Holiday", IF(OR(I210=0, I210=6), "Weekend", "Weekday"))</f>
        <v>Weekend</v>
      </c>
      <c r="L210" s="33" t="str">
        <f aca="false">IF(AND(K210="Weekday", OR(AND(G210&gt;=7, G210&lt;=9), AND(G210&gt;=17, G210&lt;=19))), "Peak Commute", "Off-Peak")</f>
        <v>Off-Peak</v>
      </c>
      <c r="M210" s="43" t="n">
        <v>1</v>
      </c>
      <c r="N210" s="33" t="str">
        <f aca="false">VLOOKUP(M210, Lookups_Metadata!$G$4:$H$7, 2, FALSE())</f>
        <v>Clear / Few Clouds</v>
      </c>
      <c r="O210" s="46" t="n">
        <v>0.14</v>
      </c>
      <c r="P210" s="46" t="n">
        <v>0.1212</v>
      </c>
      <c r="Q210" s="46" t="n">
        <f aca="false">IF(OR(P210="", ISBLANK(P210)), ROUND(0.9367*O210+0.0175, 4), P210)</f>
        <v>0.1212</v>
      </c>
      <c r="R210" s="33" t="str">
        <f aca="false">IF(OR(P210="", ISBLANK(P210)), "Imputed (Regression/Trend)", "Original")</f>
        <v>Original</v>
      </c>
      <c r="S210" s="46" t="n">
        <v>0.46</v>
      </c>
      <c r="T210" s="46" t="n">
        <v>0.2537</v>
      </c>
      <c r="U210" s="18" t="n">
        <v>0</v>
      </c>
      <c r="V210" s="18" t="n">
        <v>38</v>
      </c>
      <c r="W210" s="18" t="n">
        <f aca="false">U210+V210</f>
        <v>38</v>
      </c>
      <c r="X210" s="47" t="n">
        <f aca="false">U210/W210</f>
        <v>0</v>
      </c>
      <c r="Y210" s="47" t="n">
        <f aca="false">V210/W210</f>
        <v>1</v>
      </c>
      <c r="Z210" s="33" t="str">
        <f aca="false">IF(W210&gt;=150, "High Demand", IF(W210&gt;=50, "Moderate Demand", "Low Demand"))</f>
        <v>Low Demand</v>
      </c>
      <c r="AA210" s="45" t="str">
        <f aca="false">TEXT(G210, "00") &amp; ":00"</f>
        <v>20:00</v>
      </c>
      <c r="AB210" s="43" t="n">
        <f aca="false">YEAR(B210)</f>
        <v>2011</v>
      </c>
      <c r="AC210" s="33" t="str">
        <f aca="false">TEXT(B210, "mmmm")</f>
        <v>January</v>
      </c>
      <c r="AD210" s="43" t="n">
        <f aca="false">LEN(TEXT(B210, "YYYY-MM-DD"))</f>
        <v>10</v>
      </c>
      <c r="AE210" s="45" t="str">
        <f aca="false">LEFT(TEXT(B210, "YYYY-MM-DD"), 4)</f>
        <v>2011</v>
      </c>
      <c r="AF210" s="45" t="str">
        <f aca="false">RIGHT(TEXT(B210, "YYYY-MM-DD"), 2)</f>
        <v>09</v>
      </c>
    </row>
    <row r="211" customFormat="false" ht="15" hidden="false" customHeight="false" outlineLevel="0" collapsed="false">
      <c r="A211" s="37" t="n">
        <v>207</v>
      </c>
      <c r="B211" s="38" t="s">
        <v>85</v>
      </c>
      <c r="C211" s="37" t="n">
        <v>1</v>
      </c>
      <c r="D211" s="35" t="str">
        <f aca="false">VLOOKUP(C211, Lookups_Metadata!$A$4:$B$7, 2, FALSE())</f>
        <v>Spring</v>
      </c>
      <c r="E211" s="37" t="n">
        <v>0</v>
      </c>
      <c r="F211" s="37" t="n">
        <v>1</v>
      </c>
      <c r="G211" s="37" t="n">
        <v>21</v>
      </c>
      <c r="H211" s="39" t="b">
        <f aca="false">FALSE()</f>
        <v>0</v>
      </c>
      <c r="I211" s="37" t="n">
        <v>0</v>
      </c>
      <c r="J211" s="35" t="str">
        <f aca="false">INDEX(Lookups_Metadata!$E$4:$E$10, MATCH(I211, Lookups_Metadata!$D$4:$D$10, 0))</f>
        <v>Sunday</v>
      </c>
      <c r="K211" s="35" t="str">
        <f aca="false">IF(H211=TRUE(), "Holiday", IF(OR(I211=0, I211=6), "Weekend", "Weekday"))</f>
        <v>Weekend</v>
      </c>
      <c r="L211" s="35" t="str">
        <f aca="false">IF(AND(K211="Weekday", OR(AND(G211&gt;=7, G211&lt;=9), AND(G211&gt;=17, G211&lt;=19))), "Peak Commute", "Off-Peak")</f>
        <v>Off-Peak</v>
      </c>
      <c r="M211" s="37" t="n">
        <v>1</v>
      </c>
      <c r="N211" s="35" t="str">
        <f aca="false">VLOOKUP(M211, Lookups_Metadata!$G$4:$H$7, 2, FALSE())</f>
        <v>Clear / Few Clouds</v>
      </c>
      <c r="O211" s="40" t="n">
        <v>0.14</v>
      </c>
      <c r="P211" s="40" t="n">
        <v>0.1061</v>
      </c>
      <c r="Q211" s="40" t="n">
        <f aca="false">IF(OR(P211="", ISBLANK(P211)), ROUND(0.9367*O211+0.0175, 4), P211)</f>
        <v>0.1061</v>
      </c>
      <c r="R211" s="35" t="str">
        <f aca="false">IF(OR(P211="", ISBLANK(P211)), "Imputed (Regression/Trend)", "Original")</f>
        <v>Original</v>
      </c>
      <c r="S211" s="40" t="n">
        <v>0.46</v>
      </c>
      <c r="T211" s="40" t="n">
        <v>0.4179</v>
      </c>
      <c r="U211" s="41" t="n">
        <v>1</v>
      </c>
      <c r="V211" s="41" t="n">
        <v>19</v>
      </c>
      <c r="W211" s="41" t="n">
        <f aca="false">U211+V211</f>
        <v>20</v>
      </c>
      <c r="X211" s="42" t="n">
        <f aca="false">U211/W211</f>
        <v>0.05</v>
      </c>
      <c r="Y211" s="42" t="n">
        <f aca="false">V211/W211</f>
        <v>0.95</v>
      </c>
      <c r="Z211" s="35" t="str">
        <f aca="false">IF(W211&gt;=150, "High Demand", IF(W211&gt;=50, "Moderate Demand", "Low Demand"))</f>
        <v>Low Demand</v>
      </c>
      <c r="AA211" s="39" t="str">
        <f aca="false">TEXT(G211, "00") &amp; ":00"</f>
        <v>21:00</v>
      </c>
      <c r="AB211" s="37" t="n">
        <f aca="false">YEAR(B211)</f>
        <v>2011</v>
      </c>
      <c r="AC211" s="35" t="str">
        <f aca="false">TEXT(B211, "mmmm")</f>
        <v>January</v>
      </c>
      <c r="AD211" s="37" t="n">
        <f aca="false">LEN(TEXT(B211, "YYYY-MM-DD"))</f>
        <v>10</v>
      </c>
      <c r="AE211" s="39" t="str">
        <f aca="false">LEFT(TEXT(B211, "YYYY-MM-DD"), 4)</f>
        <v>2011</v>
      </c>
      <c r="AF211" s="39" t="str">
        <f aca="false">RIGHT(TEXT(B211, "YYYY-MM-DD"), 2)</f>
        <v>09</v>
      </c>
    </row>
    <row r="212" customFormat="false" ht="15" hidden="false" customHeight="false" outlineLevel="0" collapsed="false">
      <c r="A212" s="43" t="n">
        <v>208</v>
      </c>
      <c r="B212" s="44" t="s">
        <v>85</v>
      </c>
      <c r="C212" s="43" t="n">
        <v>1</v>
      </c>
      <c r="D212" s="33" t="str">
        <f aca="false">VLOOKUP(C212, Lookups_Metadata!$A$4:$B$7, 2, FALSE())</f>
        <v>Spring</v>
      </c>
      <c r="E212" s="43" t="n">
        <v>0</v>
      </c>
      <c r="F212" s="43" t="n">
        <v>1</v>
      </c>
      <c r="G212" s="43" t="n">
        <v>22</v>
      </c>
      <c r="H212" s="45" t="b">
        <f aca="false">FALSE()</f>
        <v>0</v>
      </c>
      <c r="I212" s="43" t="n">
        <v>0</v>
      </c>
      <c r="J212" s="33" t="str">
        <f aca="false">INDEX(Lookups_Metadata!$E$4:$E$10, MATCH(I212, Lookups_Metadata!$D$4:$D$10, 0))</f>
        <v>Sunday</v>
      </c>
      <c r="K212" s="33" t="str">
        <f aca="false">IF(H212=TRUE(), "Holiday", IF(OR(I212=0, I212=6), "Weekend", "Weekday"))</f>
        <v>Weekend</v>
      </c>
      <c r="L212" s="33" t="str">
        <f aca="false">IF(AND(K212="Weekday", OR(AND(G212&gt;=7, G212&lt;=9), AND(G212&gt;=17, G212&lt;=19))), "Peak Commute", "Off-Peak")</f>
        <v>Off-Peak</v>
      </c>
      <c r="M212" s="43" t="n">
        <v>1</v>
      </c>
      <c r="N212" s="33" t="str">
        <f aca="false">VLOOKUP(M212, Lookups_Metadata!$G$4:$H$7, 2, FALSE())</f>
        <v>Clear / Few Clouds</v>
      </c>
      <c r="O212" s="46" t="n">
        <v>0.14</v>
      </c>
      <c r="P212" s="46" t="n">
        <v>0.1212</v>
      </c>
      <c r="Q212" s="46" t="n">
        <f aca="false">IF(OR(P212="", ISBLANK(P212)), ROUND(0.9367*O212+0.0175, 4), P212)</f>
        <v>0.1212</v>
      </c>
      <c r="R212" s="33" t="str">
        <f aca="false">IF(OR(P212="", ISBLANK(P212)), "Imputed (Regression/Trend)", "Original")</f>
        <v>Original</v>
      </c>
      <c r="S212" s="46" t="n">
        <v>0.46</v>
      </c>
      <c r="T212" s="46" t="n">
        <v>0.2985</v>
      </c>
      <c r="U212" s="18" t="n">
        <v>5</v>
      </c>
      <c r="V212" s="18" t="n">
        <v>10</v>
      </c>
      <c r="W212" s="18" t="n">
        <f aca="false">U212+V212</f>
        <v>15</v>
      </c>
      <c r="X212" s="47" t="n">
        <f aca="false">U212/W212</f>
        <v>0.333333333333333</v>
      </c>
      <c r="Y212" s="47" t="n">
        <f aca="false">V212/W212</f>
        <v>0.666666666666667</v>
      </c>
      <c r="Z212" s="33" t="str">
        <f aca="false">IF(W212&gt;=150, "High Demand", IF(W212&gt;=50, "Moderate Demand", "Low Demand"))</f>
        <v>Low Demand</v>
      </c>
      <c r="AA212" s="45" t="str">
        <f aca="false">TEXT(G212, "00") &amp; ":00"</f>
        <v>22:00</v>
      </c>
      <c r="AB212" s="43" t="n">
        <f aca="false">YEAR(B212)</f>
        <v>2011</v>
      </c>
      <c r="AC212" s="33" t="str">
        <f aca="false">TEXT(B212, "mmmm")</f>
        <v>January</v>
      </c>
      <c r="AD212" s="43" t="n">
        <f aca="false">LEN(TEXT(B212, "YYYY-MM-DD"))</f>
        <v>10</v>
      </c>
      <c r="AE212" s="45" t="str">
        <f aca="false">LEFT(TEXT(B212, "YYYY-MM-DD"), 4)</f>
        <v>2011</v>
      </c>
      <c r="AF212" s="45" t="str">
        <f aca="false">RIGHT(TEXT(B212, "YYYY-MM-DD"), 2)</f>
        <v>09</v>
      </c>
    </row>
    <row r="213" customFormat="false" ht="15" hidden="false" customHeight="false" outlineLevel="0" collapsed="false">
      <c r="A213" s="37" t="n">
        <v>209</v>
      </c>
      <c r="B213" s="38" t="s">
        <v>85</v>
      </c>
      <c r="C213" s="37" t="n">
        <v>1</v>
      </c>
      <c r="D213" s="35" t="str">
        <f aca="false">VLOOKUP(C213, Lookups_Metadata!$A$4:$B$7, 2, FALSE())</f>
        <v>Spring</v>
      </c>
      <c r="E213" s="37" t="n">
        <v>0</v>
      </c>
      <c r="F213" s="37" t="n">
        <v>1</v>
      </c>
      <c r="G213" s="37" t="n">
        <v>23</v>
      </c>
      <c r="H213" s="39" t="b">
        <f aca="false">FALSE()</f>
        <v>0</v>
      </c>
      <c r="I213" s="37" t="n">
        <v>0</v>
      </c>
      <c r="J213" s="35" t="str">
        <f aca="false">INDEX(Lookups_Metadata!$E$4:$E$10, MATCH(I213, Lookups_Metadata!$D$4:$D$10, 0))</f>
        <v>Sunday</v>
      </c>
      <c r="K213" s="35" t="str">
        <f aca="false">IF(H213=TRUE(), "Holiday", IF(OR(I213=0, I213=6), "Weekend", "Weekday"))</f>
        <v>Weekend</v>
      </c>
      <c r="L213" s="35" t="str">
        <f aca="false">IF(AND(K213="Weekday", OR(AND(G213&gt;=7, G213&lt;=9), AND(G213&gt;=17, G213&lt;=19))), "Peak Commute", "Off-Peak")</f>
        <v>Off-Peak</v>
      </c>
      <c r="M213" s="37" t="n">
        <v>1</v>
      </c>
      <c r="N213" s="35" t="str">
        <f aca="false">VLOOKUP(M213, Lookups_Metadata!$G$4:$H$7, 2, FALSE())</f>
        <v>Clear / Few Clouds</v>
      </c>
      <c r="O213" s="40" t="n">
        <v>0.12</v>
      </c>
      <c r="P213" s="40" t="n">
        <v>0.1364</v>
      </c>
      <c r="Q213" s="40" t="n">
        <f aca="false">IF(OR(P213="", ISBLANK(P213)), ROUND(0.9367*O213+0.0175, 4), P213)</f>
        <v>0.1364</v>
      </c>
      <c r="R213" s="35" t="str">
        <f aca="false">IF(OR(P213="", ISBLANK(P213)), "Imputed (Regression/Trend)", "Original")</f>
        <v>Original</v>
      </c>
      <c r="S213" s="40" t="n">
        <v>0.5</v>
      </c>
      <c r="T213" s="40" t="n">
        <v>0.194</v>
      </c>
      <c r="U213" s="41" t="n">
        <v>0</v>
      </c>
      <c r="V213" s="41" t="n">
        <v>6</v>
      </c>
      <c r="W213" s="41" t="n">
        <f aca="false">U213+V213</f>
        <v>6</v>
      </c>
      <c r="X213" s="42" t="n">
        <f aca="false">U213/W213</f>
        <v>0</v>
      </c>
      <c r="Y213" s="42" t="n">
        <f aca="false">V213/W213</f>
        <v>1</v>
      </c>
      <c r="Z213" s="35" t="str">
        <f aca="false">IF(W213&gt;=150, "High Demand", IF(W213&gt;=50, "Moderate Demand", "Low Demand"))</f>
        <v>Low Demand</v>
      </c>
      <c r="AA213" s="39" t="str">
        <f aca="false">TEXT(G213, "00") &amp; ":00"</f>
        <v>23:00</v>
      </c>
      <c r="AB213" s="37" t="n">
        <f aca="false">YEAR(B213)</f>
        <v>2011</v>
      </c>
      <c r="AC213" s="35" t="str">
        <f aca="false">TEXT(B213, "mmmm")</f>
        <v>January</v>
      </c>
      <c r="AD213" s="37" t="n">
        <f aca="false">LEN(TEXT(B213, "YYYY-MM-DD"))</f>
        <v>10</v>
      </c>
      <c r="AE213" s="39" t="str">
        <f aca="false">LEFT(TEXT(B213, "YYYY-MM-DD"), 4)</f>
        <v>2011</v>
      </c>
      <c r="AF213" s="39" t="str">
        <f aca="false">RIGHT(TEXT(B213, "YYYY-MM-DD"), 2)</f>
        <v>09</v>
      </c>
    </row>
    <row r="214" customFormat="false" ht="15" hidden="false" customHeight="false" outlineLevel="0" collapsed="false">
      <c r="A214" s="43" t="n">
        <v>210</v>
      </c>
      <c r="B214" s="44" t="s">
        <v>86</v>
      </c>
      <c r="C214" s="43" t="n">
        <v>1</v>
      </c>
      <c r="D214" s="33" t="str">
        <f aca="false">VLOOKUP(C214, Lookups_Metadata!$A$4:$B$7, 2, FALSE())</f>
        <v>Spring</v>
      </c>
      <c r="E214" s="43" t="n">
        <v>0</v>
      </c>
      <c r="F214" s="43" t="n">
        <v>1</v>
      </c>
      <c r="G214" s="43" t="n">
        <v>0</v>
      </c>
      <c r="H214" s="45" t="b">
        <f aca="false">FALSE()</f>
        <v>0</v>
      </c>
      <c r="I214" s="43" t="n">
        <v>1</v>
      </c>
      <c r="J214" s="33" t="str">
        <f aca="false">INDEX(Lookups_Metadata!$E$4:$E$10, MATCH(I214, Lookups_Metadata!$D$4:$D$10, 0))</f>
        <v>Monday</v>
      </c>
      <c r="K214" s="33" t="str">
        <f aca="false">IF(H214=TRUE(), "Holiday", IF(OR(I214=0, I214=6), "Weekend", "Weekday"))</f>
        <v>Weekday</v>
      </c>
      <c r="L214" s="33" t="str">
        <f aca="false">IF(AND(K214="Weekday", OR(AND(G214&gt;=7, G214&lt;=9), AND(G214&gt;=17, G214&lt;=19))), "Peak Commute", "Off-Peak")</f>
        <v>Off-Peak</v>
      </c>
      <c r="M214" s="43" t="n">
        <v>1</v>
      </c>
      <c r="N214" s="33" t="str">
        <f aca="false">VLOOKUP(M214, Lookups_Metadata!$G$4:$H$7, 2, FALSE())</f>
        <v>Clear / Few Clouds</v>
      </c>
      <c r="O214" s="46" t="n">
        <v>0.12</v>
      </c>
      <c r="P214" s="46" t="n">
        <v>0.1212</v>
      </c>
      <c r="Q214" s="46" t="n">
        <f aca="false">IF(OR(P214="", ISBLANK(P214)), ROUND(0.9367*O214+0.0175, 4), P214)</f>
        <v>0.1212</v>
      </c>
      <c r="R214" s="33" t="str">
        <f aca="false">IF(OR(P214="", ISBLANK(P214)), "Imputed (Regression/Trend)", "Original")</f>
        <v>Original</v>
      </c>
      <c r="S214" s="46" t="n">
        <v>0.5</v>
      </c>
      <c r="T214" s="46" t="n">
        <v>0.2836</v>
      </c>
      <c r="U214" s="18" t="n">
        <v>2</v>
      </c>
      <c r="V214" s="18" t="n">
        <v>3</v>
      </c>
      <c r="W214" s="18" t="n">
        <f aca="false">U214+V214</f>
        <v>5</v>
      </c>
      <c r="X214" s="47" t="n">
        <f aca="false">U214/W214</f>
        <v>0.4</v>
      </c>
      <c r="Y214" s="47" t="n">
        <f aca="false">V214/W214</f>
        <v>0.6</v>
      </c>
      <c r="Z214" s="33" t="str">
        <f aca="false">IF(W214&gt;=150, "High Demand", IF(W214&gt;=50, "Moderate Demand", "Low Demand"))</f>
        <v>Low Demand</v>
      </c>
      <c r="AA214" s="45" t="str">
        <f aca="false">TEXT(G214, "00") &amp; ":00"</f>
        <v>00:00</v>
      </c>
      <c r="AB214" s="43" t="n">
        <f aca="false">YEAR(B214)</f>
        <v>2011</v>
      </c>
      <c r="AC214" s="33" t="str">
        <f aca="false">TEXT(B214, "mmmm")</f>
        <v>January</v>
      </c>
      <c r="AD214" s="43" t="n">
        <f aca="false">LEN(TEXT(B214, "YYYY-MM-DD"))</f>
        <v>10</v>
      </c>
      <c r="AE214" s="45" t="str">
        <f aca="false">LEFT(TEXT(B214, "YYYY-MM-DD"), 4)</f>
        <v>2011</v>
      </c>
      <c r="AF214" s="45" t="str">
        <f aca="false">RIGHT(TEXT(B214, "YYYY-MM-DD"), 2)</f>
        <v>10</v>
      </c>
    </row>
    <row r="215" customFormat="false" ht="15" hidden="false" customHeight="false" outlineLevel="0" collapsed="false">
      <c r="A215" s="37" t="n">
        <v>211</v>
      </c>
      <c r="B215" s="38" t="s">
        <v>86</v>
      </c>
      <c r="C215" s="37" t="n">
        <v>1</v>
      </c>
      <c r="D215" s="35" t="str">
        <f aca="false">VLOOKUP(C215, Lookups_Metadata!$A$4:$B$7, 2, FALSE())</f>
        <v>Spring</v>
      </c>
      <c r="E215" s="37" t="n">
        <v>0</v>
      </c>
      <c r="F215" s="37" t="n">
        <v>1</v>
      </c>
      <c r="G215" s="37" t="n">
        <v>1</v>
      </c>
      <c r="H215" s="39" t="b">
        <f aca="false">FALSE()</f>
        <v>0</v>
      </c>
      <c r="I215" s="37" t="n">
        <v>1</v>
      </c>
      <c r="J215" s="35" t="str">
        <f aca="false">INDEX(Lookups_Metadata!$E$4:$E$10, MATCH(I215, Lookups_Metadata!$D$4:$D$10, 0))</f>
        <v>Monday</v>
      </c>
      <c r="K215" s="35" t="str">
        <f aca="false">IF(H215=TRUE(), "Holiday", IF(OR(I215=0, I215=6), "Weekend", "Weekday"))</f>
        <v>Weekday</v>
      </c>
      <c r="L215" s="35" t="str">
        <f aca="false">IF(AND(K215="Weekday", OR(AND(G215&gt;=7, G215&lt;=9), AND(G215&gt;=17, G215&lt;=19))), "Peak Commute", "Off-Peak")</f>
        <v>Off-Peak</v>
      </c>
      <c r="M215" s="37" t="n">
        <v>1</v>
      </c>
      <c r="N215" s="35" t="str">
        <f aca="false">VLOOKUP(M215, Lookups_Metadata!$G$4:$H$7, 2, FALSE())</f>
        <v>Clear / Few Clouds</v>
      </c>
      <c r="O215" s="40" t="n">
        <v>0.12</v>
      </c>
      <c r="P215" s="40" t="n">
        <v>0.1212</v>
      </c>
      <c r="Q215" s="40" t="n">
        <f aca="false">IF(OR(P215="", ISBLANK(P215)), ROUND(0.9367*O215+0.0175, 4), P215)</f>
        <v>0.1212</v>
      </c>
      <c r="R215" s="35" t="str">
        <f aca="false">IF(OR(P215="", ISBLANK(P215)), "Imputed (Regression/Trend)", "Original")</f>
        <v>Original</v>
      </c>
      <c r="S215" s="40" t="n">
        <v>0.5</v>
      </c>
      <c r="T215" s="40" t="n">
        <v>0.2836</v>
      </c>
      <c r="U215" s="41" t="n">
        <v>1</v>
      </c>
      <c r="V215" s="41" t="n">
        <v>0</v>
      </c>
      <c r="W215" s="41" t="n">
        <f aca="false">U215+V215</f>
        <v>1</v>
      </c>
      <c r="X215" s="42" t="n">
        <f aca="false">U215/W215</f>
        <v>1</v>
      </c>
      <c r="Y215" s="42" t="n">
        <f aca="false">V215/W215</f>
        <v>0</v>
      </c>
      <c r="Z215" s="35" t="str">
        <f aca="false">IF(W215&gt;=150, "High Demand", IF(W215&gt;=50, "Moderate Demand", "Low Demand"))</f>
        <v>Low Demand</v>
      </c>
      <c r="AA215" s="39" t="str">
        <f aca="false">TEXT(G215, "00") &amp; ":00"</f>
        <v>01:00</v>
      </c>
      <c r="AB215" s="37" t="n">
        <f aca="false">YEAR(B215)</f>
        <v>2011</v>
      </c>
      <c r="AC215" s="35" t="str">
        <f aca="false">TEXT(B215, "mmmm")</f>
        <v>January</v>
      </c>
      <c r="AD215" s="37" t="n">
        <f aca="false">LEN(TEXT(B215, "YYYY-MM-DD"))</f>
        <v>10</v>
      </c>
      <c r="AE215" s="39" t="str">
        <f aca="false">LEFT(TEXT(B215, "YYYY-MM-DD"), 4)</f>
        <v>2011</v>
      </c>
      <c r="AF215" s="39" t="str">
        <f aca="false">RIGHT(TEXT(B215, "YYYY-MM-DD"), 2)</f>
        <v>10</v>
      </c>
    </row>
    <row r="216" customFormat="false" ht="15" hidden="false" customHeight="false" outlineLevel="0" collapsed="false">
      <c r="A216" s="43" t="n">
        <v>212</v>
      </c>
      <c r="B216" s="44" t="s">
        <v>86</v>
      </c>
      <c r="C216" s="43" t="n">
        <v>1</v>
      </c>
      <c r="D216" s="33" t="str">
        <f aca="false">VLOOKUP(C216, Lookups_Metadata!$A$4:$B$7, 2, FALSE())</f>
        <v>Spring</v>
      </c>
      <c r="E216" s="43" t="n">
        <v>0</v>
      </c>
      <c r="F216" s="43" t="n">
        <v>1</v>
      </c>
      <c r="G216" s="43" t="n">
        <v>2</v>
      </c>
      <c r="H216" s="45" t="b">
        <f aca="false">FALSE()</f>
        <v>0</v>
      </c>
      <c r="I216" s="43" t="n">
        <v>1</v>
      </c>
      <c r="J216" s="33" t="str">
        <f aca="false">INDEX(Lookups_Metadata!$E$4:$E$10, MATCH(I216, Lookups_Metadata!$D$4:$D$10, 0))</f>
        <v>Monday</v>
      </c>
      <c r="K216" s="33" t="str">
        <f aca="false">IF(H216=TRUE(), "Holiday", IF(OR(I216=0, I216=6), "Weekend", "Weekday"))</f>
        <v>Weekday</v>
      </c>
      <c r="L216" s="33" t="str">
        <f aca="false">IF(AND(K216="Weekday", OR(AND(G216&gt;=7, G216&lt;=9), AND(G216&gt;=17, G216&lt;=19))), "Peak Commute", "Off-Peak")</f>
        <v>Off-Peak</v>
      </c>
      <c r="M216" s="43" t="n">
        <v>1</v>
      </c>
      <c r="N216" s="33" t="str">
        <f aca="false">VLOOKUP(M216, Lookups_Metadata!$G$4:$H$7, 2, FALSE())</f>
        <v>Clear / Few Clouds</v>
      </c>
      <c r="O216" s="46" t="n">
        <v>0.12</v>
      </c>
      <c r="P216" s="46" t="n">
        <v>0.1212</v>
      </c>
      <c r="Q216" s="46" t="n">
        <f aca="false">IF(OR(P216="", ISBLANK(P216)), ROUND(0.9367*O216+0.0175, 4), P216)</f>
        <v>0.1212</v>
      </c>
      <c r="R216" s="33" t="str">
        <f aca="false">IF(OR(P216="", ISBLANK(P216)), "Imputed (Regression/Trend)", "Original")</f>
        <v>Original</v>
      </c>
      <c r="S216" s="46" t="n">
        <v>0.5</v>
      </c>
      <c r="T216" s="46" t="n">
        <v>0.2239</v>
      </c>
      <c r="U216" s="18" t="n">
        <v>0</v>
      </c>
      <c r="V216" s="18" t="n">
        <v>3</v>
      </c>
      <c r="W216" s="18" t="n">
        <f aca="false">U216+V216</f>
        <v>3</v>
      </c>
      <c r="X216" s="47" t="n">
        <f aca="false">U216/W216</f>
        <v>0</v>
      </c>
      <c r="Y216" s="47" t="n">
        <f aca="false">V216/W216</f>
        <v>1</v>
      </c>
      <c r="Z216" s="33" t="str">
        <f aca="false">IF(W216&gt;=150, "High Demand", IF(W216&gt;=50, "Moderate Demand", "Low Demand"))</f>
        <v>Low Demand</v>
      </c>
      <c r="AA216" s="45" t="str">
        <f aca="false">TEXT(G216, "00") &amp; ":00"</f>
        <v>02:00</v>
      </c>
      <c r="AB216" s="43" t="n">
        <f aca="false">YEAR(B216)</f>
        <v>2011</v>
      </c>
      <c r="AC216" s="33" t="str">
        <f aca="false">TEXT(B216, "mmmm")</f>
        <v>January</v>
      </c>
      <c r="AD216" s="43" t="n">
        <f aca="false">LEN(TEXT(B216, "YYYY-MM-DD"))</f>
        <v>10</v>
      </c>
      <c r="AE216" s="45" t="str">
        <f aca="false">LEFT(TEXT(B216, "YYYY-MM-DD"), 4)</f>
        <v>2011</v>
      </c>
      <c r="AF216" s="45" t="str">
        <f aca="false">RIGHT(TEXT(B216, "YYYY-MM-DD"), 2)</f>
        <v>10</v>
      </c>
    </row>
    <row r="217" customFormat="false" ht="15" hidden="false" customHeight="false" outlineLevel="0" collapsed="false">
      <c r="A217" s="37" t="n">
        <v>213</v>
      </c>
      <c r="B217" s="38" t="s">
        <v>86</v>
      </c>
      <c r="C217" s="37" t="n">
        <v>1</v>
      </c>
      <c r="D217" s="35" t="str">
        <f aca="false">VLOOKUP(C217, Lookups_Metadata!$A$4:$B$7, 2, FALSE())</f>
        <v>Spring</v>
      </c>
      <c r="E217" s="37" t="n">
        <v>0</v>
      </c>
      <c r="F217" s="37" t="n">
        <v>1</v>
      </c>
      <c r="G217" s="37" t="n">
        <v>3</v>
      </c>
      <c r="H217" s="39" t="b">
        <f aca="false">FALSE()</f>
        <v>0</v>
      </c>
      <c r="I217" s="37" t="n">
        <v>1</v>
      </c>
      <c r="J217" s="35" t="str">
        <f aca="false">INDEX(Lookups_Metadata!$E$4:$E$10, MATCH(I217, Lookups_Metadata!$D$4:$D$10, 0))</f>
        <v>Monday</v>
      </c>
      <c r="K217" s="35" t="str">
        <f aca="false">IF(H217=TRUE(), "Holiday", IF(OR(I217=0, I217=6), "Weekend", "Weekday"))</f>
        <v>Weekday</v>
      </c>
      <c r="L217" s="35" t="str">
        <f aca="false">IF(AND(K217="Weekday", OR(AND(G217&gt;=7, G217&lt;=9), AND(G217&gt;=17, G217&lt;=19))), "Peak Commute", "Off-Peak")</f>
        <v>Off-Peak</v>
      </c>
      <c r="M217" s="37" t="n">
        <v>1</v>
      </c>
      <c r="N217" s="35" t="str">
        <f aca="false">VLOOKUP(M217, Lookups_Metadata!$G$4:$H$7, 2, FALSE())</f>
        <v>Clear / Few Clouds</v>
      </c>
      <c r="O217" s="40" t="n">
        <v>0.12</v>
      </c>
      <c r="P217" s="40" t="n">
        <v>0.1212</v>
      </c>
      <c r="Q217" s="40" t="n">
        <f aca="false">IF(OR(P217="", ISBLANK(P217)), ROUND(0.9367*O217+0.0175, 4), P217)</f>
        <v>0.1212</v>
      </c>
      <c r="R217" s="35" t="str">
        <f aca="false">IF(OR(P217="", ISBLANK(P217)), "Imputed (Regression/Trend)", "Original")</f>
        <v>Original</v>
      </c>
      <c r="S217" s="40" t="n">
        <v>0.5</v>
      </c>
      <c r="T217" s="40" t="n">
        <v>0.2239</v>
      </c>
      <c r="U217" s="41" t="n">
        <v>0</v>
      </c>
      <c r="V217" s="41" t="n">
        <v>1</v>
      </c>
      <c r="W217" s="41" t="n">
        <f aca="false">U217+V217</f>
        <v>1</v>
      </c>
      <c r="X217" s="42" t="n">
        <f aca="false">U217/W217</f>
        <v>0</v>
      </c>
      <c r="Y217" s="42" t="n">
        <f aca="false">V217/W217</f>
        <v>1</v>
      </c>
      <c r="Z217" s="35" t="str">
        <f aca="false">IF(W217&gt;=150, "High Demand", IF(W217&gt;=50, "Moderate Demand", "Low Demand"))</f>
        <v>Low Demand</v>
      </c>
      <c r="AA217" s="39" t="str">
        <f aca="false">TEXT(G217, "00") &amp; ":00"</f>
        <v>03:00</v>
      </c>
      <c r="AB217" s="37" t="n">
        <f aca="false">YEAR(B217)</f>
        <v>2011</v>
      </c>
      <c r="AC217" s="35" t="str">
        <f aca="false">TEXT(B217, "mmmm")</f>
        <v>January</v>
      </c>
      <c r="AD217" s="37" t="n">
        <f aca="false">LEN(TEXT(B217, "YYYY-MM-DD"))</f>
        <v>10</v>
      </c>
      <c r="AE217" s="39" t="str">
        <f aca="false">LEFT(TEXT(B217, "YYYY-MM-DD"), 4)</f>
        <v>2011</v>
      </c>
      <c r="AF217" s="39" t="str">
        <f aca="false">RIGHT(TEXT(B217, "YYYY-MM-DD"), 2)</f>
        <v>10</v>
      </c>
    </row>
    <row r="218" customFormat="false" ht="15" hidden="false" customHeight="false" outlineLevel="0" collapsed="false">
      <c r="A218" s="43" t="n">
        <v>214</v>
      </c>
      <c r="B218" s="44" t="s">
        <v>86</v>
      </c>
      <c r="C218" s="43" t="n">
        <v>1</v>
      </c>
      <c r="D218" s="33" t="str">
        <f aca="false">VLOOKUP(C218, Lookups_Metadata!$A$4:$B$7, 2, FALSE())</f>
        <v>Spring</v>
      </c>
      <c r="E218" s="43" t="n">
        <v>0</v>
      </c>
      <c r="F218" s="43" t="n">
        <v>1</v>
      </c>
      <c r="G218" s="43" t="n">
        <v>4</v>
      </c>
      <c r="H218" s="45" t="b">
        <f aca="false">FALSE()</f>
        <v>0</v>
      </c>
      <c r="I218" s="43" t="n">
        <v>1</v>
      </c>
      <c r="J218" s="33" t="str">
        <f aca="false">INDEX(Lookups_Metadata!$E$4:$E$10, MATCH(I218, Lookups_Metadata!$D$4:$D$10, 0))</f>
        <v>Monday</v>
      </c>
      <c r="K218" s="33" t="str">
        <f aca="false">IF(H218=TRUE(), "Holiday", IF(OR(I218=0, I218=6), "Weekend", "Weekday"))</f>
        <v>Weekday</v>
      </c>
      <c r="L218" s="33" t="str">
        <f aca="false">IF(AND(K218="Weekday", OR(AND(G218&gt;=7, G218&lt;=9), AND(G218&gt;=17, G218&lt;=19))), "Peak Commute", "Off-Peak")</f>
        <v>Off-Peak</v>
      </c>
      <c r="M218" s="43" t="n">
        <v>1</v>
      </c>
      <c r="N218" s="33" t="str">
        <f aca="false">VLOOKUP(M218, Lookups_Metadata!$G$4:$H$7, 2, FALSE())</f>
        <v>Clear / Few Clouds</v>
      </c>
      <c r="O218" s="46" t="n">
        <v>0.1</v>
      </c>
      <c r="P218" s="46" t="n">
        <v>0.1212</v>
      </c>
      <c r="Q218" s="46" t="n">
        <f aca="false">IF(OR(P218="", ISBLANK(P218)), ROUND(0.9367*O218+0.0175, 4), P218)</f>
        <v>0.1212</v>
      </c>
      <c r="R218" s="33" t="str">
        <f aca="false">IF(OR(P218="", ISBLANK(P218)), "Imputed (Regression/Trend)", "Original")</f>
        <v>Original</v>
      </c>
      <c r="S218" s="46" t="n">
        <v>0.54</v>
      </c>
      <c r="T218" s="46" t="n">
        <v>0.1343</v>
      </c>
      <c r="U218" s="18" t="n">
        <v>1</v>
      </c>
      <c r="V218" s="18" t="n">
        <v>2</v>
      </c>
      <c r="W218" s="18" t="n">
        <f aca="false">U218+V218</f>
        <v>3</v>
      </c>
      <c r="X218" s="47" t="n">
        <f aca="false">U218/W218</f>
        <v>0.333333333333333</v>
      </c>
      <c r="Y218" s="47" t="n">
        <f aca="false">V218/W218</f>
        <v>0.666666666666667</v>
      </c>
      <c r="Z218" s="33" t="str">
        <f aca="false">IF(W218&gt;=150, "High Demand", IF(W218&gt;=50, "Moderate Demand", "Low Demand"))</f>
        <v>Low Demand</v>
      </c>
      <c r="AA218" s="45" t="str">
        <f aca="false">TEXT(G218, "00") &amp; ":00"</f>
        <v>04:00</v>
      </c>
      <c r="AB218" s="43" t="n">
        <f aca="false">YEAR(B218)</f>
        <v>2011</v>
      </c>
      <c r="AC218" s="33" t="str">
        <f aca="false">TEXT(B218, "mmmm")</f>
        <v>January</v>
      </c>
      <c r="AD218" s="43" t="n">
        <f aca="false">LEN(TEXT(B218, "YYYY-MM-DD"))</f>
        <v>10</v>
      </c>
      <c r="AE218" s="45" t="str">
        <f aca="false">LEFT(TEXT(B218, "YYYY-MM-DD"), 4)</f>
        <v>2011</v>
      </c>
      <c r="AF218" s="45" t="str">
        <f aca="false">RIGHT(TEXT(B218, "YYYY-MM-DD"), 2)</f>
        <v>10</v>
      </c>
    </row>
    <row r="219" customFormat="false" ht="15" hidden="false" customHeight="false" outlineLevel="0" collapsed="false">
      <c r="A219" s="37" t="n">
        <v>215</v>
      </c>
      <c r="B219" s="38" t="s">
        <v>86</v>
      </c>
      <c r="C219" s="37" t="n">
        <v>1</v>
      </c>
      <c r="D219" s="35" t="str">
        <f aca="false">VLOOKUP(C219, Lookups_Metadata!$A$4:$B$7, 2, FALSE())</f>
        <v>Spring</v>
      </c>
      <c r="E219" s="37" t="n">
        <v>0</v>
      </c>
      <c r="F219" s="37" t="n">
        <v>1</v>
      </c>
      <c r="G219" s="37" t="n">
        <v>5</v>
      </c>
      <c r="H219" s="39" t="b">
        <f aca="false">FALSE()</f>
        <v>0</v>
      </c>
      <c r="I219" s="37" t="n">
        <v>1</v>
      </c>
      <c r="J219" s="35" t="str">
        <f aca="false">INDEX(Lookups_Metadata!$E$4:$E$10, MATCH(I219, Lookups_Metadata!$D$4:$D$10, 0))</f>
        <v>Monday</v>
      </c>
      <c r="K219" s="35" t="str">
        <f aca="false">IF(H219=TRUE(), "Holiday", IF(OR(I219=0, I219=6), "Weekend", "Weekday"))</f>
        <v>Weekday</v>
      </c>
      <c r="L219" s="35" t="str">
        <f aca="false">IF(AND(K219="Weekday", OR(AND(G219&gt;=7, G219&lt;=9), AND(G219&gt;=17, G219&lt;=19))), "Peak Commute", "Off-Peak")</f>
        <v>Off-Peak</v>
      </c>
      <c r="M219" s="37" t="n">
        <v>1</v>
      </c>
      <c r="N219" s="35" t="str">
        <f aca="false">VLOOKUP(M219, Lookups_Metadata!$G$4:$H$7, 2, FALSE())</f>
        <v>Clear / Few Clouds</v>
      </c>
      <c r="O219" s="40" t="n">
        <v>0.1</v>
      </c>
      <c r="P219" s="40" t="n">
        <v>0.1061</v>
      </c>
      <c r="Q219" s="40" t="n">
        <f aca="false">IF(OR(P219="", ISBLANK(P219)), ROUND(0.9367*O219+0.0175, 4), P219)</f>
        <v>0.1061</v>
      </c>
      <c r="R219" s="35" t="str">
        <f aca="false">IF(OR(P219="", ISBLANK(P219)), "Imputed (Regression/Trend)", "Original")</f>
        <v>Original</v>
      </c>
      <c r="S219" s="40" t="n">
        <v>0.54</v>
      </c>
      <c r="T219" s="40" t="n">
        <v>0.2537</v>
      </c>
      <c r="U219" s="41" t="n">
        <v>0</v>
      </c>
      <c r="V219" s="41" t="n">
        <v>3</v>
      </c>
      <c r="W219" s="41" t="n">
        <f aca="false">U219+V219</f>
        <v>3</v>
      </c>
      <c r="X219" s="42" t="n">
        <f aca="false">U219/W219</f>
        <v>0</v>
      </c>
      <c r="Y219" s="42" t="n">
        <f aca="false">V219/W219</f>
        <v>1</v>
      </c>
      <c r="Z219" s="35" t="str">
        <f aca="false">IF(W219&gt;=150, "High Demand", IF(W219&gt;=50, "Moderate Demand", "Low Demand"))</f>
        <v>Low Demand</v>
      </c>
      <c r="AA219" s="39" t="str">
        <f aca="false">TEXT(G219, "00") &amp; ":00"</f>
        <v>05:00</v>
      </c>
      <c r="AB219" s="37" t="n">
        <f aca="false">YEAR(B219)</f>
        <v>2011</v>
      </c>
      <c r="AC219" s="35" t="str">
        <f aca="false">TEXT(B219, "mmmm")</f>
        <v>January</v>
      </c>
      <c r="AD219" s="37" t="n">
        <f aca="false">LEN(TEXT(B219, "YYYY-MM-DD"))</f>
        <v>10</v>
      </c>
      <c r="AE219" s="39" t="str">
        <f aca="false">LEFT(TEXT(B219, "YYYY-MM-DD"), 4)</f>
        <v>2011</v>
      </c>
      <c r="AF219" s="39" t="str">
        <f aca="false">RIGHT(TEXT(B219, "YYYY-MM-DD"), 2)</f>
        <v>10</v>
      </c>
    </row>
    <row r="220" customFormat="false" ht="15" hidden="false" customHeight="false" outlineLevel="0" collapsed="false">
      <c r="A220" s="43" t="n">
        <v>216</v>
      </c>
      <c r="B220" s="44" t="s">
        <v>86</v>
      </c>
      <c r="C220" s="43" t="n">
        <v>1</v>
      </c>
      <c r="D220" s="33" t="str">
        <f aca="false">VLOOKUP(C220, Lookups_Metadata!$A$4:$B$7, 2, FALSE())</f>
        <v>Spring</v>
      </c>
      <c r="E220" s="43" t="n">
        <v>0</v>
      </c>
      <c r="F220" s="43" t="n">
        <v>1</v>
      </c>
      <c r="G220" s="43" t="n">
        <v>6</v>
      </c>
      <c r="H220" s="45" t="b">
        <f aca="false">FALSE()</f>
        <v>0</v>
      </c>
      <c r="I220" s="43" t="n">
        <v>1</v>
      </c>
      <c r="J220" s="33" t="str">
        <f aca="false">INDEX(Lookups_Metadata!$E$4:$E$10, MATCH(I220, Lookups_Metadata!$D$4:$D$10, 0))</f>
        <v>Monday</v>
      </c>
      <c r="K220" s="33" t="str">
        <f aca="false">IF(H220=TRUE(), "Holiday", IF(OR(I220=0, I220=6), "Weekend", "Weekday"))</f>
        <v>Weekday</v>
      </c>
      <c r="L220" s="33" t="str">
        <f aca="false">IF(AND(K220="Weekday", OR(AND(G220&gt;=7, G220&lt;=9), AND(G220&gt;=17, G220&lt;=19))), "Peak Commute", "Off-Peak")</f>
        <v>Off-Peak</v>
      </c>
      <c r="M220" s="43" t="n">
        <v>1</v>
      </c>
      <c r="N220" s="33" t="str">
        <f aca="false">VLOOKUP(M220, Lookups_Metadata!$G$4:$H$7, 2, FALSE())</f>
        <v>Clear / Few Clouds</v>
      </c>
      <c r="O220" s="46" t="n">
        <v>0.12</v>
      </c>
      <c r="P220" s="46" t="n">
        <v>0.1212</v>
      </c>
      <c r="Q220" s="46" t="n">
        <f aca="false">IF(OR(P220="", ISBLANK(P220)), ROUND(0.9367*O220+0.0175, 4), P220)</f>
        <v>0.1212</v>
      </c>
      <c r="R220" s="33" t="str">
        <f aca="false">IF(OR(P220="", ISBLANK(P220)), "Imputed (Regression/Trend)", "Original")</f>
        <v>Original</v>
      </c>
      <c r="S220" s="46" t="n">
        <v>0.5</v>
      </c>
      <c r="T220" s="46" t="n">
        <v>0.2836</v>
      </c>
      <c r="U220" s="18" t="n">
        <v>0</v>
      </c>
      <c r="V220" s="18" t="n">
        <v>31</v>
      </c>
      <c r="W220" s="18" t="n">
        <f aca="false">U220+V220</f>
        <v>31</v>
      </c>
      <c r="X220" s="47" t="n">
        <f aca="false">U220/W220</f>
        <v>0</v>
      </c>
      <c r="Y220" s="47" t="n">
        <f aca="false">V220/W220</f>
        <v>1</v>
      </c>
      <c r="Z220" s="33" t="str">
        <f aca="false">IF(W220&gt;=150, "High Demand", IF(W220&gt;=50, "Moderate Demand", "Low Demand"))</f>
        <v>Low Demand</v>
      </c>
      <c r="AA220" s="45" t="str">
        <f aca="false">TEXT(G220, "00") &amp; ":00"</f>
        <v>06:00</v>
      </c>
      <c r="AB220" s="43" t="n">
        <f aca="false">YEAR(B220)</f>
        <v>2011</v>
      </c>
      <c r="AC220" s="33" t="str">
        <f aca="false">TEXT(B220, "mmmm")</f>
        <v>January</v>
      </c>
      <c r="AD220" s="43" t="n">
        <f aca="false">LEN(TEXT(B220, "YYYY-MM-DD"))</f>
        <v>10</v>
      </c>
      <c r="AE220" s="45" t="str">
        <f aca="false">LEFT(TEXT(B220, "YYYY-MM-DD"), 4)</f>
        <v>2011</v>
      </c>
      <c r="AF220" s="45" t="str">
        <f aca="false">RIGHT(TEXT(B220, "YYYY-MM-DD"), 2)</f>
        <v>10</v>
      </c>
    </row>
    <row r="221" customFormat="false" ht="15" hidden="false" customHeight="false" outlineLevel="0" collapsed="false">
      <c r="A221" s="37" t="n">
        <v>217</v>
      </c>
      <c r="B221" s="38" t="s">
        <v>86</v>
      </c>
      <c r="C221" s="37" t="n">
        <v>1</v>
      </c>
      <c r="D221" s="35" t="str">
        <f aca="false">VLOOKUP(C221, Lookups_Metadata!$A$4:$B$7, 2, FALSE())</f>
        <v>Spring</v>
      </c>
      <c r="E221" s="37" t="n">
        <v>0</v>
      </c>
      <c r="F221" s="37" t="n">
        <v>1</v>
      </c>
      <c r="G221" s="37" t="n">
        <v>7</v>
      </c>
      <c r="H221" s="39" t="b">
        <f aca="false">FALSE()</f>
        <v>0</v>
      </c>
      <c r="I221" s="37" t="n">
        <v>1</v>
      </c>
      <c r="J221" s="35" t="str">
        <f aca="false">INDEX(Lookups_Metadata!$E$4:$E$10, MATCH(I221, Lookups_Metadata!$D$4:$D$10, 0))</f>
        <v>Monday</v>
      </c>
      <c r="K221" s="35" t="str">
        <f aca="false">IF(H221=TRUE(), "Holiday", IF(OR(I221=0, I221=6), "Weekend", "Weekday"))</f>
        <v>Weekday</v>
      </c>
      <c r="L221" s="35" t="str">
        <f aca="false">IF(AND(K221="Weekday", OR(AND(G221&gt;=7, G221&lt;=9), AND(G221&gt;=17, G221&lt;=19))), "Peak Commute", "Off-Peak")</f>
        <v>Peak Commute</v>
      </c>
      <c r="M221" s="37" t="n">
        <v>1</v>
      </c>
      <c r="N221" s="35" t="str">
        <f aca="false">VLOOKUP(M221, Lookups_Metadata!$G$4:$H$7, 2, FALSE())</f>
        <v>Clear / Few Clouds</v>
      </c>
      <c r="O221" s="40" t="n">
        <v>0.12</v>
      </c>
      <c r="P221" s="40" t="n">
        <v>0.1212</v>
      </c>
      <c r="Q221" s="40" t="n">
        <f aca="false">IF(OR(P221="", ISBLANK(P221)), ROUND(0.9367*O221+0.0175, 4), P221)</f>
        <v>0.1212</v>
      </c>
      <c r="R221" s="35" t="str">
        <f aca="false">IF(OR(P221="", ISBLANK(P221)), "Imputed (Regression/Trend)", "Original")</f>
        <v>Original</v>
      </c>
      <c r="S221" s="40" t="n">
        <v>0.5</v>
      </c>
      <c r="T221" s="40" t="n">
        <v>0.2239</v>
      </c>
      <c r="U221" s="41" t="n">
        <v>2</v>
      </c>
      <c r="V221" s="41" t="n">
        <v>75</v>
      </c>
      <c r="W221" s="41" t="n">
        <f aca="false">U221+V221</f>
        <v>77</v>
      </c>
      <c r="X221" s="42" t="n">
        <f aca="false">U221/W221</f>
        <v>0.025974025974026</v>
      </c>
      <c r="Y221" s="42" t="n">
        <f aca="false">V221/W221</f>
        <v>0.974025974025974</v>
      </c>
      <c r="Z221" s="35" t="str">
        <f aca="false">IF(W221&gt;=150, "High Demand", IF(W221&gt;=50, "Moderate Demand", "Low Demand"))</f>
        <v>Moderate Demand</v>
      </c>
      <c r="AA221" s="39" t="str">
        <f aca="false">TEXT(G221, "00") &amp; ":00"</f>
        <v>07:00</v>
      </c>
      <c r="AB221" s="37" t="n">
        <f aca="false">YEAR(B221)</f>
        <v>2011</v>
      </c>
      <c r="AC221" s="35" t="str">
        <f aca="false">TEXT(B221, "mmmm")</f>
        <v>January</v>
      </c>
      <c r="AD221" s="37" t="n">
        <f aca="false">LEN(TEXT(B221, "YYYY-MM-DD"))</f>
        <v>10</v>
      </c>
      <c r="AE221" s="39" t="str">
        <f aca="false">LEFT(TEXT(B221, "YYYY-MM-DD"), 4)</f>
        <v>2011</v>
      </c>
      <c r="AF221" s="39" t="str">
        <f aca="false">RIGHT(TEXT(B221, "YYYY-MM-DD"), 2)</f>
        <v>10</v>
      </c>
    </row>
    <row r="222" customFormat="false" ht="15" hidden="false" customHeight="false" outlineLevel="0" collapsed="false">
      <c r="A222" s="43" t="n">
        <v>218</v>
      </c>
      <c r="B222" s="44" t="s">
        <v>86</v>
      </c>
      <c r="C222" s="43" t="n">
        <v>1</v>
      </c>
      <c r="D222" s="33" t="str">
        <f aca="false">VLOOKUP(C222, Lookups_Metadata!$A$4:$B$7, 2, FALSE())</f>
        <v>Spring</v>
      </c>
      <c r="E222" s="43" t="n">
        <v>0</v>
      </c>
      <c r="F222" s="43" t="n">
        <v>1</v>
      </c>
      <c r="G222" s="43" t="n">
        <v>8</v>
      </c>
      <c r="H222" s="45" t="b">
        <f aca="false">FALSE()</f>
        <v>0</v>
      </c>
      <c r="I222" s="43" t="n">
        <v>1</v>
      </c>
      <c r="J222" s="33" t="str">
        <f aca="false">INDEX(Lookups_Metadata!$E$4:$E$10, MATCH(I222, Lookups_Metadata!$D$4:$D$10, 0))</f>
        <v>Monday</v>
      </c>
      <c r="K222" s="33" t="str">
        <f aca="false">IF(H222=TRUE(), "Holiday", IF(OR(I222=0, I222=6), "Weekend", "Weekday"))</f>
        <v>Weekday</v>
      </c>
      <c r="L222" s="33" t="str">
        <f aca="false">IF(AND(K222="Weekday", OR(AND(G222&gt;=7, G222&lt;=9), AND(G222&gt;=17, G222&lt;=19))), "Peak Commute", "Off-Peak")</f>
        <v>Peak Commute</v>
      </c>
      <c r="M222" s="43" t="n">
        <v>2</v>
      </c>
      <c r="N222" s="33" t="str">
        <f aca="false">VLOOKUP(M222, Lookups_Metadata!$G$4:$H$7, 2, FALSE())</f>
        <v>Mist / Cloudy</v>
      </c>
      <c r="O222" s="46" t="n">
        <v>0.12</v>
      </c>
      <c r="P222" s="46" t="n">
        <v>0.1212</v>
      </c>
      <c r="Q222" s="46" t="n">
        <f aca="false">IF(OR(P222="", ISBLANK(P222)), ROUND(0.9367*O222+0.0175, 4), P222)</f>
        <v>0.1212</v>
      </c>
      <c r="R222" s="33" t="str">
        <f aca="false">IF(OR(P222="", ISBLANK(P222)), "Imputed (Regression/Trend)", "Original")</f>
        <v>Original</v>
      </c>
      <c r="S222" s="46" t="n">
        <v>0.5</v>
      </c>
      <c r="T222" s="46" t="n">
        <v>0.2836</v>
      </c>
      <c r="U222" s="18" t="n">
        <v>4</v>
      </c>
      <c r="V222" s="18" t="n">
        <v>184</v>
      </c>
      <c r="W222" s="18" t="n">
        <f aca="false">U222+V222</f>
        <v>188</v>
      </c>
      <c r="X222" s="47" t="n">
        <f aca="false">U222/W222</f>
        <v>0.0212765957446809</v>
      </c>
      <c r="Y222" s="47" t="n">
        <f aca="false">V222/W222</f>
        <v>0.978723404255319</v>
      </c>
      <c r="Z222" s="33" t="str">
        <f aca="false">IF(W222&gt;=150, "High Demand", IF(W222&gt;=50, "Moderate Demand", "Low Demand"))</f>
        <v>High Demand</v>
      </c>
      <c r="AA222" s="45" t="str">
        <f aca="false">TEXT(G222, "00") &amp; ":00"</f>
        <v>08:00</v>
      </c>
      <c r="AB222" s="43" t="n">
        <f aca="false">YEAR(B222)</f>
        <v>2011</v>
      </c>
      <c r="AC222" s="33" t="str">
        <f aca="false">TEXT(B222, "mmmm")</f>
        <v>January</v>
      </c>
      <c r="AD222" s="43" t="n">
        <f aca="false">LEN(TEXT(B222, "YYYY-MM-DD"))</f>
        <v>10</v>
      </c>
      <c r="AE222" s="45" t="str">
        <f aca="false">LEFT(TEXT(B222, "YYYY-MM-DD"), 4)</f>
        <v>2011</v>
      </c>
      <c r="AF222" s="45" t="str">
        <f aca="false">RIGHT(TEXT(B222, "YYYY-MM-DD"), 2)</f>
        <v>10</v>
      </c>
    </row>
    <row r="223" customFormat="false" ht="15" hidden="false" customHeight="false" outlineLevel="0" collapsed="false">
      <c r="A223" s="37" t="n">
        <v>219</v>
      </c>
      <c r="B223" s="38" t="s">
        <v>86</v>
      </c>
      <c r="C223" s="37" t="n">
        <v>1</v>
      </c>
      <c r="D223" s="35" t="str">
        <f aca="false">VLOOKUP(C223, Lookups_Metadata!$A$4:$B$7, 2, FALSE())</f>
        <v>Spring</v>
      </c>
      <c r="E223" s="37" t="n">
        <v>0</v>
      </c>
      <c r="F223" s="37" t="n">
        <v>1</v>
      </c>
      <c r="G223" s="37" t="n">
        <v>9</v>
      </c>
      <c r="H223" s="39" t="b">
        <f aca="false">FALSE()</f>
        <v>0</v>
      </c>
      <c r="I223" s="37" t="n">
        <v>1</v>
      </c>
      <c r="J223" s="35" t="str">
        <f aca="false">INDEX(Lookups_Metadata!$E$4:$E$10, MATCH(I223, Lookups_Metadata!$D$4:$D$10, 0))</f>
        <v>Monday</v>
      </c>
      <c r="K223" s="35" t="str">
        <f aca="false">IF(H223=TRUE(), "Holiday", IF(OR(I223=0, I223=6), "Weekend", "Weekday"))</f>
        <v>Weekday</v>
      </c>
      <c r="L223" s="35" t="str">
        <f aca="false">IF(AND(K223="Weekday", OR(AND(G223&gt;=7, G223&lt;=9), AND(G223&gt;=17, G223&lt;=19))), "Peak Commute", "Off-Peak")</f>
        <v>Peak Commute</v>
      </c>
      <c r="M223" s="37" t="n">
        <v>2</v>
      </c>
      <c r="N223" s="35" t="str">
        <f aca="false">VLOOKUP(M223, Lookups_Metadata!$G$4:$H$7, 2, FALSE())</f>
        <v>Mist / Cloudy</v>
      </c>
      <c r="O223" s="40" t="n">
        <v>0.14</v>
      </c>
      <c r="P223" s="40" t="n">
        <v>0.1212</v>
      </c>
      <c r="Q223" s="40" t="n">
        <f aca="false">IF(OR(P223="", ISBLANK(P223)), ROUND(0.9367*O223+0.0175, 4), P223)</f>
        <v>0.1212</v>
      </c>
      <c r="R223" s="35" t="str">
        <f aca="false">IF(OR(P223="", ISBLANK(P223)), "Imputed (Regression/Trend)", "Original")</f>
        <v>Original</v>
      </c>
      <c r="S223" s="40" t="n">
        <v>0.5</v>
      </c>
      <c r="T223" s="40" t="n">
        <v>0.2537</v>
      </c>
      <c r="U223" s="41" t="n">
        <v>2</v>
      </c>
      <c r="V223" s="41" t="n">
        <v>92</v>
      </c>
      <c r="W223" s="41" t="n">
        <f aca="false">U223+V223</f>
        <v>94</v>
      </c>
      <c r="X223" s="42" t="n">
        <f aca="false">U223/W223</f>
        <v>0.0212765957446809</v>
      </c>
      <c r="Y223" s="42" t="n">
        <f aca="false">V223/W223</f>
        <v>0.978723404255319</v>
      </c>
      <c r="Z223" s="35" t="str">
        <f aca="false">IF(W223&gt;=150, "High Demand", IF(W223&gt;=50, "Moderate Demand", "Low Demand"))</f>
        <v>Moderate Demand</v>
      </c>
      <c r="AA223" s="39" t="str">
        <f aca="false">TEXT(G223, "00") &amp; ":00"</f>
        <v>09:00</v>
      </c>
      <c r="AB223" s="37" t="n">
        <f aca="false">YEAR(B223)</f>
        <v>2011</v>
      </c>
      <c r="AC223" s="35" t="str">
        <f aca="false">TEXT(B223, "mmmm")</f>
        <v>January</v>
      </c>
      <c r="AD223" s="37" t="n">
        <f aca="false">LEN(TEXT(B223, "YYYY-MM-DD"))</f>
        <v>10</v>
      </c>
      <c r="AE223" s="39" t="str">
        <f aca="false">LEFT(TEXT(B223, "YYYY-MM-DD"), 4)</f>
        <v>2011</v>
      </c>
      <c r="AF223" s="39" t="str">
        <f aca="false">RIGHT(TEXT(B223, "YYYY-MM-DD"), 2)</f>
        <v>10</v>
      </c>
    </row>
    <row r="224" customFormat="false" ht="15" hidden="false" customHeight="false" outlineLevel="0" collapsed="false">
      <c r="A224" s="43" t="n">
        <v>220</v>
      </c>
      <c r="B224" s="44" t="s">
        <v>86</v>
      </c>
      <c r="C224" s="43" t="n">
        <v>1</v>
      </c>
      <c r="D224" s="33" t="str">
        <f aca="false">VLOOKUP(C224, Lookups_Metadata!$A$4:$B$7, 2, FALSE())</f>
        <v>Spring</v>
      </c>
      <c r="E224" s="43" t="n">
        <v>0</v>
      </c>
      <c r="F224" s="43" t="n">
        <v>1</v>
      </c>
      <c r="G224" s="43" t="n">
        <v>10</v>
      </c>
      <c r="H224" s="45" t="b">
        <f aca="false">FALSE()</f>
        <v>0</v>
      </c>
      <c r="I224" s="43" t="n">
        <v>1</v>
      </c>
      <c r="J224" s="33" t="str">
        <f aca="false">INDEX(Lookups_Metadata!$E$4:$E$10, MATCH(I224, Lookups_Metadata!$D$4:$D$10, 0))</f>
        <v>Monday</v>
      </c>
      <c r="K224" s="33" t="str">
        <f aca="false">IF(H224=TRUE(), "Holiday", IF(OR(I224=0, I224=6), "Weekend", "Weekday"))</f>
        <v>Weekday</v>
      </c>
      <c r="L224" s="33" t="str">
        <f aca="false">IF(AND(K224="Weekday", OR(AND(G224&gt;=7, G224&lt;=9), AND(G224&gt;=17, G224&lt;=19))), "Peak Commute", "Off-Peak")</f>
        <v>Off-Peak</v>
      </c>
      <c r="M224" s="43" t="n">
        <v>2</v>
      </c>
      <c r="N224" s="33" t="str">
        <f aca="false">VLOOKUP(M224, Lookups_Metadata!$G$4:$H$7, 2, FALSE())</f>
        <v>Mist / Cloudy</v>
      </c>
      <c r="O224" s="46" t="n">
        <v>0.14</v>
      </c>
      <c r="P224" s="46" t="n">
        <v>0.1212</v>
      </c>
      <c r="Q224" s="46" t="n">
        <f aca="false">IF(OR(P224="", ISBLANK(P224)), ROUND(0.9367*O224+0.0175, 4), P224)</f>
        <v>0.1212</v>
      </c>
      <c r="R224" s="33" t="str">
        <f aca="false">IF(OR(P224="", ISBLANK(P224)), "Imputed (Regression/Trend)", "Original")</f>
        <v>Original</v>
      </c>
      <c r="S224" s="46" t="n">
        <v>0.5</v>
      </c>
      <c r="T224" s="46" t="n">
        <v>0.2985</v>
      </c>
      <c r="U224" s="18" t="n">
        <v>0</v>
      </c>
      <c r="V224" s="18" t="n">
        <v>31</v>
      </c>
      <c r="W224" s="18" t="n">
        <f aca="false">U224+V224</f>
        <v>31</v>
      </c>
      <c r="X224" s="47" t="n">
        <f aca="false">U224/W224</f>
        <v>0</v>
      </c>
      <c r="Y224" s="47" t="n">
        <f aca="false">V224/W224</f>
        <v>1</v>
      </c>
      <c r="Z224" s="33" t="str">
        <f aca="false">IF(W224&gt;=150, "High Demand", IF(W224&gt;=50, "Moderate Demand", "Low Demand"))</f>
        <v>Low Demand</v>
      </c>
      <c r="AA224" s="45" t="str">
        <f aca="false">TEXT(G224, "00") &amp; ":00"</f>
        <v>10:00</v>
      </c>
      <c r="AB224" s="43" t="n">
        <f aca="false">YEAR(B224)</f>
        <v>2011</v>
      </c>
      <c r="AC224" s="33" t="str">
        <f aca="false">TEXT(B224, "mmmm")</f>
        <v>January</v>
      </c>
      <c r="AD224" s="43" t="n">
        <f aca="false">LEN(TEXT(B224, "YYYY-MM-DD"))</f>
        <v>10</v>
      </c>
      <c r="AE224" s="45" t="str">
        <f aca="false">LEFT(TEXT(B224, "YYYY-MM-DD"), 4)</f>
        <v>2011</v>
      </c>
      <c r="AF224" s="45" t="str">
        <f aca="false">RIGHT(TEXT(B224, "YYYY-MM-DD"), 2)</f>
        <v>10</v>
      </c>
    </row>
    <row r="225" customFormat="false" ht="15" hidden="false" customHeight="false" outlineLevel="0" collapsed="false">
      <c r="A225" s="37" t="n">
        <v>221</v>
      </c>
      <c r="B225" s="38" t="s">
        <v>86</v>
      </c>
      <c r="C225" s="37" t="n">
        <v>1</v>
      </c>
      <c r="D225" s="35" t="str">
        <f aca="false">VLOOKUP(C225, Lookups_Metadata!$A$4:$B$7, 2, FALSE())</f>
        <v>Spring</v>
      </c>
      <c r="E225" s="37" t="n">
        <v>0</v>
      </c>
      <c r="F225" s="37" t="n">
        <v>1</v>
      </c>
      <c r="G225" s="37" t="n">
        <v>11</v>
      </c>
      <c r="H225" s="39" t="b">
        <f aca="false">FALSE()</f>
        <v>0</v>
      </c>
      <c r="I225" s="37" t="n">
        <v>1</v>
      </c>
      <c r="J225" s="35" t="str">
        <f aca="false">INDEX(Lookups_Metadata!$E$4:$E$10, MATCH(I225, Lookups_Metadata!$D$4:$D$10, 0))</f>
        <v>Monday</v>
      </c>
      <c r="K225" s="35" t="str">
        <f aca="false">IF(H225=TRUE(), "Holiday", IF(OR(I225=0, I225=6), "Weekend", "Weekday"))</f>
        <v>Weekday</v>
      </c>
      <c r="L225" s="35" t="str">
        <f aca="false">IF(AND(K225="Weekday", OR(AND(G225&gt;=7, G225&lt;=9), AND(G225&gt;=17, G225&lt;=19))), "Peak Commute", "Off-Peak")</f>
        <v>Off-Peak</v>
      </c>
      <c r="M225" s="37" t="n">
        <v>2</v>
      </c>
      <c r="N225" s="35" t="str">
        <f aca="false">VLOOKUP(M225, Lookups_Metadata!$G$4:$H$7, 2, FALSE())</f>
        <v>Mist / Cloudy</v>
      </c>
      <c r="O225" s="40" t="n">
        <v>0.16</v>
      </c>
      <c r="P225" s="40" t="n">
        <v>0.1364</v>
      </c>
      <c r="Q225" s="40" t="n">
        <f aca="false">IF(OR(P225="", ISBLANK(P225)), ROUND(0.9367*O225+0.0175, 4), P225)</f>
        <v>0.1364</v>
      </c>
      <c r="R225" s="35" t="str">
        <f aca="false">IF(OR(P225="", ISBLANK(P225)), "Imputed (Regression/Trend)", "Original")</f>
        <v>Original</v>
      </c>
      <c r="S225" s="40" t="n">
        <v>0.47</v>
      </c>
      <c r="T225" s="40" t="n">
        <v>0.2836</v>
      </c>
      <c r="U225" s="41" t="n">
        <v>2</v>
      </c>
      <c r="V225" s="41" t="n">
        <v>28</v>
      </c>
      <c r="W225" s="41" t="n">
        <f aca="false">U225+V225</f>
        <v>30</v>
      </c>
      <c r="X225" s="42" t="n">
        <f aca="false">U225/W225</f>
        <v>0.0666666666666667</v>
      </c>
      <c r="Y225" s="42" t="n">
        <f aca="false">V225/W225</f>
        <v>0.933333333333333</v>
      </c>
      <c r="Z225" s="35" t="str">
        <f aca="false">IF(W225&gt;=150, "High Demand", IF(W225&gt;=50, "Moderate Demand", "Low Demand"))</f>
        <v>Low Demand</v>
      </c>
      <c r="AA225" s="39" t="str">
        <f aca="false">TEXT(G225, "00") &amp; ":00"</f>
        <v>11:00</v>
      </c>
      <c r="AB225" s="37" t="n">
        <f aca="false">YEAR(B225)</f>
        <v>2011</v>
      </c>
      <c r="AC225" s="35" t="str">
        <f aca="false">TEXT(B225, "mmmm")</f>
        <v>January</v>
      </c>
      <c r="AD225" s="37" t="n">
        <f aca="false">LEN(TEXT(B225, "YYYY-MM-DD"))</f>
        <v>10</v>
      </c>
      <c r="AE225" s="39" t="str">
        <f aca="false">LEFT(TEXT(B225, "YYYY-MM-DD"), 4)</f>
        <v>2011</v>
      </c>
      <c r="AF225" s="39" t="str">
        <f aca="false">RIGHT(TEXT(B225, "YYYY-MM-DD"), 2)</f>
        <v>10</v>
      </c>
    </row>
    <row r="226" customFormat="false" ht="15" hidden="false" customHeight="false" outlineLevel="0" collapsed="false">
      <c r="A226" s="43" t="n">
        <v>222</v>
      </c>
      <c r="B226" s="44" t="s">
        <v>86</v>
      </c>
      <c r="C226" s="43" t="n">
        <v>1</v>
      </c>
      <c r="D226" s="33" t="str">
        <f aca="false">VLOOKUP(C226, Lookups_Metadata!$A$4:$B$7, 2, FALSE())</f>
        <v>Spring</v>
      </c>
      <c r="E226" s="43" t="n">
        <v>0</v>
      </c>
      <c r="F226" s="43" t="n">
        <v>1</v>
      </c>
      <c r="G226" s="43" t="n">
        <v>12</v>
      </c>
      <c r="H226" s="45" t="b">
        <f aca="false">FALSE()</f>
        <v>0</v>
      </c>
      <c r="I226" s="43" t="n">
        <v>1</v>
      </c>
      <c r="J226" s="33" t="str">
        <f aca="false">INDEX(Lookups_Metadata!$E$4:$E$10, MATCH(I226, Lookups_Metadata!$D$4:$D$10, 0))</f>
        <v>Monday</v>
      </c>
      <c r="K226" s="33" t="str">
        <f aca="false">IF(H226=TRUE(), "Holiday", IF(OR(I226=0, I226=6), "Weekend", "Weekday"))</f>
        <v>Weekday</v>
      </c>
      <c r="L226" s="33" t="str">
        <f aca="false">IF(AND(K226="Weekday", OR(AND(G226&gt;=7, G226&lt;=9), AND(G226&gt;=17, G226&lt;=19))), "Peak Commute", "Off-Peak")</f>
        <v>Off-Peak</v>
      </c>
      <c r="M226" s="43" t="n">
        <v>2</v>
      </c>
      <c r="N226" s="33" t="str">
        <f aca="false">VLOOKUP(M226, Lookups_Metadata!$G$4:$H$7, 2, FALSE())</f>
        <v>Mist / Cloudy</v>
      </c>
      <c r="O226" s="46" t="n">
        <v>0.2</v>
      </c>
      <c r="P226" s="46" t="n">
        <v>0.1818</v>
      </c>
      <c r="Q226" s="46" t="n">
        <f aca="false">IF(OR(P226="", ISBLANK(P226)), ROUND(0.9367*O226+0.0175, 4), P226)</f>
        <v>0.1818</v>
      </c>
      <c r="R226" s="33" t="str">
        <f aca="false">IF(OR(P226="", ISBLANK(P226)), "Imputed (Regression/Trend)", "Original")</f>
        <v>Original</v>
      </c>
      <c r="S226" s="46" t="n">
        <v>0.4</v>
      </c>
      <c r="T226" s="46" t="n">
        <v>0.2836</v>
      </c>
      <c r="U226" s="18" t="n">
        <v>5</v>
      </c>
      <c r="V226" s="18" t="n">
        <v>47</v>
      </c>
      <c r="W226" s="18" t="n">
        <f aca="false">U226+V226</f>
        <v>52</v>
      </c>
      <c r="X226" s="47" t="n">
        <f aca="false">U226/W226</f>
        <v>0.0961538461538462</v>
      </c>
      <c r="Y226" s="47" t="n">
        <f aca="false">V226/W226</f>
        <v>0.903846153846154</v>
      </c>
      <c r="Z226" s="33" t="str">
        <f aca="false">IF(W226&gt;=150, "High Demand", IF(W226&gt;=50, "Moderate Demand", "Low Demand"))</f>
        <v>Moderate Demand</v>
      </c>
      <c r="AA226" s="45" t="str">
        <f aca="false">TEXT(G226, "00") &amp; ":00"</f>
        <v>12:00</v>
      </c>
      <c r="AB226" s="43" t="n">
        <f aca="false">YEAR(B226)</f>
        <v>2011</v>
      </c>
      <c r="AC226" s="33" t="str">
        <f aca="false">TEXT(B226, "mmmm")</f>
        <v>January</v>
      </c>
      <c r="AD226" s="43" t="n">
        <f aca="false">LEN(TEXT(B226, "YYYY-MM-DD"))</f>
        <v>10</v>
      </c>
      <c r="AE226" s="45" t="str">
        <f aca="false">LEFT(TEXT(B226, "YYYY-MM-DD"), 4)</f>
        <v>2011</v>
      </c>
      <c r="AF226" s="45" t="str">
        <f aca="false">RIGHT(TEXT(B226, "YYYY-MM-DD"), 2)</f>
        <v>10</v>
      </c>
    </row>
    <row r="227" customFormat="false" ht="15" hidden="false" customHeight="false" outlineLevel="0" collapsed="false">
      <c r="A227" s="37" t="n">
        <v>223</v>
      </c>
      <c r="B227" s="38" t="s">
        <v>86</v>
      </c>
      <c r="C227" s="37" t="n">
        <v>1</v>
      </c>
      <c r="D227" s="35" t="str">
        <f aca="false">VLOOKUP(C227, Lookups_Metadata!$A$4:$B$7, 2, FALSE())</f>
        <v>Spring</v>
      </c>
      <c r="E227" s="37" t="n">
        <v>0</v>
      </c>
      <c r="F227" s="37" t="n">
        <v>1</v>
      </c>
      <c r="G227" s="37" t="n">
        <v>13</v>
      </c>
      <c r="H227" s="39" t="b">
        <f aca="false">FALSE()</f>
        <v>0</v>
      </c>
      <c r="I227" s="37" t="n">
        <v>1</v>
      </c>
      <c r="J227" s="35" t="str">
        <f aca="false">INDEX(Lookups_Metadata!$E$4:$E$10, MATCH(I227, Lookups_Metadata!$D$4:$D$10, 0))</f>
        <v>Monday</v>
      </c>
      <c r="K227" s="35" t="str">
        <f aca="false">IF(H227=TRUE(), "Holiday", IF(OR(I227=0, I227=6), "Weekend", "Weekday"))</f>
        <v>Weekday</v>
      </c>
      <c r="L227" s="35" t="str">
        <f aca="false">IF(AND(K227="Weekday", OR(AND(G227&gt;=7, G227&lt;=9), AND(G227&gt;=17, G227&lt;=19))), "Peak Commute", "Off-Peak")</f>
        <v>Off-Peak</v>
      </c>
      <c r="M227" s="37" t="n">
        <v>2</v>
      </c>
      <c r="N227" s="35" t="str">
        <f aca="false">VLOOKUP(M227, Lookups_Metadata!$G$4:$H$7, 2, FALSE())</f>
        <v>Mist / Cloudy</v>
      </c>
      <c r="O227" s="40" t="n">
        <v>0.2</v>
      </c>
      <c r="P227" s="40" t="n">
        <v>0.1818</v>
      </c>
      <c r="Q227" s="40" t="n">
        <f aca="false">IF(OR(P227="", ISBLANK(P227)), ROUND(0.9367*O227+0.0175, 4), P227)</f>
        <v>0.1818</v>
      </c>
      <c r="R227" s="35" t="str">
        <f aca="false">IF(OR(P227="", ISBLANK(P227)), "Imputed (Regression/Trend)", "Original")</f>
        <v>Original</v>
      </c>
      <c r="S227" s="40" t="n">
        <v>0.4</v>
      </c>
      <c r="T227" s="40" t="n">
        <v>0.2836</v>
      </c>
      <c r="U227" s="41" t="n">
        <v>4</v>
      </c>
      <c r="V227" s="41" t="n">
        <v>50</v>
      </c>
      <c r="W227" s="41" t="n">
        <f aca="false">U227+V227</f>
        <v>54</v>
      </c>
      <c r="X227" s="42" t="n">
        <f aca="false">U227/W227</f>
        <v>0.0740740740740741</v>
      </c>
      <c r="Y227" s="42" t="n">
        <f aca="false">V227/W227</f>
        <v>0.925925925925926</v>
      </c>
      <c r="Z227" s="35" t="str">
        <f aca="false">IF(W227&gt;=150, "High Demand", IF(W227&gt;=50, "Moderate Demand", "Low Demand"))</f>
        <v>Moderate Demand</v>
      </c>
      <c r="AA227" s="39" t="str">
        <f aca="false">TEXT(G227, "00") &amp; ":00"</f>
        <v>13:00</v>
      </c>
      <c r="AB227" s="37" t="n">
        <f aca="false">YEAR(B227)</f>
        <v>2011</v>
      </c>
      <c r="AC227" s="35" t="str">
        <f aca="false">TEXT(B227, "mmmm")</f>
        <v>January</v>
      </c>
      <c r="AD227" s="37" t="n">
        <f aca="false">LEN(TEXT(B227, "YYYY-MM-DD"))</f>
        <v>10</v>
      </c>
      <c r="AE227" s="39" t="str">
        <f aca="false">LEFT(TEXT(B227, "YYYY-MM-DD"), 4)</f>
        <v>2011</v>
      </c>
      <c r="AF227" s="39" t="str">
        <f aca="false">RIGHT(TEXT(B227, "YYYY-MM-DD"), 2)</f>
        <v>10</v>
      </c>
    </row>
    <row r="228" customFormat="false" ht="15" hidden="false" customHeight="false" outlineLevel="0" collapsed="false">
      <c r="A228" s="43" t="n">
        <v>224</v>
      </c>
      <c r="B228" s="44" t="s">
        <v>86</v>
      </c>
      <c r="C228" s="43" t="n">
        <v>1</v>
      </c>
      <c r="D228" s="33" t="str">
        <f aca="false">VLOOKUP(C228, Lookups_Metadata!$A$4:$B$7, 2, FALSE())</f>
        <v>Spring</v>
      </c>
      <c r="E228" s="43" t="n">
        <v>0</v>
      </c>
      <c r="F228" s="43" t="n">
        <v>1</v>
      </c>
      <c r="G228" s="43" t="n">
        <v>14</v>
      </c>
      <c r="H228" s="45" t="b">
        <f aca="false">FALSE()</f>
        <v>0</v>
      </c>
      <c r="I228" s="43" t="n">
        <v>1</v>
      </c>
      <c r="J228" s="33" t="str">
        <f aca="false">INDEX(Lookups_Metadata!$E$4:$E$10, MATCH(I228, Lookups_Metadata!$D$4:$D$10, 0))</f>
        <v>Monday</v>
      </c>
      <c r="K228" s="33" t="str">
        <f aca="false">IF(H228=TRUE(), "Holiday", IF(OR(I228=0, I228=6), "Weekend", "Weekday"))</f>
        <v>Weekday</v>
      </c>
      <c r="L228" s="33" t="str">
        <f aca="false">IF(AND(K228="Weekday", OR(AND(G228&gt;=7, G228&lt;=9), AND(G228&gt;=17, G228&lt;=19))), "Peak Commute", "Off-Peak")</f>
        <v>Off-Peak</v>
      </c>
      <c r="M228" s="43" t="n">
        <v>2</v>
      </c>
      <c r="N228" s="33" t="str">
        <f aca="false">VLOOKUP(M228, Lookups_Metadata!$G$4:$H$7, 2, FALSE())</f>
        <v>Mist / Cloudy</v>
      </c>
      <c r="O228" s="46" t="n">
        <v>0.2</v>
      </c>
      <c r="P228" s="46" t="n">
        <v>0.197</v>
      </c>
      <c r="Q228" s="46" t="n">
        <f aca="false">IF(OR(P228="", ISBLANK(P228)), ROUND(0.9367*O228+0.0175, 4), P228)</f>
        <v>0.197</v>
      </c>
      <c r="R228" s="33" t="str">
        <f aca="false">IF(OR(P228="", ISBLANK(P228)), "Imputed (Regression/Trend)", "Original")</f>
        <v>Original</v>
      </c>
      <c r="S228" s="46" t="n">
        <v>0.4</v>
      </c>
      <c r="T228" s="46" t="n">
        <v>0.2239</v>
      </c>
      <c r="U228" s="18" t="n">
        <v>0</v>
      </c>
      <c r="V228" s="18" t="n">
        <v>47</v>
      </c>
      <c r="W228" s="18" t="n">
        <f aca="false">U228+V228</f>
        <v>47</v>
      </c>
      <c r="X228" s="47" t="n">
        <f aca="false">U228/W228</f>
        <v>0</v>
      </c>
      <c r="Y228" s="47" t="n">
        <f aca="false">V228/W228</f>
        <v>1</v>
      </c>
      <c r="Z228" s="33" t="str">
        <f aca="false">IF(W228&gt;=150, "High Demand", IF(W228&gt;=50, "Moderate Demand", "Low Demand"))</f>
        <v>Low Demand</v>
      </c>
      <c r="AA228" s="45" t="str">
        <f aca="false">TEXT(G228, "00") &amp; ":00"</f>
        <v>14:00</v>
      </c>
      <c r="AB228" s="43" t="n">
        <f aca="false">YEAR(B228)</f>
        <v>2011</v>
      </c>
      <c r="AC228" s="33" t="str">
        <f aca="false">TEXT(B228, "mmmm")</f>
        <v>January</v>
      </c>
      <c r="AD228" s="43" t="n">
        <f aca="false">LEN(TEXT(B228, "YYYY-MM-DD"))</f>
        <v>10</v>
      </c>
      <c r="AE228" s="45" t="str">
        <f aca="false">LEFT(TEXT(B228, "YYYY-MM-DD"), 4)</f>
        <v>2011</v>
      </c>
      <c r="AF228" s="45" t="str">
        <f aca="false">RIGHT(TEXT(B228, "YYYY-MM-DD"), 2)</f>
        <v>10</v>
      </c>
    </row>
    <row r="229" customFormat="false" ht="15" hidden="false" customHeight="false" outlineLevel="0" collapsed="false">
      <c r="A229" s="37" t="n">
        <v>225</v>
      </c>
      <c r="B229" s="38" t="s">
        <v>86</v>
      </c>
      <c r="C229" s="37" t="n">
        <v>1</v>
      </c>
      <c r="D229" s="35" t="str">
        <f aca="false">VLOOKUP(C229, Lookups_Metadata!$A$4:$B$7, 2, FALSE())</f>
        <v>Spring</v>
      </c>
      <c r="E229" s="37" t="n">
        <v>0</v>
      </c>
      <c r="F229" s="37" t="n">
        <v>1</v>
      </c>
      <c r="G229" s="37" t="n">
        <v>15</v>
      </c>
      <c r="H229" s="39" t="b">
        <f aca="false">FALSE()</f>
        <v>0</v>
      </c>
      <c r="I229" s="37" t="n">
        <v>1</v>
      </c>
      <c r="J229" s="35" t="str">
        <f aca="false">INDEX(Lookups_Metadata!$E$4:$E$10, MATCH(I229, Lookups_Metadata!$D$4:$D$10, 0))</f>
        <v>Monday</v>
      </c>
      <c r="K229" s="35" t="str">
        <f aca="false">IF(H229=TRUE(), "Holiday", IF(OR(I229=0, I229=6), "Weekend", "Weekday"))</f>
        <v>Weekday</v>
      </c>
      <c r="L229" s="35" t="str">
        <f aca="false">IF(AND(K229="Weekday", OR(AND(G229&gt;=7, G229&lt;=9), AND(G229&gt;=17, G229&lt;=19))), "Peak Commute", "Off-Peak")</f>
        <v>Off-Peak</v>
      </c>
      <c r="M229" s="37" t="n">
        <v>2</v>
      </c>
      <c r="N229" s="35" t="str">
        <f aca="false">VLOOKUP(M229, Lookups_Metadata!$G$4:$H$7, 2, FALSE())</f>
        <v>Mist / Cloudy</v>
      </c>
      <c r="O229" s="40" t="n">
        <v>0.2</v>
      </c>
      <c r="P229" s="40" t="n">
        <v>0.197</v>
      </c>
      <c r="Q229" s="40" t="n">
        <f aca="false">IF(OR(P229="", ISBLANK(P229)), ROUND(0.9367*O229+0.0175, 4), P229)</f>
        <v>0.197</v>
      </c>
      <c r="R229" s="35" t="str">
        <f aca="false">IF(OR(P229="", ISBLANK(P229)), "Imputed (Regression/Trend)", "Original")</f>
        <v>Original</v>
      </c>
      <c r="S229" s="40" t="n">
        <v>0.4</v>
      </c>
      <c r="T229" s="40" t="n">
        <v>0.2239</v>
      </c>
      <c r="U229" s="41" t="n">
        <v>2</v>
      </c>
      <c r="V229" s="41" t="n">
        <v>43</v>
      </c>
      <c r="W229" s="41" t="n">
        <f aca="false">U229+V229</f>
        <v>45</v>
      </c>
      <c r="X229" s="42" t="n">
        <f aca="false">U229/W229</f>
        <v>0.0444444444444444</v>
      </c>
      <c r="Y229" s="42" t="n">
        <f aca="false">V229/W229</f>
        <v>0.955555555555556</v>
      </c>
      <c r="Z229" s="35" t="str">
        <f aca="false">IF(W229&gt;=150, "High Demand", IF(W229&gt;=50, "Moderate Demand", "Low Demand"))</f>
        <v>Low Demand</v>
      </c>
      <c r="AA229" s="39" t="str">
        <f aca="false">TEXT(G229, "00") &amp; ":00"</f>
        <v>15:00</v>
      </c>
      <c r="AB229" s="37" t="n">
        <f aca="false">YEAR(B229)</f>
        <v>2011</v>
      </c>
      <c r="AC229" s="35" t="str">
        <f aca="false">TEXT(B229, "mmmm")</f>
        <v>January</v>
      </c>
      <c r="AD229" s="37" t="n">
        <f aca="false">LEN(TEXT(B229, "YYYY-MM-DD"))</f>
        <v>10</v>
      </c>
      <c r="AE229" s="39" t="str">
        <f aca="false">LEFT(TEXT(B229, "YYYY-MM-DD"), 4)</f>
        <v>2011</v>
      </c>
      <c r="AF229" s="39" t="str">
        <f aca="false">RIGHT(TEXT(B229, "YYYY-MM-DD"), 2)</f>
        <v>10</v>
      </c>
    </row>
    <row r="230" customFormat="false" ht="15" hidden="false" customHeight="false" outlineLevel="0" collapsed="false">
      <c r="A230" s="43" t="n">
        <v>226</v>
      </c>
      <c r="B230" s="44" t="s">
        <v>86</v>
      </c>
      <c r="C230" s="43" t="n">
        <v>1</v>
      </c>
      <c r="D230" s="33" t="str">
        <f aca="false">VLOOKUP(C230, Lookups_Metadata!$A$4:$B$7, 2, FALSE())</f>
        <v>Spring</v>
      </c>
      <c r="E230" s="43" t="n">
        <v>0</v>
      </c>
      <c r="F230" s="43" t="n">
        <v>1</v>
      </c>
      <c r="G230" s="43" t="n">
        <v>16</v>
      </c>
      <c r="H230" s="45" t="b">
        <f aca="false">FALSE()</f>
        <v>0</v>
      </c>
      <c r="I230" s="43" t="n">
        <v>1</v>
      </c>
      <c r="J230" s="33" t="str">
        <f aca="false">INDEX(Lookups_Metadata!$E$4:$E$10, MATCH(I230, Lookups_Metadata!$D$4:$D$10, 0))</f>
        <v>Monday</v>
      </c>
      <c r="K230" s="33" t="str">
        <f aca="false">IF(H230=TRUE(), "Holiday", IF(OR(I230=0, I230=6), "Weekend", "Weekday"))</f>
        <v>Weekday</v>
      </c>
      <c r="L230" s="33" t="str">
        <f aca="false">IF(AND(K230="Weekday", OR(AND(G230&gt;=7, G230&lt;=9), AND(G230&gt;=17, G230&lt;=19))), "Peak Commute", "Off-Peak")</f>
        <v>Off-Peak</v>
      </c>
      <c r="M230" s="43" t="n">
        <v>1</v>
      </c>
      <c r="N230" s="33" t="str">
        <f aca="false">VLOOKUP(M230, Lookups_Metadata!$G$4:$H$7, 2, FALSE())</f>
        <v>Clear / Few Clouds</v>
      </c>
      <c r="O230" s="46" t="n">
        <v>0.2</v>
      </c>
      <c r="P230" s="46" t="n">
        <v>0.2121</v>
      </c>
      <c r="Q230" s="46" t="n">
        <f aca="false">IF(OR(P230="", ISBLANK(P230)), ROUND(0.9367*O230+0.0175, 4), P230)</f>
        <v>0.2121</v>
      </c>
      <c r="R230" s="33" t="str">
        <f aca="false">IF(OR(P230="", ISBLANK(P230)), "Imputed (Regression/Trend)", "Original")</f>
        <v>Original</v>
      </c>
      <c r="S230" s="46" t="n">
        <v>0.4</v>
      </c>
      <c r="T230" s="46" t="n">
        <v>0.1343</v>
      </c>
      <c r="U230" s="18" t="n">
        <v>4</v>
      </c>
      <c r="V230" s="18" t="n">
        <v>70</v>
      </c>
      <c r="W230" s="18" t="n">
        <f aca="false">U230+V230</f>
        <v>74</v>
      </c>
      <c r="X230" s="47" t="n">
        <f aca="false">U230/W230</f>
        <v>0.0540540540540541</v>
      </c>
      <c r="Y230" s="47" t="n">
        <f aca="false">V230/W230</f>
        <v>0.945945945945946</v>
      </c>
      <c r="Z230" s="33" t="str">
        <f aca="false">IF(W230&gt;=150, "High Demand", IF(W230&gt;=50, "Moderate Demand", "Low Demand"))</f>
        <v>Moderate Demand</v>
      </c>
      <c r="AA230" s="45" t="str">
        <f aca="false">TEXT(G230, "00") &amp; ":00"</f>
        <v>16:00</v>
      </c>
      <c r="AB230" s="43" t="n">
        <f aca="false">YEAR(B230)</f>
        <v>2011</v>
      </c>
      <c r="AC230" s="33" t="str">
        <f aca="false">TEXT(B230, "mmmm")</f>
        <v>January</v>
      </c>
      <c r="AD230" s="43" t="n">
        <f aca="false">LEN(TEXT(B230, "YYYY-MM-DD"))</f>
        <v>10</v>
      </c>
      <c r="AE230" s="45" t="str">
        <f aca="false">LEFT(TEXT(B230, "YYYY-MM-DD"), 4)</f>
        <v>2011</v>
      </c>
      <c r="AF230" s="45" t="str">
        <f aca="false">RIGHT(TEXT(B230, "YYYY-MM-DD"), 2)</f>
        <v>10</v>
      </c>
    </row>
    <row r="231" customFormat="false" ht="15" hidden="false" customHeight="false" outlineLevel="0" collapsed="false">
      <c r="A231" s="37" t="n">
        <v>227</v>
      </c>
      <c r="B231" s="38" t="s">
        <v>86</v>
      </c>
      <c r="C231" s="37" t="n">
        <v>1</v>
      </c>
      <c r="D231" s="35" t="str">
        <f aca="false">VLOOKUP(C231, Lookups_Metadata!$A$4:$B$7, 2, FALSE())</f>
        <v>Spring</v>
      </c>
      <c r="E231" s="37" t="n">
        <v>0</v>
      </c>
      <c r="F231" s="37" t="n">
        <v>1</v>
      </c>
      <c r="G231" s="37" t="n">
        <v>17</v>
      </c>
      <c r="H231" s="39" t="b">
        <f aca="false">FALSE()</f>
        <v>0</v>
      </c>
      <c r="I231" s="37" t="n">
        <v>1</v>
      </c>
      <c r="J231" s="35" t="str">
        <f aca="false">INDEX(Lookups_Metadata!$E$4:$E$10, MATCH(I231, Lookups_Metadata!$D$4:$D$10, 0))</f>
        <v>Monday</v>
      </c>
      <c r="K231" s="35" t="str">
        <f aca="false">IF(H231=TRUE(), "Holiday", IF(OR(I231=0, I231=6), "Weekend", "Weekday"))</f>
        <v>Weekday</v>
      </c>
      <c r="L231" s="35" t="str">
        <f aca="false">IF(AND(K231="Weekday", OR(AND(G231&gt;=7, G231&lt;=9), AND(G231&gt;=17, G231&lt;=19))), "Peak Commute", "Off-Peak")</f>
        <v>Peak Commute</v>
      </c>
      <c r="M231" s="37" t="n">
        <v>1</v>
      </c>
      <c r="N231" s="35" t="str">
        <f aca="false">VLOOKUP(M231, Lookups_Metadata!$G$4:$H$7, 2, FALSE())</f>
        <v>Clear / Few Clouds</v>
      </c>
      <c r="O231" s="40" t="n">
        <v>0.2</v>
      </c>
      <c r="P231" s="40" t="n">
        <v>0.2273</v>
      </c>
      <c r="Q231" s="40" t="n">
        <f aca="false">IF(OR(P231="", ISBLANK(P231)), ROUND(0.9367*O231+0.0175, 4), P231)</f>
        <v>0.2273</v>
      </c>
      <c r="R231" s="35" t="str">
        <f aca="false">IF(OR(P231="", ISBLANK(P231)), "Imputed (Regression/Trend)", "Original")</f>
        <v>Original</v>
      </c>
      <c r="S231" s="40" t="n">
        <v>0.4</v>
      </c>
      <c r="T231" s="40" t="n">
        <v>0.1045</v>
      </c>
      <c r="U231" s="41" t="n">
        <v>4</v>
      </c>
      <c r="V231" s="41" t="n">
        <v>174</v>
      </c>
      <c r="W231" s="41" t="n">
        <f aca="false">U231+V231</f>
        <v>178</v>
      </c>
      <c r="X231" s="42" t="n">
        <f aca="false">U231/W231</f>
        <v>0.0224719101123596</v>
      </c>
      <c r="Y231" s="42" t="n">
        <f aca="false">V231/W231</f>
        <v>0.97752808988764</v>
      </c>
      <c r="Z231" s="35" t="str">
        <f aca="false">IF(W231&gt;=150, "High Demand", IF(W231&gt;=50, "Moderate Demand", "Low Demand"))</f>
        <v>High Demand</v>
      </c>
      <c r="AA231" s="39" t="str">
        <f aca="false">TEXT(G231, "00") &amp; ":00"</f>
        <v>17:00</v>
      </c>
      <c r="AB231" s="37" t="n">
        <f aca="false">YEAR(B231)</f>
        <v>2011</v>
      </c>
      <c r="AC231" s="35" t="str">
        <f aca="false">TEXT(B231, "mmmm")</f>
        <v>January</v>
      </c>
      <c r="AD231" s="37" t="n">
        <f aca="false">LEN(TEXT(B231, "YYYY-MM-DD"))</f>
        <v>10</v>
      </c>
      <c r="AE231" s="39" t="str">
        <f aca="false">LEFT(TEXT(B231, "YYYY-MM-DD"), 4)</f>
        <v>2011</v>
      </c>
      <c r="AF231" s="39" t="str">
        <f aca="false">RIGHT(TEXT(B231, "YYYY-MM-DD"), 2)</f>
        <v>10</v>
      </c>
    </row>
    <row r="232" customFormat="false" ht="15" hidden="false" customHeight="false" outlineLevel="0" collapsed="false">
      <c r="A232" s="43" t="n">
        <v>228</v>
      </c>
      <c r="B232" s="44" t="s">
        <v>86</v>
      </c>
      <c r="C232" s="43" t="n">
        <v>1</v>
      </c>
      <c r="D232" s="33" t="str">
        <f aca="false">VLOOKUP(C232, Lookups_Metadata!$A$4:$B$7, 2, FALSE())</f>
        <v>Spring</v>
      </c>
      <c r="E232" s="43" t="n">
        <v>0</v>
      </c>
      <c r="F232" s="43" t="n">
        <v>1</v>
      </c>
      <c r="G232" s="43" t="n">
        <v>18</v>
      </c>
      <c r="H232" s="45" t="b">
        <f aca="false">FALSE()</f>
        <v>0</v>
      </c>
      <c r="I232" s="43" t="n">
        <v>1</v>
      </c>
      <c r="J232" s="33" t="str">
        <f aca="false">INDEX(Lookups_Metadata!$E$4:$E$10, MATCH(I232, Lookups_Metadata!$D$4:$D$10, 0))</f>
        <v>Monday</v>
      </c>
      <c r="K232" s="33" t="str">
        <f aca="false">IF(H232=TRUE(), "Holiday", IF(OR(I232=0, I232=6), "Weekend", "Weekday"))</f>
        <v>Weekday</v>
      </c>
      <c r="L232" s="33" t="str">
        <f aca="false">IF(AND(K232="Weekday", OR(AND(G232&gt;=7, G232&lt;=9), AND(G232&gt;=17, G232&lt;=19))), "Peak Commute", "Off-Peak")</f>
        <v>Peak Commute</v>
      </c>
      <c r="M232" s="43" t="n">
        <v>1</v>
      </c>
      <c r="N232" s="33" t="str">
        <f aca="false">VLOOKUP(M232, Lookups_Metadata!$G$4:$H$7, 2, FALSE())</f>
        <v>Clear / Few Clouds</v>
      </c>
      <c r="O232" s="46" t="n">
        <v>0.2</v>
      </c>
      <c r="P232" s="46" t="n">
        <v>0.197</v>
      </c>
      <c r="Q232" s="46" t="n">
        <f aca="false">IF(OR(P232="", ISBLANK(P232)), ROUND(0.9367*O232+0.0175, 4), P232)</f>
        <v>0.197</v>
      </c>
      <c r="R232" s="33" t="str">
        <f aca="false">IF(OR(P232="", ISBLANK(P232)), "Imputed (Regression/Trend)", "Original")</f>
        <v>Original</v>
      </c>
      <c r="S232" s="46" t="n">
        <v>0.4</v>
      </c>
      <c r="T232" s="46" t="n">
        <v>0.2239</v>
      </c>
      <c r="U232" s="18" t="n">
        <v>1</v>
      </c>
      <c r="V232" s="18" t="n">
        <v>154</v>
      </c>
      <c r="W232" s="18" t="n">
        <f aca="false">U232+V232</f>
        <v>155</v>
      </c>
      <c r="X232" s="47" t="n">
        <f aca="false">U232/W232</f>
        <v>0.00645161290322581</v>
      </c>
      <c r="Y232" s="47" t="n">
        <f aca="false">V232/W232</f>
        <v>0.993548387096774</v>
      </c>
      <c r="Z232" s="33" t="str">
        <f aca="false">IF(W232&gt;=150, "High Demand", IF(W232&gt;=50, "Moderate Demand", "Low Demand"))</f>
        <v>High Demand</v>
      </c>
      <c r="AA232" s="45" t="str">
        <f aca="false">TEXT(G232, "00") &amp; ":00"</f>
        <v>18:00</v>
      </c>
      <c r="AB232" s="43" t="n">
        <f aca="false">YEAR(B232)</f>
        <v>2011</v>
      </c>
      <c r="AC232" s="33" t="str">
        <f aca="false">TEXT(B232, "mmmm")</f>
        <v>January</v>
      </c>
      <c r="AD232" s="43" t="n">
        <f aca="false">LEN(TEXT(B232, "YYYY-MM-DD"))</f>
        <v>10</v>
      </c>
      <c r="AE232" s="45" t="str">
        <f aca="false">LEFT(TEXT(B232, "YYYY-MM-DD"), 4)</f>
        <v>2011</v>
      </c>
      <c r="AF232" s="45" t="str">
        <f aca="false">RIGHT(TEXT(B232, "YYYY-MM-DD"), 2)</f>
        <v>10</v>
      </c>
    </row>
    <row r="233" customFormat="false" ht="15" hidden="false" customHeight="false" outlineLevel="0" collapsed="false">
      <c r="A233" s="37" t="n">
        <v>229</v>
      </c>
      <c r="B233" s="38" t="s">
        <v>86</v>
      </c>
      <c r="C233" s="37" t="n">
        <v>1</v>
      </c>
      <c r="D233" s="35" t="str">
        <f aca="false">VLOOKUP(C233, Lookups_Metadata!$A$4:$B$7, 2, FALSE())</f>
        <v>Spring</v>
      </c>
      <c r="E233" s="37" t="n">
        <v>0</v>
      </c>
      <c r="F233" s="37" t="n">
        <v>1</v>
      </c>
      <c r="G233" s="37" t="n">
        <v>19</v>
      </c>
      <c r="H233" s="39" t="b">
        <f aca="false">FALSE()</f>
        <v>0</v>
      </c>
      <c r="I233" s="37" t="n">
        <v>1</v>
      </c>
      <c r="J233" s="35" t="str">
        <f aca="false">INDEX(Lookups_Metadata!$E$4:$E$10, MATCH(I233, Lookups_Metadata!$D$4:$D$10, 0))</f>
        <v>Monday</v>
      </c>
      <c r="K233" s="35" t="str">
        <f aca="false">IF(H233=TRUE(), "Holiday", IF(OR(I233=0, I233=6), "Weekend", "Weekday"))</f>
        <v>Weekday</v>
      </c>
      <c r="L233" s="35" t="str">
        <f aca="false">IF(AND(K233="Weekday", OR(AND(G233&gt;=7, G233&lt;=9), AND(G233&gt;=17, G233&lt;=19))), "Peak Commute", "Off-Peak")</f>
        <v>Peak Commute</v>
      </c>
      <c r="M233" s="37" t="n">
        <v>1</v>
      </c>
      <c r="N233" s="35" t="str">
        <f aca="false">VLOOKUP(M233, Lookups_Metadata!$G$4:$H$7, 2, FALSE())</f>
        <v>Clear / Few Clouds</v>
      </c>
      <c r="O233" s="40" t="n">
        <v>0.16</v>
      </c>
      <c r="P233" s="40" t="n">
        <v>0.1667</v>
      </c>
      <c r="Q233" s="40" t="n">
        <f aca="false">IF(OR(P233="", ISBLANK(P233)), ROUND(0.9367*O233+0.0175, 4), P233)</f>
        <v>0.1667</v>
      </c>
      <c r="R233" s="35" t="str">
        <f aca="false">IF(OR(P233="", ISBLANK(P233)), "Imputed (Regression/Trend)", "Original")</f>
        <v>Original</v>
      </c>
      <c r="S233" s="40" t="n">
        <v>0.47</v>
      </c>
      <c r="T233" s="40" t="n">
        <v>0.1642</v>
      </c>
      <c r="U233" s="41" t="n">
        <v>3</v>
      </c>
      <c r="V233" s="41" t="n">
        <v>92</v>
      </c>
      <c r="W233" s="41" t="n">
        <f aca="false">U233+V233</f>
        <v>95</v>
      </c>
      <c r="X233" s="42" t="n">
        <f aca="false">U233/W233</f>
        <v>0.0315789473684211</v>
      </c>
      <c r="Y233" s="42" t="n">
        <f aca="false">V233/W233</f>
        <v>0.968421052631579</v>
      </c>
      <c r="Z233" s="35" t="str">
        <f aca="false">IF(W233&gt;=150, "High Demand", IF(W233&gt;=50, "Moderate Demand", "Low Demand"))</f>
        <v>Moderate Demand</v>
      </c>
      <c r="AA233" s="39" t="str">
        <f aca="false">TEXT(G233, "00") &amp; ":00"</f>
        <v>19:00</v>
      </c>
      <c r="AB233" s="37" t="n">
        <f aca="false">YEAR(B233)</f>
        <v>2011</v>
      </c>
      <c r="AC233" s="35" t="str">
        <f aca="false">TEXT(B233, "mmmm")</f>
        <v>January</v>
      </c>
      <c r="AD233" s="37" t="n">
        <f aca="false">LEN(TEXT(B233, "YYYY-MM-DD"))</f>
        <v>10</v>
      </c>
      <c r="AE233" s="39" t="str">
        <f aca="false">LEFT(TEXT(B233, "YYYY-MM-DD"), 4)</f>
        <v>2011</v>
      </c>
      <c r="AF233" s="39" t="str">
        <f aca="false">RIGHT(TEXT(B233, "YYYY-MM-DD"), 2)</f>
        <v>10</v>
      </c>
    </row>
    <row r="234" customFormat="false" ht="15" hidden="false" customHeight="false" outlineLevel="0" collapsed="false">
      <c r="A234" s="43" t="n">
        <v>230</v>
      </c>
      <c r="B234" s="44" t="s">
        <v>86</v>
      </c>
      <c r="C234" s="43" t="n">
        <v>1</v>
      </c>
      <c r="D234" s="33" t="str">
        <f aca="false">VLOOKUP(C234, Lookups_Metadata!$A$4:$B$7, 2, FALSE())</f>
        <v>Spring</v>
      </c>
      <c r="E234" s="43" t="n">
        <v>0</v>
      </c>
      <c r="F234" s="43" t="n">
        <v>1</v>
      </c>
      <c r="G234" s="43" t="n">
        <v>20</v>
      </c>
      <c r="H234" s="45" t="b">
        <f aca="false">FALSE()</f>
        <v>0</v>
      </c>
      <c r="I234" s="43" t="n">
        <v>1</v>
      </c>
      <c r="J234" s="33" t="str">
        <f aca="false">INDEX(Lookups_Metadata!$E$4:$E$10, MATCH(I234, Lookups_Metadata!$D$4:$D$10, 0))</f>
        <v>Monday</v>
      </c>
      <c r="K234" s="33" t="str">
        <f aca="false">IF(H234=TRUE(), "Holiday", IF(OR(I234=0, I234=6), "Weekend", "Weekday"))</f>
        <v>Weekday</v>
      </c>
      <c r="L234" s="33" t="str">
        <f aca="false">IF(AND(K234="Weekday", OR(AND(G234&gt;=7, G234&lt;=9), AND(G234&gt;=17, G234&lt;=19))), "Peak Commute", "Off-Peak")</f>
        <v>Off-Peak</v>
      </c>
      <c r="M234" s="43" t="n">
        <v>1</v>
      </c>
      <c r="N234" s="33" t="str">
        <f aca="false">VLOOKUP(M234, Lookups_Metadata!$G$4:$H$7, 2, FALSE())</f>
        <v>Clear / Few Clouds</v>
      </c>
      <c r="O234" s="46" t="n">
        <v>0.16</v>
      </c>
      <c r="P234" s="46" t="n">
        <v>0.1667</v>
      </c>
      <c r="Q234" s="46" t="n">
        <f aca="false">IF(OR(P234="", ISBLANK(P234)), ROUND(0.9367*O234+0.0175, 4), P234)</f>
        <v>0.1667</v>
      </c>
      <c r="R234" s="33" t="str">
        <f aca="false">IF(OR(P234="", ISBLANK(P234)), "Imputed (Regression/Trend)", "Original")</f>
        <v>Original</v>
      </c>
      <c r="S234" s="46" t="n">
        <v>0.5</v>
      </c>
      <c r="T234" s="46" t="n">
        <v>0.1642</v>
      </c>
      <c r="U234" s="18" t="n">
        <v>1</v>
      </c>
      <c r="V234" s="18" t="n">
        <v>73</v>
      </c>
      <c r="W234" s="18" t="n">
        <f aca="false">U234+V234</f>
        <v>74</v>
      </c>
      <c r="X234" s="47" t="n">
        <f aca="false">U234/W234</f>
        <v>0.0135135135135135</v>
      </c>
      <c r="Y234" s="47" t="n">
        <f aca="false">V234/W234</f>
        <v>0.986486486486487</v>
      </c>
      <c r="Z234" s="33" t="str">
        <f aca="false">IF(W234&gt;=150, "High Demand", IF(W234&gt;=50, "Moderate Demand", "Low Demand"))</f>
        <v>Moderate Demand</v>
      </c>
      <c r="AA234" s="45" t="str">
        <f aca="false">TEXT(G234, "00") &amp; ":00"</f>
        <v>20:00</v>
      </c>
      <c r="AB234" s="43" t="n">
        <f aca="false">YEAR(B234)</f>
        <v>2011</v>
      </c>
      <c r="AC234" s="33" t="str">
        <f aca="false">TEXT(B234, "mmmm")</f>
        <v>January</v>
      </c>
      <c r="AD234" s="43" t="n">
        <f aca="false">LEN(TEXT(B234, "YYYY-MM-DD"))</f>
        <v>10</v>
      </c>
      <c r="AE234" s="45" t="str">
        <f aca="false">LEFT(TEXT(B234, "YYYY-MM-DD"), 4)</f>
        <v>2011</v>
      </c>
      <c r="AF234" s="45" t="str">
        <f aca="false">RIGHT(TEXT(B234, "YYYY-MM-DD"), 2)</f>
        <v>10</v>
      </c>
    </row>
    <row r="235" customFormat="false" ht="15" hidden="false" customHeight="false" outlineLevel="0" collapsed="false">
      <c r="A235" s="37" t="n">
        <v>231</v>
      </c>
      <c r="B235" s="38" t="s">
        <v>86</v>
      </c>
      <c r="C235" s="37" t="n">
        <v>1</v>
      </c>
      <c r="D235" s="35" t="str">
        <f aca="false">VLOOKUP(C235, Lookups_Metadata!$A$4:$B$7, 2, FALSE())</f>
        <v>Spring</v>
      </c>
      <c r="E235" s="37" t="n">
        <v>0</v>
      </c>
      <c r="F235" s="37" t="n">
        <v>1</v>
      </c>
      <c r="G235" s="37" t="n">
        <v>21</v>
      </c>
      <c r="H235" s="39" t="b">
        <f aca="false">FALSE()</f>
        <v>0</v>
      </c>
      <c r="I235" s="37" t="n">
        <v>1</v>
      </c>
      <c r="J235" s="35" t="str">
        <f aca="false">INDEX(Lookups_Metadata!$E$4:$E$10, MATCH(I235, Lookups_Metadata!$D$4:$D$10, 0))</f>
        <v>Monday</v>
      </c>
      <c r="K235" s="35" t="str">
        <f aca="false">IF(H235=TRUE(), "Holiday", IF(OR(I235=0, I235=6), "Weekend", "Weekday"))</f>
        <v>Weekday</v>
      </c>
      <c r="L235" s="35" t="str">
        <f aca="false">IF(AND(K235="Weekday", OR(AND(G235&gt;=7, G235&lt;=9), AND(G235&gt;=17, G235&lt;=19))), "Peak Commute", "Off-Peak")</f>
        <v>Off-Peak</v>
      </c>
      <c r="M235" s="37" t="n">
        <v>1</v>
      </c>
      <c r="N235" s="35" t="str">
        <f aca="false">VLOOKUP(M235, Lookups_Metadata!$G$4:$H$7, 2, FALSE())</f>
        <v>Clear / Few Clouds</v>
      </c>
      <c r="O235" s="40" t="n">
        <v>0.14</v>
      </c>
      <c r="P235" s="40" t="n">
        <v>0.1364</v>
      </c>
      <c r="Q235" s="40" t="n">
        <f aca="false">IF(OR(P235="", ISBLANK(P235)), ROUND(0.9367*O235+0.0175, 4), P235)</f>
        <v>0.1364</v>
      </c>
      <c r="R235" s="35" t="str">
        <f aca="false">IF(OR(P235="", ISBLANK(P235)), "Imputed (Regression/Trend)", "Original")</f>
        <v>Original</v>
      </c>
      <c r="S235" s="40" t="n">
        <v>0.59</v>
      </c>
      <c r="T235" s="40" t="n">
        <v>0.194</v>
      </c>
      <c r="U235" s="41" t="n">
        <v>1</v>
      </c>
      <c r="V235" s="41" t="n">
        <v>37</v>
      </c>
      <c r="W235" s="41" t="n">
        <f aca="false">U235+V235</f>
        <v>38</v>
      </c>
      <c r="X235" s="42" t="n">
        <f aca="false">U235/W235</f>
        <v>0.0263157894736842</v>
      </c>
      <c r="Y235" s="42" t="n">
        <f aca="false">V235/W235</f>
        <v>0.973684210526316</v>
      </c>
      <c r="Z235" s="35" t="str">
        <f aca="false">IF(W235&gt;=150, "High Demand", IF(W235&gt;=50, "Moderate Demand", "Low Demand"))</f>
        <v>Low Demand</v>
      </c>
      <c r="AA235" s="39" t="str">
        <f aca="false">TEXT(G235, "00") &amp; ":00"</f>
        <v>21:00</v>
      </c>
      <c r="AB235" s="37" t="n">
        <f aca="false">YEAR(B235)</f>
        <v>2011</v>
      </c>
      <c r="AC235" s="35" t="str">
        <f aca="false">TEXT(B235, "mmmm")</f>
        <v>January</v>
      </c>
      <c r="AD235" s="37" t="n">
        <f aca="false">LEN(TEXT(B235, "YYYY-MM-DD"))</f>
        <v>10</v>
      </c>
      <c r="AE235" s="39" t="str">
        <f aca="false">LEFT(TEXT(B235, "YYYY-MM-DD"), 4)</f>
        <v>2011</v>
      </c>
      <c r="AF235" s="39" t="str">
        <f aca="false">RIGHT(TEXT(B235, "YYYY-MM-DD"), 2)</f>
        <v>10</v>
      </c>
    </row>
    <row r="236" customFormat="false" ht="15" hidden="false" customHeight="false" outlineLevel="0" collapsed="false">
      <c r="A236" s="43" t="n">
        <v>232</v>
      </c>
      <c r="B236" s="44" t="s">
        <v>86</v>
      </c>
      <c r="C236" s="43" t="n">
        <v>1</v>
      </c>
      <c r="D236" s="33" t="str">
        <f aca="false">VLOOKUP(C236, Lookups_Metadata!$A$4:$B$7, 2, FALSE())</f>
        <v>Spring</v>
      </c>
      <c r="E236" s="43" t="n">
        <v>0</v>
      </c>
      <c r="F236" s="43" t="n">
        <v>1</v>
      </c>
      <c r="G236" s="43" t="n">
        <v>22</v>
      </c>
      <c r="H236" s="45" t="b">
        <f aca="false">FALSE()</f>
        <v>0</v>
      </c>
      <c r="I236" s="43" t="n">
        <v>1</v>
      </c>
      <c r="J236" s="33" t="str">
        <f aca="false">INDEX(Lookups_Metadata!$E$4:$E$10, MATCH(I236, Lookups_Metadata!$D$4:$D$10, 0))</f>
        <v>Monday</v>
      </c>
      <c r="K236" s="33" t="str">
        <f aca="false">IF(H236=TRUE(), "Holiday", IF(OR(I236=0, I236=6), "Weekend", "Weekday"))</f>
        <v>Weekday</v>
      </c>
      <c r="L236" s="33" t="str">
        <f aca="false">IF(AND(K236="Weekday", OR(AND(G236&gt;=7, G236&lt;=9), AND(G236&gt;=17, G236&lt;=19))), "Peak Commute", "Off-Peak")</f>
        <v>Off-Peak</v>
      </c>
      <c r="M236" s="43" t="n">
        <v>1</v>
      </c>
      <c r="N236" s="33" t="str">
        <f aca="false">VLOOKUP(M236, Lookups_Metadata!$G$4:$H$7, 2, FALSE())</f>
        <v>Clear / Few Clouds</v>
      </c>
      <c r="O236" s="46" t="n">
        <v>0.14</v>
      </c>
      <c r="P236" s="46" t="n">
        <v>0.1515</v>
      </c>
      <c r="Q236" s="46" t="n">
        <f aca="false">IF(OR(P236="", ISBLANK(P236)), ROUND(0.9367*O236+0.0175, 4), P236)</f>
        <v>0.1515</v>
      </c>
      <c r="R236" s="33" t="str">
        <f aca="false">IF(OR(P236="", ISBLANK(P236)), "Imputed (Regression/Trend)", "Original")</f>
        <v>Original</v>
      </c>
      <c r="S236" s="46" t="n">
        <v>0.59</v>
      </c>
      <c r="T236" s="46" t="n">
        <v>0.1642</v>
      </c>
      <c r="U236" s="18" t="n">
        <v>2</v>
      </c>
      <c r="V236" s="18" t="n">
        <v>22</v>
      </c>
      <c r="W236" s="18" t="n">
        <f aca="false">U236+V236</f>
        <v>24</v>
      </c>
      <c r="X236" s="47" t="n">
        <f aca="false">U236/W236</f>
        <v>0.0833333333333333</v>
      </c>
      <c r="Y236" s="47" t="n">
        <f aca="false">V236/W236</f>
        <v>0.916666666666667</v>
      </c>
      <c r="Z236" s="33" t="str">
        <f aca="false">IF(W236&gt;=150, "High Demand", IF(W236&gt;=50, "Moderate Demand", "Low Demand"))</f>
        <v>Low Demand</v>
      </c>
      <c r="AA236" s="45" t="str">
        <f aca="false">TEXT(G236, "00") &amp; ":00"</f>
        <v>22:00</v>
      </c>
      <c r="AB236" s="43" t="n">
        <f aca="false">YEAR(B236)</f>
        <v>2011</v>
      </c>
      <c r="AC236" s="33" t="str">
        <f aca="false">TEXT(B236, "mmmm")</f>
        <v>January</v>
      </c>
      <c r="AD236" s="43" t="n">
        <f aca="false">LEN(TEXT(B236, "YYYY-MM-DD"))</f>
        <v>10</v>
      </c>
      <c r="AE236" s="45" t="str">
        <f aca="false">LEFT(TEXT(B236, "YYYY-MM-DD"), 4)</f>
        <v>2011</v>
      </c>
      <c r="AF236" s="45" t="str">
        <f aca="false">RIGHT(TEXT(B236, "YYYY-MM-DD"), 2)</f>
        <v>10</v>
      </c>
    </row>
    <row r="237" customFormat="false" ht="15" hidden="false" customHeight="false" outlineLevel="0" collapsed="false">
      <c r="A237" s="37" t="n">
        <v>233</v>
      </c>
      <c r="B237" s="38" t="s">
        <v>86</v>
      </c>
      <c r="C237" s="37" t="n">
        <v>1</v>
      </c>
      <c r="D237" s="35" t="str">
        <f aca="false">VLOOKUP(C237, Lookups_Metadata!$A$4:$B$7, 2, FALSE())</f>
        <v>Spring</v>
      </c>
      <c r="E237" s="37" t="n">
        <v>0</v>
      </c>
      <c r="F237" s="37" t="n">
        <v>1</v>
      </c>
      <c r="G237" s="37" t="n">
        <v>23</v>
      </c>
      <c r="H237" s="39" t="b">
        <f aca="false">FALSE()</f>
        <v>0</v>
      </c>
      <c r="I237" s="37" t="n">
        <v>1</v>
      </c>
      <c r="J237" s="35" t="str">
        <f aca="false">INDEX(Lookups_Metadata!$E$4:$E$10, MATCH(I237, Lookups_Metadata!$D$4:$D$10, 0))</f>
        <v>Monday</v>
      </c>
      <c r="K237" s="35" t="str">
        <f aca="false">IF(H237=TRUE(), "Holiday", IF(OR(I237=0, I237=6), "Weekend", "Weekday"))</f>
        <v>Weekday</v>
      </c>
      <c r="L237" s="35" t="str">
        <f aca="false">IF(AND(K237="Weekday", OR(AND(G237&gt;=7, G237&lt;=9), AND(G237&gt;=17, G237&lt;=19))), "Peak Commute", "Off-Peak")</f>
        <v>Off-Peak</v>
      </c>
      <c r="M237" s="37" t="n">
        <v>1</v>
      </c>
      <c r="N237" s="35" t="str">
        <f aca="false">VLOOKUP(M237, Lookups_Metadata!$G$4:$H$7, 2, FALSE())</f>
        <v>Clear / Few Clouds</v>
      </c>
      <c r="O237" s="40" t="n">
        <v>0.14</v>
      </c>
      <c r="P237" s="40" t="n">
        <v>0.1515</v>
      </c>
      <c r="Q237" s="40" t="n">
        <f aca="false">IF(OR(P237="", ISBLANK(P237)), ROUND(0.9367*O237+0.0175, 4), P237)</f>
        <v>0.1515</v>
      </c>
      <c r="R237" s="35" t="str">
        <f aca="false">IF(OR(P237="", ISBLANK(P237)), "Imputed (Regression/Trend)", "Original")</f>
        <v>Original</v>
      </c>
      <c r="S237" s="40" t="n">
        <v>0.59</v>
      </c>
      <c r="T237" s="40" t="n">
        <v>0.1642</v>
      </c>
      <c r="U237" s="41" t="n">
        <v>0</v>
      </c>
      <c r="V237" s="41" t="n">
        <v>18</v>
      </c>
      <c r="W237" s="41" t="n">
        <f aca="false">U237+V237</f>
        <v>18</v>
      </c>
      <c r="X237" s="42" t="n">
        <f aca="false">U237/W237</f>
        <v>0</v>
      </c>
      <c r="Y237" s="42" t="n">
        <f aca="false">V237/W237</f>
        <v>1</v>
      </c>
      <c r="Z237" s="35" t="str">
        <f aca="false">IF(W237&gt;=150, "High Demand", IF(W237&gt;=50, "Moderate Demand", "Low Demand"))</f>
        <v>Low Demand</v>
      </c>
      <c r="AA237" s="39" t="str">
        <f aca="false">TEXT(G237, "00") &amp; ":00"</f>
        <v>23:00</v>
      </c>
      <c r="AB237" s="37" t="n">
        <f aca="false">YEAR(B237)</f>
        <v>2011</v>
      </c>
      <c r="AC237" s="35" t="str">
        <f aca="false">TEXT(B237, "mmmm")</f>
        <v>January</v>
      </c>
      <c r="AD237" s="37" t="n">
        <f aca="false">LEN(TEXT(B237, "YYYY-MM-DD"))</f>
        <v>10</v>
      </c>
      <c r="AE237" s="39" t="str">
        <f aca="false">LEFT(TEXT(B237, "YYYY-MM-DD"), 4)</f>
        <v>2011</v>
      </c>
      <c r="AF237" s="39" t="str">
        <f aca="false">RIGHT(TEXT(B237, "YYYY-MM-DD"), 2)</f>
        <v>10</v>
      </c>
    </row>
    <row r="238" customFormat="false" ht="15" hidden="false" customHeight="false" outlineLevel="0" collapsed="false">
      <c r="A238" s="43" t="n">
        <v>234</v>
      </c>
      <c r="B238" s="44" t="s">
        <v>87</v>
      </c>
      <c r="C238" s="43" t="n">
        <v>1</v>
      </c>
      <c r="D238" s="33" t="str">
        <f aca="false">VLOOKUP(C238, Lookups_Metadata!$A$4:$B$7, 2, FALSE())</f>
        <v>Spring</v>
      </c>
      <c r="E238" s="43" t="n">
        <v>0</v>
      </c>
      <c r="F238" s="43" t="n">
        <v>1</v>
      </c>
      <c r="G238" s="43" t="n">
        <v>0</v>
      </c>
      <c r="H238" s="45" t="b">
        <f aca="false">FALSE()</f>
        <v>0</v>
      </c>
      <c r="I238" s="43" t="n">
        <v>2</v>
      </c>
      <c r="J238" s="33" t="str">
        <f aca="false">INDEX(Lookups_Metadata!$E$4:$E$10, MATCH(I238, Lookups_Metadata!$D$4:$D$10, 0))</f>
        <v>Tuesday</v>
      </c>
      <c r="K238" s="33" t="str">
        <f aca="false">IF(H238=TRUE(), "Holiday", IF(OR(I238=0, I238=6), "Weekend", "Weekday"))</f>
        <v>Weekday</v>
      </c>
      <c r="L238" s="33" t="str">
        <f aca="false">IF(AND(K238="Weekday", OR(AND(G238&gt;=7, G238&lt;=9), AND(G238&gt;=17, G238&lt;=19))), "Peak Commute", "Off-Peak")</f>
        <v>Off-Peak</v>
      </c>
      <c r="M238" s="43" t="n">
        <v>1</v>
      </c>
      <c r="N238" s="33" t="str">
        <f aca="false">VLOOKUP(M238, Lookups_Metadata!$G$4:$H$7, 2, FALSE())</f>
        <v>Clear / Few Clouds</v>
      </c>
      <c r="O238" s="46" t="n">
        <v>0.14</v>
      </c>
      <c r="P238" s="46" t="n">
        <v>0.1667</v>
      </c>
      <c r="Q238" s="46" t="n">
        <f aca="false">IF(OR(P238="", ISBLANK(P238)), ROUND(0.9367*O238+0.0175, 4), P238)</f>
        <v>0.1667</v>
      </c>
      <c r="R238" s="33" t="str">
        <f aca="false">IF(OR(P238="", ISBLANK(P238)), "Imputed (Regression/Trend)", "Original")</f>
        <v>Original</v>
      </c>
      <c r="S238" s="46" t="n">
        <v>0.59</v>
      </c>
      <c r="T238" s="46" t="n">
        <v>0.1045</v>
      </c>
      <c r="U238" s="18" t="n">
        <v>2</v>
      </c>
      <c r="V238" s="18" t="n">
        <v>10</v>
      </c>
      <c r="W238" s="18" t="n">
        <f aca="false">U238+V238</f>
        <v>12</v>
      </c>
      <c r="X238" s="47" t="n">
        <f aca="false">U238/W238</f>
        <v>0.166666666666667</v>
      </c>
      <c r="Y238" s="47" t="n">
        <f aca="false">V238/W238</f>
        <v>0.833333333333333</v>
      </c>
      <c r="Z238" s="33" t="str">
        <f aca="false">IF(W238&gt;=150, "High Demand", IF(W238&gt;=50, "Moderate Demand", "Low Demand"))</f>
        <v>Low Demand</v>
      </c>
      <c r="AA238" s="45" t="str">
        <f aca="false">TEXT(G238, "00") &amp; ":00"</f>
        <v>00:00</v>
      </c>
      <c r="AB238" s="43" t="n">
        <f aca="false">YEAR(B238)</f>
        <v>2011</v>
      </c>
      <c r="AC238" s="33" t="str">
        <f aca="false">TEXT(B238, "mmmm")</f>
        <v>January</v>
      </c>
      <c r="AD238" s="43" t="n">
        <f aca="false">LEN(TEXT(B238, "YYYY-MM-DD"))</f>
        <v>10</v>
      </c>
      <c r="AE238" s="45" t="str">
        <f aca="false">LEFT(TEXT(B238, "YYYY-MM-DD"), 4)</f>
        <v>2011</v>
      </c>
      <c r="AF238" s="45" t="str">
        <f aca="false">RIGHT(TEXT(B238, "YYYY-MM-DD"), 2)</f>
        <v>11</v>
      </c>
    </row>
    <row r="239" customFormat="false" ht="15" hidden="false" customHeight="false" outlineLevel="0" collapsed="false">
      <c r="A239" s="37" t="n">
        <v>235</v>
      </c>
      <c r="B239" s="38" t="s">
        <v>87</v>
      </c>
      <c r="C239" s="37" t="n">
        <v>1</v>
      </c>
      <c r="D239" s="35" t="str">
        <f aca="false">VLOOKUP(C239, Lookups_Metadata!$A$4:$B$7, 2, FALSE())</f>
        <v>Spring</v>
      </c>
      <c r="E239" s="37" t="n">
        <v>0</v>
      </c>
      <c r="F239" s="37" t="n">
        <v>1</v>
      </c>
      <c r="G239" s="37" t="n">
        <v>1</v>
      </c>
      <c r="H239" s="39" t="b">
        <f aca="false">FALSE()</f>
        <v>0</v>
      </c>
      <c r="I239" s="37" t="n">
        <v>2</v>
      </c>
      <c r="J239" s="35" t="str">
        <f aca="false">INDEX(Lookups_Metadata!$E$4:$E$10, MATCH(I239, Lookups_Metadata!$D$4:$D$10, 0))</f>
        <v>Tuesday</v>
      </c>
      <c r="K239" s="35" t="str">
        <f aca="false">IF(H239=TRUE(), "Holiday", IF(OR(I239=0, I239=6), "Weekend", "Weekday"))</f>
        <v>Weekday</v>
      </c>
      <c r="L239" s="35" t="str">
        <f aca="false">IF(AND(K239="Weekday", OR(AND(G239&gt;=7, G239&lt;=9), AND(G239&gt;=17, G239&lt;=19))), "Peak Commute", "Off-Peak")</f>
        <v>Off-Peak</v>
      </c>
      <c r="M239" s="37" t="n">
        <v>1</v>
      </c>
      <c r="N239" s="35" t="str">
        <f aca="false">VLOOKUP(M239, Lookups_Metadata!$G$4:$H$7, 2, FALSE())</f>
        <v>Clear / Few Clouds</v>
      </c>
      <c r="O239" s="40" t="n">
        <v>0.14</v>
      </c>
      <c r="P239" s="40" t="n">
        <v>0.1515</v>
      </c>
      <c r="Q239" s="40" t="n">
        <f aca="false">IF(OR(P239="", ISBLANK(P239)), ROUND(0.9367*O239+0.0175, 4), P239)</f>
        <v>0.1515</v>
      </c>
      <c r="R239" s="35" t="str">
        <f aca="false">IF(OR(P239="", ISBLANK(P239)), "Imputed (Regression/Trend)", "Original")</f>
        <v>Original</v>
      </c>
      <c r="S239" s="40" t="n">
        <v>0.59</v>
      </c>
      <c r="T239" s="40" t="n">
        <v>0.1642</v>
      </c>
      <c r="U239" s="41" t="n">
        <v>0</v>
      </c>
      <c r="V239" s="41" t="n">
        <v>3</v>
      </c>
      <c r="W239" s="41" t="n">
        <f aca="false">U239+V239</f>
        <v>3</v>
      </c>
      <c r="X239" s="42" t="n">
        <f aca="false">U239/W239</f>
        <v>0</v>
      </c>
      <c r="Y239" s="42" t="n">
        <f aca="false">V239/W239</f>
        <v>1</v>
      </c>
      <c r="Z239" s="35" t="str">
        <f aca="false">IF(W239&gt;=150, "High Demand", IF(W239&gt;=50, "Moderate Demand", "Low Demand"))</f>
        <v>Low Demand</v>
      </c>
      <c r="AA239" s="39" t="str">
        <f aca="false">TEXT(G239, "00") &amp; ":00"</f>
        <v>01:00</v>
      </c>
      <c r="AB239" s="37" t="n">
        <f aca="false">YEAR(B239)</f>
        <v>2011</v>
      </c>
      <c r="AC239" s="35" t="str">
        <f aca="false">TEXT(B239, "mmmm")</f>
        <v>January</v>
      </c>
      <c r="AD239" s="37" t="n">
        <f aca="false">LEN(TEXT(B239, "YYYY-MM-DD"))</f>
        <v>10</v>
      </c>
      <c r="AE239" s="39" t="str">
        <f aca="false">LEFT(TEXT(B239, "YYYY-MM-DD"), 4)</f>
        <v>2011</v>
      </c>
      <c r="AF239" s="39" t="str">
        <f aca="false">RIGHT(TEXT(B239, "YYYY-MM-DD"), 2)</f>
        <v>11</v>
      </c>
    </row>
    <row r="240" customFormat="false" ht="15" hidden="false" customHeight="false" outlineLevel="0" collapsed="false">
      <c r="A240" s="43" t="n">
        <v>236</v>
      </c>
      <c r="B240" s="44" t="s">
        <v>87</v>
      </c>
      <c r="C240" s="43" t="n">
        <v>1</v>
      </c>
      <c r="D240" s="33" t="str">
        <f aca="false">VLOOKUP(C240, Lookups_Metadata!$A$4:$B$7, 2, FALSE())</f>
        <v>Spring</v>
      </c>
      <c r="E240" s="43" t="n">
        <v>0</v>
      </c>
      <c r="F240" s="43" t="n">
        <v>1</v>
      </c>
      <c r="G240" s="43" t="n">
        <v>2</v>
      </c>
      <c r="H240" s="45" t="b">
        <f aca="false">FALSE()</f>
        <v>0</v>
      </c>
      <c r="I240" s="43" t="n">
        <v>2</v>
      </c>
      <c r="J240" s="33" t="str">
        <f aca="false">INDEX(Lookups_Metadata!$E$4:$E$10, MATCH(I240, Lookups_Metadata!$D$4:$D$10, 0))</f>
        <v>Tuesday</v>
      </c>
      <c r="K240" s="33" t="str">
        <f aca="false">IF(H240=TRUE(), "Holiday", IF(OR(I240=0, I240=6), "Weekend", "Weekday"))</f>
        <v>Weekday</v>
      </c>
      <c r="L240" s="33" t="str">
        <f aca="false">IF(AND(K240="Weekday", OR(AND(G240&gt;=7, G240&lt;=9), AND(G240&gt;=17, G240&lt;=19))), "Peak Commute", "Off-Peak")</f>
        <v>Off-Peak</v>
      </c>
      <c r="M240" s="43" t="n">
        <v>2</v>
      </c>
      <c r="N240" s="33" t="str">
        <f aca="false">VLOOKUP(M240, Lookups_Metadata!$G$4:$H$7, 2, FALSE())</f>
        <v>Mist / Cloudy</v>
      </c>
      <c r="O240" s="46" t="n">
        <v>0.16</v>
      </c>
      <c r="P240" s="46" t="n">
        <v>0.1515</v>
      </c>
      <c r="Q240" s="46" t="n">
        <f aca="false">IF(OR(P240="", ISBLANK(P240)), ROUND(0.9367*O240+0.0175, 4), P240)</f>
        <v>0.1515</v>
      </c>
      <c r="R240" s="33" t="str">
        <f aca="false">IF(OR(P240="", ISBLANK(P240)), "Imputed (Regression/Trend)", "Original")</f>
        <v>Original</v>
      </c>
      <c r="S240" s="46" t="n">
        <v>0.55</v>
      </c>
      <c r="T240" s="46" t="n">
        <v>0.194</v>
      </c>
      <c r="U240" s="18" t="n">
        <v>0</v>
      </c>
      <c r="V240" s="18" t="n">
        <v>3</v>
      </c>
      <c r="W240" s="18" t="n">
        <f aca="false">U240+V240</f>
        <v>3</v>
      </c>
      <c r="X240" s="47" t="n">
        <f aca="false">U240/W240</f>
        <v>0</v>
      </c>
      <c r="Y240" s="47" t="n">
        <f aca="false">V240/W240</f>
        <v>1</v>
      </c>
      <c r="Z240" s="33" t="str">
        <f aca="false">IF(W240&gt;=150, "High Demand", IF(W240&gt;=50, "Moderate Demand", "Low Demand"))</f>
        <v>Low Demand</v>
      </c>
      <c r="AA240" s="45" t="str">
        <f aca="false">TEXT(G240, "00") &amp; ":00"</f>
        <v>02:00</v>
      </c>
      <c r="AB240" s="43" t="n">
        <f aca="false">YEAR(B240)</f>
        <v>2011</v>
      </c>
      <c r="AC240" s="33" t="str">
        <f aca="false">TEXT(B240, "mmmm")</f>
        <v>January</v>
      </c>
      <c r="AD240" s="43" t="n">
        <f aca="false">LEN(TEXT(B240, "YYYY-MM-DD"))</f>
        <v>10</v>
      </c>
      <c r="AE240" s="45" t="str">
        <f aca="false">LEFT(TEXT(B240, "YYYY-MM-DD"), 4)</f>
        <v>2011</v>
      </c>
      <c r="AF240" s="45" t="str">
        <f aca="false">RIGHT(TEXT(B240, "YYYY-MM-DD"), 2)</f>
        <v>11</v>
      </c>
    </row>
    <row r="241" customFormat="false" ht="15" hidden="false" customHeight="false" outlineLevel="0" collapsed="false">
      <c r="A241" s="37" t="n">
        <v>237</v>
      </c>
      <c r="B241" s="38" t="s">
        <v>87</v>
      </c>
      <c r="C241" s="37" t="n">
        <v>1</v>
      </c>
      <c r="D241" s="35" t="str">
        <f aca="false">VLOOKUP(C241, Lookups_Metadata!$A$4:$B$7, 2, FALSE())</f>
        <v>Spring</v>
      </c>
      <c r="E241" s="37" t="n">
        <v>0</v>
      </c>
      <c r="F241" s="37" t="n">
        <v>1</v>
      </c>
      <c r="G241" s="37" t="n">
        <v>5</v>
      </c>
      <c r="H241" s="39" t="b">
        <f aca="false">FALSE()</f>
        <v>0</v>
      </c>
      <c r="I241" s="37" t="n">
        <v>2</v>
      </c>
      <c r="J241" s="35" t="str">
        <f aca="false">INDEX(Lookups_Metadata!$E$4:$E$10, MATCH(I241, Lookups_Metadata!$D$4:$D$10, 0))</f>
        <v>Tuesday</v>
      </c>
      <c r="K241" s="35" t="str">
        <f aca="false">IF(H241=TRUE(), "Holiday", IF(OR(I241=0, I241=6), "Weekend", "Weekday"))</f>
        <v>Weekday</v>
      </c>
      <c r="L241" s="35" t="str">
        <f aca="false">IF(AND(K241="Weekday", OR(AND(G241&gt;=7, G241&lt;=9), AND(G241&gt;=17, G241&lt;=19))), "Peak Commute", "Off-Peak")</f>
        <v>Off-Peak</v>
      </c>
      <c r="M241" s="37" t="n">
        <v>2</v>
      </c>
      <c r="N241" s="35" t="str">
        <f aca="false">VLOOKUP(M241, Lookups_Metadata!$G$4:$H$7, 2, FALSE())</f>
        <v>Mist / Cloudy</v>
      </c>
      <c r="O241" s="40" t="n">
        <v>0.16</v>
      </c>
      <c r="P241" s="40" t="n">
        <v>0.1818</v>
      </c>
      <c r="Q241" s="40" t="n">
        <f aca="false">IF(OR(P241="", ISBLANK(P241)), ROUND(0.9367*O241+0.0175, 4), P241)</f>
        <v>0.1818</v>
      </c>
      <c r="R241" s="35" t="str">
        <f aca="false">IF(OR(P241="", ISBLANK(P241)), "Imputed (Regression/Trend)", "Original")</f>
        <v>Original</v>
      </c>
      <c r="S241" s="40" t="n">
        <v>0.55</v>
      </c>
      <c r="T241" s="40" t="n">
        <v>0.1343</v>
      </c>
      <c r="U241" s="41" t="n">
        <v>0</v>
      </c>
      <c r="V241" s="41" t="n">
        <v>6</v>
      </c>
      <c r="W241" s="41" t="n">
        <f aca="false">U241+V241</f>
        <v>6</v>
      </c>
      <c r="X241" s="42" t="n">
        <f aca="false">U241/W241</f>
        <v>0</v>
      </c>
      <c r="Y241" s="42" t="n">
        <f aca="false">V241/W241</f>
        <v>1</v>
      </c>
      <c r="Z241" s="35" t="str">
        <f aca="false">IF(W241&gt;=150, "High Demand", IF(W241&gt;=50, "Moderate Demand", "Low Demand"))</f>
        <v>Low Demand</v>
      </c>
      <c r="AA241" s="39" t="str">
        <f aca="false">TEXT(G241, "00") &amp; ":00"</f>
        <v>05:00</v>
      </c>
      <c r="AB241" s="37" t="n">
        <f aca="false">YEAR(B241)</f>
        <v>2011</v>
      </c>
      <c r="AC241" s="35" t="str">
        <f aca="false">TEXT(B241, "mmmm")</f>
        <v>January</v>
      </c>
      <c r="AD241" s="37" t="n">
        <f aca="false">LEN(TEXT(B241, "YYYY-MM-DD"))</f>
        <v>10</v>
      </c>
      <c r="AE241" s="39" t="str">
        <f aca="false">LEFT(TEXT(B241, "YYYY-MM-DD"), 4)</f>
        <v>2011</v>
      </c>
      <c r="AF241" s="39" t="str">
        <f aca="false">RIGHT(TEXT(B241, "YYYY-MM-DD"), 2)</f>
        <v>11</v>
      </c>
    </row>
    <row r="242" customFormat="false" ht="15" hidden="false" customHeight="false" outlineLevel="0" collapsed="false">
      <c r="A242" s="43" t="n">
        <v>238</v>
      </c>
      <c r="B242" s="44" t="s">
        <v>87</v>
      </c>
      <c r="C242" s="43" t="n">
        <v>1</v>
      </c>
      <c r="D242" s="33" t="str">
        <f aca="false">VLOOKUP(C242, Lookups_Metadata!$A$4:$B$7, 2, FALSE())</f>
        <v>Spring</v>
      </c>
      <c r="E242" s="43" t="n">
        <v>0</v>
      </c>
      <c r="F242" s="43" t="n">
        <v>1</v>
      </c>
      <c r="G242" s="43" t="n">
        <v>6</v>
      </c>
      <c r="H242" s="45" t="b">
        <f aca="false">FALSE()</f>
        <v>0</v>
      </c>
      <c r="I242" s="43" t="n">
        <v>2</v>
      </c>
      <c r="J242" s="33" t="str">
        <f aca="false">INDEX(Lookups_Metadata!$E$4:$E$10, MATCH(I242, Lookups_Metadata!$D$4:$D$10, 0))</f>
        <v>Tuesday</v>
      </c>
      <c r="K242" s="33" t="str">
        <f aca="false">IF(H242=TRUE(), "Holiday", IF(OR(I242=0, I242=6), "Weekend", "Weekday"))</f>
        <v>Weekday</v>
      </c>
      <c r="L242" s="33" t="str">
        <f aca="false">IF(AND(K242="Weekday", OR(AND(G242&gt;=7, G242&lt;=9), AND(G242&gt;=17, G242&lt;=19))), "Peak Commute", "Off-Peak")</f>
        <v>Off-Peak</v>
      </c>
      <c r="M242" s="43" t="n">
        <v>2</v>
      </c>
      <c r="N242" s="33" t="str">
        <f aca="false">VLOOKUP(M242, Lookups_Metadata!$G$4:$H$7, 2, FALSE())</f>
        <v>Mist / Cloudy</v>
      </c>
      <c r="O242" s="46" t="n">
        <v>0.16</v>
      </c>
      <c r="P242" s="46" t="n">
        <v>0.1818</v>
      </c>
      <c r="Q242" s="46" t="n">
        <f aca="false">IF(OR(P242="", ISBLANK(P242)), ROUND(0.9367*O242+0.0175, 4), P242)</f>
        <v>0.1818</v>
      </c>
      <c r="R242" s="33" t="str">
        <f aca="false">IF(OR(P242="", ISBLANK(P242)), "Imputed (Regression/Trend)", "Original")</f>
        <v>Original</v>
      </c>
      <c r="S242" s="46" t="n">
        <v>0.55</v>
      </c>
      <c r="T242" s="46" t="n">
        <v>0.1343</v>
      </c>
      <c r="U242" s="18" t="n">
        <v>0</v>
      </c>
      <c r="V242" s="18" t="n">
        <v>27</v>
      </c>
      <c r="W242" s="18" t="n">
        <f aca="false">U242+V242</f>
        <v>27</v>
      </c>
      <c r="X242" s="47" t="n">
        <f aca="false">U242/W242</f>
        <v>0</v>
      </c>
      <c r="Y242" s="47" t="n">
        <f aca="false">V242/W242</f>
        <v>1</v>
      </c>
      <c r="Z242" s="33" t="str">
        <f aca="false">IF(W242&gt;=150, "High Demand", IF(W242&gt;=50, "Moderate Demand", "Low Demand"))</f>
        <v>Low Demand</v>
      </c>
      <c r="AA242" s="45" t="str">
        <f aca="false">TEXT(G242, "00") &amp; ":00"</f>
        <v>06:00</v>
      </c>
      <c r="AB242" s="43" t="n">
        <f aca="false">YEAR(B242)</f>
        <v>2011</v>
      </c>
      <c r="AC242" s="33" t="str">
        <f aca="false">TEXT(B242, "mmmm")</f>
        <v>January</v>
      </c>
      <c r="AD242" s="43" t="n">
        <f aca="false">LEN(TEXT(B242, "YYYY-MM-DD"))</f>
        <v>10</v>
      </c>
      <c r="AE242" s="45" t="str">
        <f aca="false">LEFT(TEXT(B242, "YYYY-MM-DD"), 4)</f>
        <v>2011</v>
      </c>
      <c r="AF242" s="45" t="str">
        <f aca="false">RIGHT(TEXT(B242, "YYYY-MM-DD"), 2)</f>
        <v>11</v>
      </c>
    </row>
    <row r="243" customFormat="false" ht="15" hidden="false" customHeight="false" outlineLevel="0" collapsed="false">
      <c r="A243" s="37" t="n">
        <v>239</v>
      </c>
      <c r="B243" s="38" t="s">
        <v>87</v>
      </c>
      <c r="C243" s="37" t="n">
        <v>1</v>
      </c>
      <c r="D243" s="35" t="str">
        <f aca="false">VLOOKUP(C243, Lookups_Metadata!$A$4:$B$7, 2, FALSE())</f>
        <v>Spring</v>
      </c>
      <c r="E243" s="37" t="n">
        <v>0</v>
      </c>
      <c r="F243" s="37" t="n">
        <v>1</v>
      </c>
      <c r="G243" s="37" t="n">
        <v>7</v>
      </c>
      <c r="H243" s="39" t="b">
        <f aca="false">FALSE()</f>
        <v>0</v>
      </c>
      <c r="I243" s="37" t="n">
        <v>2</v>
      </c>
      <c r="J243" s="35" t="str">
        <f aca="false">INDEX(Lookups_Metadata!$E$4:$E$10, MATCH(I243, Lookups_Metadata!$D$4:$D$10, 0))</f>
        <v>Tuesday</v>
      </c>
      <c r="K243" s="35" t="str">
        <f aca="false">IF(H243=TRUE(), "Holiday", IF(OR(I243=0, I243=6), "Weekend", "Weekday"))</f>
        <v>Weekday</v>
      </c>
      <c r="L243" s="35" t="str">
        <f aca="false">IF(AND(K243="Weekday", OR(AND(G243&gt;=7, G243&lt;=9), AND(G243&gt;=17, G243&lt;=19))), "Peak Commute", "Off-Peak")</f>
        <v>Peak Commute</v>
      </c>
      <c r="M243" s="37" t="n">
        <v>2</v>
      </c>
      <c r="N243" s="35" t="str">
        <f aca="false">VLOOKUP(M243, Lookups_Metadata!$G$4:$H$7, 2, FALSE())</f>
        <v>Mist / Cloudy</v>
      </c>
      <c r="O243" s="40" t="n">
        <v>0.16</v>
      </c>
      <c r="P243" s="40" t="n">
        <v>0.2273</v>
      </c>
      <c r="Q243" s="40" t="n">
        <f aca="false">IF(OR(P243="", ISBLANK(P243)), ROUND(0.9367*O243+0.0175, 4), P243)</f>
        <v>0.2273</v>
      </c>
      <c r="R243" s="35" t="str">
        <f aca="false">IF(OR(P243="", ISBLANK(P243)), "Imputed (Regression/Trend)", "Original")</f>
        <v>Original</v>
      </c>
      <c r="S243" s="40" t="n">
        <v>0.55</v>
      </c>
      <c r="T243" s="40" t="n">
        <v>0</v>
      </c>
      <c r="U243" s="41" t="n">
        <v>2</v>
      </c>
      <c r="V243" s="41" t="n">
        <v>97</v>
      </c>
      <c r="W243" s="41" t="n">
        <f aca="false">U243+V243</f>
        <v>99</v>
      </c>
      <c r="X243" s="42" t="n">
        <f aca="false">U243/W243</f>
        <v>0.0202020202020202</v>
      </c>
      <c r="Y243" s="42" t="n">
        <f aca="false">V243/W243</f>
        <v>0.97979797979798</v>
      </c>
      <c r="Z243" s="35" t="str">
        <f aca="false">IF(W243&gt;=150, "High Demand", IF(W243&gt;=50, "Moderate Demand", "Low Demand"))</f>
        <v>Moderate Demand</v>
      </c>
      <c r="AA243" s="39" t="str">
        <f aca="false">TEXT(G243, "00") &amp; ":00"</f>
        <v>07:00</v>
      </c>
      <c r="AB243" s="37" t="n">
        <f aca="false">YEAR(B243)</f>
        <v>2011</v>
      </c>
      <c r="AC243" s="35" t="str">
        <f aca="false">TEXT(B243, "mmmm")</f>
        <v>January</v>
      </c>
      <c r="AD243" s="37" t="n">
        <f aca="false">LEN(TEXT(B243, "YYYY-MM-DD"))</f>
        <v>10</v>
      </c>
      <c r="AE243" s="39" t="str">
        <f aca="false">LEFT(TEXT(B243, "YYYY-MM-DD"), 4)</f>
        <v>2011</v>
      </c>
      <c r="AF243" s="39" t="str">
        <f aca="false">RIGHT(TEXT(B243, "YYYY-MM-DD"), 2)</f>
        <v>11</v>
      </c>
    </row>
    <row r="244" customFormat="false" ht="15" hidden="false" customHeight="false" outlineLevel="0" collapsed="false">
      <c r="A244" s="43" t="n">
        <v>240</v>
      </c>
      <c r="B244" s="44" t="s">
        <v>87</v>
      </c>
      <c r="C244" s="43" t="n">
        <v>1</v>
      </c>
      <c r="D244" s="33" t="str">
        <f aca="false">VLOOKUP(C244, Lookups_Metadata!$A$4:$B$7, 2, FALSE())</f>
        <v>Spring</v>
      </c>
      <c r="E244" s="43" t="n">
        <v>0</v>
      </c>
      <c r="F244" s="43" t="n">
        <v>1</v>
      </c>
      <c r="G244" s="43" t="n">
        <v>8</v>
      </c>
      <c r="H244" s="45" t="b">
        <f aca="false">FALSE()</f>
        <v>0</v>
      </c>
      <c r="I244" s="43" t="n">
        <v>2</v>
      </c>
      <c r="J244" s="33" t="str">
        <f aca="false">INDEX(Lookups_Metadata!$E$4:$E$10, MATCH(I244, Lookups_Metadata!$D$4:$D$10, 0))</f>
        <v>Tuesday</v>
      </c>
      <c r="K244" s="33" t="str">
        <f aca="false">IF(H244=TRUE(), "Holiday", IF(OR(I244=0, I244=6), "Weekend", "Weekday"))</f>
        <v>Weekday</v>
      </c>
      <c r="L244" s="33" t="str">
        <f aca="false">IF(AND(K244="Weekday", OR(AND(G244&gt;=7, G244&lt;=9), AND(G244&gt;=17, G244&lt;=19))), "Peak Commute", "Off-Peak")</f>
        <v>Peak Commute</v>
      </c>
      <c r="M244" s="43" t="n">
        <v>2</v>
      </c>
      <c r="N244" s="33" t="str">
        <f aca="false">VLOOKUP(M244, Lookups_Metadata!$G$4:$H$7, 2, FALSE())</f>
        <v>Mist / Cloudy</v>
      </c>
      <c r="O244" s="46" t="n">
        <v>0.18</v>
      </c>
      <c r="P244" s="46" t="n">
        <v>0.2121</v>
      </c>
      <c r="Q244" s="46" t="n">
        <f aca="false">IF(OR(P244="", ISBLANK(P244)), ROUND(0.9367*O244+0.0175, 4), P244)</f>
        <v>0.2121</v>
      </c>
      <c r="R244" s="33" t="str">
        <f aca="false">IF(OR(P244="", ISBLANK(P244)), "Imputed (Regression/Trend)", "Original")</f>
        <v>Original</v>
      </c>
      <c r="S244" s="46" t="n">
        <v>0.51</v>
      </c>
      <c r="T244" s="46" t="n">
        <v>0.0896</v>
      </c>
      <c r="U244" s="18" t="n">
        <v>3</v>
      </c>
      <c r="V244" s="18" t="n">
        <v>214</v>
      </c>
      <c r="W244" s="18" t="n">
        <f aca="false">U244+V244</f>
        <v>217</v>
      </c>
      <c r="X244" s="47" t="n">
        <f aca="false">U244/W244</f>
        <v>0.0138248847926267</v>
      </c>
      <c r="Y244" s="47" t="n">
        <f aca="false">V244/W244</f>
        <v>0.986175115207373</v>
      </c>
      <c r="Z244" s="33" t="str">
        <f aca="false">IF(W244&gt;=150, "High Demand", IF(W244&gt;=50, "Moderate Demand", "Low Demand"))</f>
        <v>High Demand</v>
      </c>
      <c r="AA244" s="45" t="str">
        <f aca="false">TEXT(G244, "00") &amp; ":00"</f>
        <v>08:00</v>
      </c>
      <c r="AB244" s="43" t="n">
        <f aca="false">YEAR(B244)</f>
        <v>2011</v>
      </c>
      <c r="AC244" s="33" t="str">
        <f aca="false">TEXT(B244, "mmmm")</f>
        <v>January</v>
      </c>
      <c r="AD244" s="43" t="n">
        <f aca="false">LEN(TEXT(B244, "YYYY-MM-DD"))</f>
        <v>10</v>
      </c>
      <c r="AE244" s="45" t="str">
        <f aca="false">LEFT(TEXT(B244, "YYYY-MM-DD"), 4)</f>
        <v>2011</v>
      </c>
      <c r="AF244" s="45" t="str">
        <f aca="false">RIGHT(TEXT(B244, "YYYY-MM-DD"), 2)</f>
        <v>11</v>
      </c>
    </row>
    <row r="245" customFormat="false" ht="15" hidden="false" customHeight="false" outlineLevel="0" collapsed="false">
      <c r="A245" s="37" t="n">
        <v>241</v>
      </c>
      <c r="B245" s="38" t="s">
        <v>87</v>
      </c>
      <c r="C245" s="37" t="n">
        <v>1</v>
      </c>
      <c r="D245" s="35" t="str">
        <f aca="false">VLOOKUP(C245, Lookups_Metadata!$A$4:$B$7, 2, FALSE())</f>
        <v>Spring</v>
      </c>
      <c r="E245" s="37" t="n">
        <v>0</v>
      </c>
      <c r="F245" s="37" t="n">
        <v>1</v>
      </c>
      <c r="G245" s="37" t="n">
        <v>9</v>
      </c>
      <c r="H245" s="39" t="b">
        <f aca="false">FALSE()</f>
        <v>0</v>
      </c>
      <c r="I245" s="37" t="n">
        <v>2</v>
      </c>
      <c r="J245" s="35" t="str">
        <f aca="false">INDEX(Lookups_Metadata!$E$4:$E$10, MATCH(I245, Lookups_Metadata!$D$4:$D$10, 0))</f>
        <v>Tuesday</v>
      </c>
      <c r="K245" s="35" t="str">
        <f aca="false">IF(H245=TRUE(), "Holiday", IF(OR(I245=0, I245=6), "Weekend", "Weekday"))</f>
        <v>Weekday</v>
      </c>
      <c r="L245" s="35" t="str">
        <f aca="false">IF(AND(K245="Weekday", OR(AND(G245&gt;=7, G245&lt;=9), AND(G245&gt;=17, G245&lt;=19))), "Peak Commute", "Off-Peak")</f>
        <v>Peak Commute</v>
      </c>
      <c r="M245" s="37" t="n">
        <v>2</v>
      </c>
      <c r="N245" s="35" t="str">
        <f aca="false">VLOOKUP(M245, Lookups_Metadata!$G$4:$H$7, 2, FALSE())</f>
        <v>Mist / Cloudy</v>
      </c>
      <c r="O245" s="40" t="n">
        <v>0.18</v>
      </c>
      <c r="P245" s="40" t="n">
        <v>0.197</v>
      </c>
      <c r="Q245" s="40" t="n">
        <f aca="false">IF(OR(P245="", ISBLANK(P245)), ROUND(0.9367*O245+0.0175, 4), P245)</f>
        <v>0.197</v>
      </c>
      <c r="R245" s="35" t="str">
        <f aca="false">IF(OR(P245="", ISBLANK(P245)), "Imputed (Regression/Trend)", "Original")</f>
        <v>Original</v>
      </c>
      <c r="S245" s="40" t="n">
        <v>0.51</v>
      </c>
      <c r="T245" s="40" t="n">
        <v>0.1642</v>
      </c>
      <c r="U245" s="41" t="n">
        <v>3</v>
      </c>
      <c r="V245" s="41" t="n">
        <v>127</v>
      </c>
      <c r="W245" s="41" t="n">
        <f aca="false">U245+V245</f>
        <v>130</v>
      </c>
      <c r="X245" s="42" t="n">
        <f aca="false">U245/W245</f>
        <v>0.0230769230769231</v>
      </c>
      <c r="Y245" s="42" t="n">
        <f aca="false">V245/W245</f>
        <v>0.976923076923077</v>
      </c>
      <c r="Z245" s="35" t="str">
        <f aca="false">IF(W245&gt;=150, "High Demand", IF(W245&gt;=50, "Moderate Demand", "Low Demand"))</f>
        <v>Moderate Demand</v>
      </c>
      <c r="AA245" s="39" t="str">
        <f aca="false">TEXT(G245, "00") &amp; ":00"</f>
        <v>09:00</v>
      </c>
      <c r="AB245" s="37" t="n">
        <f aca="false">YEAR(B245)</f>
        <v>2011</v>
      </c>
      <c r="AC245" s="35" t="str">
        <f aca="false">TEXT(B245, "mmmm")</f>
        <v>January</v>
      </c>
      <c r="AD245" s="37" t="n">
        <f aca="false">LEN(TEXT(B245, "YYYY-MM-DD"))</f>
        <v>10</v>
      </c>
      <c r="AE245" s="39" t="str">
        <f aca="false">LEFT(TEXT(B245, "YYYY-MM-DD"), 4)</f>
        <v>2011</v>
      </c>
      <c r="AF245" s="39" t="str">
        <f aca="false">RIGHT(TEXT(B245, "YYYY-MM-DD"), 2)</f>
        <v>11</v>
      </c>
    </row>
    <row r="246" customFormat="false" ht="15" hidden="false" customHeight="false" outlineLevel="0" collapsed="false">
      <c r="A246" s="43" t="n">
        <v>242</v>
      </c>
      <c r="B246" s="44" t="s">
        <v>87</v>
      </c>
      <c r="C246" s="43" t="n">
        <v>1</v>
      </c>
      <c r="D246" s="33" t="str">
        <f aca="false">VLOOKUP(C246, Lookups_Metadata!$A$4:$B$7, 2, FALSE())</f>
        <v>Spring</v>
      </c>
      <c r="E246" s="43" t="n">
        <v>0</v>
      </c>
      <c r="F246" s="43" t="n">
        <v>1</v>
      </c>
      <c r="G246" s="43" t="n">
        <v>10</v>
      </c>
      <c r="H246" s="45" t="b">
        <f aca="false">FALSE()</f>
        <v>0</v>
      </c>
      <c r="I246" s="43" t="n">
        <v>2</v>
      </c>
      <c r="J246" s="33" t="str">
        <f aca="false">INDEX(Lookups_Metadata!$E$4:$E$10, MATCH(I246, Lookups_Metadata!$D$4:$D$10, 0))</f>
        <v>Tuesday</v>
      </c>
      <c r="K246" s="33" t="str">
        <f aca="false">IF(H246=TRUE(), "Holiday", IF(OR(I246=0, I246=6), "Weekend", "Weekday"))</f>
        <v>Weekday</v>
      </c>
      <c r="L246" s="33" t="str">
        <f aca="false">IF(AND(K246="Weekday", OR(AND(G246&gt;=7, G246&lt;=9), AND(G246&gt;=17, G246&lt;=19))), "Peak Commute", "Off-Peak")</f>
        <v>Off-Peak</v>
      </c>
      <c r="M246" s="43" t="n">
        <v>2</v>
      </c>
      <c r="N246" s="33" t="str">
        <f aca="false">VLOOKUP(M246, Lookups_Metadata!$G$4:$H$7, 2, FALSE())</f>
        <v>Mist / Cloudy</v>
      </c>
      <c r="O246" s="46" t="n">
        <v>0.2</v>
      </c>
      <c r="P246" s="46" t="n">
        <v>0.2121</v>
      </c>
      <c r="Q246" s="46" t="n">
        <f aca="false">IF(OR(P246="", ISBLANK(P246)), ROUND(0.9367*O246+0.0175, 4), P246)</f>
        <v>0.2121</v>
      </c>
      <c r="R246" s="33" t="str">
        <f aca="false">IF(OR(P246="", ISBLANK(P246)), "Imputed (Regression/Trend)", "Original")</f>
        <v>Original</v>
      </c>
      <c r="S246" s="46" t="n">
        <v>0.51</v>
      </c>
      <c r="T246" s="46" t="n">
        <v>0.1642</v>
      </c>
      <c r="U246" s="18" t="n">
        <v>3</v>
      </c>
      <c r="V246" s="18" t="n">
        <v>51</v>
      </c>
      <c r="W246" s="18" t="n">
        <f aca="false">U246+V246</f>
        <v>54</v>
      </c>
      <c r="X246" s="47" t="n">
        <f aca="false">U246/W246</f>
        <v>0.0555555555555556</v>
      </c>
      <c r="Y246" s="47" t="n">
        <f aca="false">V246/W246</f>
        <v>0.944444444444444</v>
      </c>
      <c r="Z246" s="33" t="str">
        <f aca="false">IF(W246&gt;=150, "High Demand", IF(W246&gt;=50, "Moderate Demand", "Low Demand"))</f>
        <v>Moderate Demand</v>
      </c>
      <c r="AA246" s="45" t="str">
        <f aca="false">TEXT(G246, "00") &amp; ":00"</f>
        <v>10:00</v>
      </c>
      <c r="AB246" s="43" t="n">
        <f aca="false">YEAR(B246)</f>
        <v>2011</v>
      </c>
      <c r="AC246" s="33" t="str">
        <f aca="false">TEXT(B246, "mmmm")</f>
        <v>January</v>
      </c>
      <c r="AD246" s="43" t="n">
        <f aca="false">LEN(TEXT(B246, "YYYY-MM-DD"))</f>
        <v>10</v>
      </c>
      <c r="AE246" s="45" t="str">
        <f aca="false">LEFT(TEXT(B246, "YYYY-MM-DD"), 4)</f>
        <v>2011</v>
      </c>
      <c r="AF246" s="45" t="str">
        <f aca="false">RIGHT(TEXT(B246, "YYYY-MM-DD"), 2)</f>
        <v>11</v>
      </c>
    </row>
    <row r="247" customFormat="false" ht="15" hidden="false" customHeight="false" outlineLevel="0" collapsed="false">
      <c r="A247" s="37" t="n">
        <v>243</v>
      </c>
      <c r="B247" s="38" t="s">
        <v>87</v>
      </c>
      <c r="C247" s="37" t="n">
        <v>1</v>
      </c>
      <c r="D247" s="35" t="str">
        <f aca="false">VLOOKUP(C247, Lookups_Metadata!$A$4:$B$7, 2, FALSE())</f>
        <v>Spring</v>
      </c>
      <c r="E247" s="37" t="n">
        <v>0</v>
      </c>
      <c r="F247" s="37" t="n">
        <v>1</v>
      </c>
      <c r="G247" s="37" t="n">
        <v>11</v>
      </c>
      <c r="H247" s="39" t="b">
        <f aca="false">FALSE()</f>
        <v>0</v>
      </c>
      <c r="I247" s="37" t="n">
        <v>2</v>
      </c>
      <c r="J247" s="35" t="str">
        <f aca="false">INDEX(Lookups_Metadata!$E$4:$E$10, MATCH(I247, Lookups_Metadata!$D$4:$D$10, 0))</f>
        <v>Tuesday</v>
      </c>
      <c r="K247" s="35" t="str">
        <f aca="false">IF(H247=TRUE(), "Holiday", IF(OR(I247=0, I247=6), "Weekend", "Weekday"))</f>
        <v>Weekday</v>
      </c>
      <c r="L247" s="35" t="str">
        <f aca="false">IF(AND(K247="Weekday", OR(AND(G247&gt;=7, G247&lt;=9), AND(G247&gt;=17, G247&lt;=19))), "Peak Commute", "Off-Peak")</f>
        <v>Off-Peak</v>
      </c>
      <c r="M247" s="37" t="n">
        <v>2</v>
      </c>
      <c r="N247" s="35" t="str">
        <f aca="false">VLOOKUP(M247, Lookups_Metadata!$G$4:$H$7, 2, FALSE())</f>
        <v>Mist / Cloudy</v>
      </c>
      <c r="O247" s="40" t="n">
        <v>0.2</v>
      </c>
      <c r="P247" s="40" t="n">
        <v>0.2121</v>
      </c>
      <c r="Q247" s="40" t="n">
        <f aca="false">IF(OR(P247="", ISBLANK(P247)), ROUND(0.9367*O247+0.0175, 4), P247)</f>
        <v>0.2121</v>
      </c>
      <c r="R247" s="35" t="str">
        <f aca="false">IF(OR(P247="", ISBLANK(P247)), "Imputed (Regression/Trend)", "Original")</f>
        <v>Original</v>
      </c>
      <c r="S247" s="40" t="n">
        <v>0.47</v>
      </c>
      <c r="T247" s="40" t="n">
        <v>0.1343</v>
      </c>
      <c r="U247" s="41" t="n">
        <v>4</v>
      </c>
      <c r="V247" s="41" t="n">
        <v>31</v>
      </c>
      <c r="W247" s="41" t="n">
        <f aca="false">U247+V247</f>
        <v>35</v>
      </c>
      <c r="X247" s="42" t="n">
        <f aca="false">U247/W247</f>
        <v>0.114285714285714</v>
      </c>
      <c r="Y247" s="42" t="n">
        <f aca="false">V247/W247</f>
        <v>0.885714285714286</v>
      </c>
      <c r="Z247" s="35" t="str">
        <f aca="false">IF(W247&gt;=150, "High Demand", IF(W247&gt;=50, "Moderate Demand", "Low Demand"))</f>
        <v>Low Demand</v>
      </c>
      <c r="AA247" s="39" t="str">
        <f aca="false">TEXT(G247, "00") &amp; ":00"</f>
        <v>11:00</v>
      </c>
      <c r="AB247" s="37" t="n">
        <f aca="false">YEAR(B247)</f>
        <v>2011</v>
      </c>
      <c r="AC247" s="35" t="str">
        <f aca="false">TEXT(B247, "mmmm")</f>
        <v>January</v>
      </c>
      <c r="AD247" s="37" t="n">
        <f aca="false">LEN(TEXT(B247, "YYYY-MM-DD"))</f>
        <v>10</v>
      </c>
      <c r="AE247" s="39" t="str">
        <f aca="false">LEFT(TEXT(B247, "YYYY-MM-DD"), 4)</f>
        <v>2011</v>
      </c>
      <c r="AF247" s="39" t="str">
        <f aca="false">RIGHT(TEXT(B247, "YYYY-MM-DD"), 2)</f>
        <v>11</v>
      </c>
    </row>
    <row r="248" customFormat="false" ht="15" hidden="false" customHeight="false" outlineLevel="0" collapsed="false">
      <c r="A248" s="43" t="n">
        <v>244</v>
      </c>
      <c r="B248" s="44" t="s">
        <v>87</v>
      </c>
      <c r="C248" s="43" t="n">
        <v>1</v>
      </c>
      <c r="D248" s="33" t="str">
        <f aca="false">VLOOKUP(C248, Lookups_Metadata!$A$4:$B$7, 2, FALSE())</f>
        <v>Spring</v>
      </c>
      <c r="E248" s="43" t="n">
        <v>0</v>
      </c>
      <c r="F248" s="43" t="n">
        <v>1</v>
      </c>
      <c r="G248" s="43" t="n">
        <v>12</v>
      </c>
      <c r="H248" s="45" t="b">
        <f aca="false">FALSE()</f>
        <v>0</v>
      </c>
      <c r="I248" s="43" t="n">
        <v>2</v>
      </c>
      <c r="J248" s="33" t="str">
        <f aca="false">INDEX(Lookups_Metadata!$E$4:$E$10, MATCH(I248, Lookups_Metadata!$D$4:$D$10, 0))</f>
        <v>Tuesday</v>
      </c>
      <c r="K248" s="33" t="str">
        <f aca="false">IF(H248=TRUE(), "Holiday", IF(OR(I248=0, I248=6), "Weekend", "Weekday"))</f>
        <v>Weekday</v>
      </c>
      <c r="L248" s="33" t="str">
        <f aca="false">IF(AND(K248="Weekday", OR(AND(G248&gt;=7, G248&lt;=9), AND(G248&gt;=17, G248&lt;=19))), "Peak Commute", "Off-Peak")</f>
        <v>Off-Peak</v>
      </c>
      <c r="M248" s="43" t="n">
        <v>2</v>
      </c>
      <c r="N248" s="33" t="str">
        <f aca="false">VLOOKUP(M248, Lookups_Metadata!$G$4:$H$7, 2, FALSE())</f>
        <v>Mist / Cloudy</v>
      </c>
      <c r="O248" s="46" t="n">
        <v>0.2</v>
      </c>
      <c r="P248" s="46" t="n">
        <v>0.2273</v>
      </c>
      <c r="Q248" s="46" t="n">
        <f aca="false">IF(OR(P248="", ISBLANK(P248)), ROUND(0.9367*O248+0.0175, 4), P248)</f>
        <v>0.2273</v>
      </c>
      <c r="R248" s="33" t="str">
        <f aca="false">IF(OR(P248="", ISBLANK(P248)), "Imputed (Regression/Trend)", "Original")</f>
        <v>Original</v>
      </c>
      <c r="S248" s="46" t="n">
        <v>0.51</v>
      </c>
      <c r="T248" s="46" t="n">
        <v>0.1045</v>
      </c>
      <c r="U248" s="18" t="n">
        <v>2</v>
      </c>
      <c r="V248" s="18" t="n">
        <v>55</v>
      </c>
      <c r="W248" s="18" t="n">
        <f aca="false">U248+V248</f>
        <v>57</v>
      </c>
      <c r="X248" s="47" t="n">
        <f aca="false">U248/W248</f>
        <v>0.0350877192982456</v>
      </c>
      <c r="Y248" s="47" t="n">
        <f aca="false">V248/W248</f>
        <v>0.964912280701754</v>
      </c>
      <c r="Z248" s="33" t="str">
        <f aca="false">IF(W248&gt;=150, "High Demand", IF(W248&gt;=50, "Moderate Demand", "Low Demand"))</f>
        <v>Moderate Demand</v>
      </c>
      <c r="AA248" s="45" t="str">
        <f aca="false">TEXT(G248, "00") &amp; ":00"</f>
        <v>12:00</v>
      </c>
      <c r="AB248" s="43" t="n">
        <f aca="false">YEAR(B248)</f>
        <v>2011</v>
      </c>
      <c r="AC248" s="33" t="str">
        <f aca="false">TEXT(B248, "mmmm")</f>
        <v>January</v>
      </c>
      <c r="AD248" s="43" t="n">
        <f aca="false">LEN(TEXT(B248, "YYYY-MM-DD"))</f>
        <v>10</v>
      </c>
      <c r="AE248" s="45" t="str">
        <f aca="false">LEFT(TEXT(B248, "YYYY-MM-DD"), 4)</f>
        <v>2011</v>
      </c>
      <c r="AF248" s="45" t="str">
        <f aca="false">RIGHT(TEXT(B248, "YYYY-MM-DD"), 2)</f>
        <v>11</v>
      </c>
    </row>
    <row r="249" customFormat="false" ht="15" hidden="false" customHeight="false" outlineLevel="0" collapsed="false">
      <c r="A249" s="37" t="n">
        <v>245</v>
      </c>
      <c r="B249" s="38" t="s">
        <v>87</v>
      </c>
      <c r="C249" s="37" t="n">
        <v>1</v>
      </c>
      <c r="D249" s="35" t="str">
        <f aca="false">VLOOKUP(C249, Lookups_Metadata!$A$4:$B$7, 2, FALSE())</f>
        <v>Spring</v>
      </c>
      <c r="E249" s="37" t="n">
        <v>0</v>
      </c>
      <c r="F249" s="37" t="n">
        <v>1</v>
      </c>
      <c r="G249" s="37" t="n">
        <v>13</v>
      </c>
      <c r="H249" s="39" t="b">
        <f aca="false">FALSE()</f>
        <v>0</v>
      </c>
      <c r="I249" s="37" t="n">
        <v>2</v>
      </c>
      <c r="J249" s="35" t="str">
        <f aca="false">INDEX(Lookups_Metadata!$E$4:$E$10, MATCH(I249, Lookups_Metadata!$D$4:$D$10, 0))</f>
        <v>Tuesday</v>
      </c>
      <c r="K249" s="35" t="str">
        <f aca="false">IF(H249=TRUE(), "Holiday", IF(OR(I249=0, I249=6), "Weekend", "Weekday"))</f>
        <v>Weekday</v>
      </c>
      <c r="L249" s="35" t="str">
        <f aca="false">IF(AND(K249="Weekday", OR(AND(G249&gt;=7, G249&lt;=9), AND(G249&gt;=17, G249&lt;=19))), "Peak Commute", "Off-Peak")</f>
        <v>Off-Peak</v>
      </c>
      <c r="M249" s="37" t="n">
        <v>2</v>
      </c>
      <c r="N249" s="35" t="str">
        <f aca="false">VLOOKUP(M249, Lookups_Metadata!$G$4:$H$7, 2, FALSE())</f>
        <v>Mist / Cloudy</v>
      </c>
      <c r="O249" s="40" t="n">
        <v>0.2</v>
      </c>
      <c r="P249" s="40" t="n">
        <v>0.2273</v>
      </c>
      <c r="Q249" s="40" t="n">
        <f aca="false">IF(OR(P249="", ISBLANK(P249)), ROUND(0.9367*O249+0.0175, 4), P249)</f>
        <v>0.2273</v>
      </c>
      <c r="R249" s="35" t="str">
        <f aca="false">IF(OR(P249="", ISBLANK(P249)), "Imputed (Regression/Trend)", "Original")</f>
        <v>Original</v>
      </c>
      <c r="S249" s="40" t="n">
        <v>0.59</v>
      </c>
      <c r="T249" s="40" t="n">
        <v>0.0896</v>
      </c>
      <c r="U249" s="41" t="n">
        <v>6</v>
      </c>
      <c r="V249" s="41" t="n">
        <v>46</v>
      </c>
      <c r="W249" s="41" t="n">
        <f aca="false">U249+V249</f>
        <v>52</v>
      </c>
      <c r="X249" s="42" t="n">
        <f aca="false">U249/W249</f>
        <v>0.115384615384615</v>
      </c>
      <c r="Y249" s="42" t="n">
        <f aca="false">V249/W249</f>
        <v>0.884615384615385</v>
      </c>
      <c r="Z249" s="35" t="str">
        <f aca="false">IF(W249&gt;=150, "High Demand", IF(W249&gt;=50, "Moderate Demand", "Low Demand"))</f>
        <v>Moderate Demand</v>
      </c>
      <c r="AA249" s="39" t="str">
        <f aca="false">TEXT(G249, "00") &amp; ":00"</f>
        <v>13:00</v>
      </c>
      <c r="AB249" s="37" t="n">
        <f aca="false">YEAR(B249)</f>
        <v>2011</v>
      </c>
      <c r="AC249" s="35" t="str">
        <f aca="false">TEXT(B249, "mmmm")</f>
        <v>January</v>
      </c>
      <c r="AD249" s="37" t="n">
        <f aca="false">LEN(TEXT(B249, "YYYY-MM-DD"))</f>
        <v>10</v>
      </c>
      <c r="AE249" s="39" t="str">
        <f aca="false">LEFT(TEXT(B249, "YYYY-MM-DD"), 4)</f>
        <v>2011</v>
      </c>
      <c r="AF249" s="39" t="str">
        <f aca="false">RIGHT(TEXT(B249, "YYYY-MM-DD"), 2)</f>
        <v>11</v>
      </c>
    </row>
    <row r="250" customFormat="false" ht="15" hidden="false" customHeight="false" outlineLevel="0" collapsed="false">
      <c r="A250" s="43" t="n">
        <v>246</v>
      </c>
      <c r="B250" s="44" t="s">
        <v>87</v>
      </c>
      <c r="C250" s="43" t="n">
        <v>1</v>
      </c>
      <c r="D250" s="33" t="str">
        <f aca="false">VLOOKUP(C250, Lookups_Metadata!$A$4:$B$7, 2, FALSE())</f>
        <v>Spring</v>
      </c>
      <c r="E250" s="43" t="n">
        <v>0</v>
      </c>
      <c r="F250" s="43" t="n">
        <v>1</v>
      </c>
      <c r="G250" s="43" t="n">
        <v>14</v>
      </c>
      <c r="H250" s="45" t="b">
        <f aca="false">FALSE()</f>
        <v>0</v>
      </c>
      <c r="I250" s="43" t="n">
        <v>2</v>
      </c>
      <c r="J250" s="33" t="str">
        <f aca="false">INDEX(Lookups_Metadata!$E$4:$E$10, MATCH(I250, Lookups_Metadata!$D$4:$D$10, 0))</f>
        <v>Tuesday</v>
      </c>
      <c r="K250" s="33" t="str">
        <f aca="false">IF(H250=TRUE(), "Holiday", IF(OR(I250=0, I250=6), "Weekend", "Weekday"))</f>
        <v>Weekday</v>
      </c>
      <c r="L250" s="33" t="str">
        <f aca="false">IF(AND(K250="Weekday", OR(AND(G250&gt;=7, G250&lt;=9), AND(G250&gt;=17, G250&lt;=19))), "Peak Commute", "Off-Peak")</f>
        <v>Off-Peak</v>
      </c>
      <c r="M250" s="43" t="n">
        <v>2</v>
      </c>
      <c r="N250" s="33" t="str">
        <f aca="false">VLOOKUP(M250, Lookups_Metadata!$G$4:$H$7, 2, FALSE())</f>
        <v>Mist / Cloudy</v>
      </c>
      <c r="O250" s="46" t="n">
        <v>0.2</v>
      </c>
      <c r="P250" s="46" t="n">
        <v>0.2273</v>
      </c>
      <c r="Q250" s="46" t="n">
        <f aca="false">IF(OR(P250="", ISBLANK(P250)), ROUND(0.9367*O250+0.0175, 4), P250)</f>
        <v>0.2273</v>
      </c>
      <c r="R250" s="33" t="str">
        <f aca="false">IF(OR(P250="", ISBLANK(P250)), "Imputed (Regression/Trend)", "Original")</f>
        <v>Original</v>
      </c>
      <c r="S250" s="46" t="n">
        <v>0.59</v>
      </c>
      <c r="T250" s="46" t="n">
        <v>0.0896</v>
      </c>
      <c r="U250" s="18" t="n">
        <v>3</v>
      </c>
      <c r="V250" s="18" t="n">
        <v>60</v>
      </c>
      <c r="W250" s="18" t="n">
        <f aca="false">U250+V250</f>
        <v>63</v>
      </c>
      <c r="X250" s="47" t="n">
        <f aca="false">U250/W250</f>
        <v>0.0476190476190476</v>
      </c>
      <c r="Y250" s="47" t="n">
        <f aca="false">V250/W250</f>
        <v>0.952380952380952</v>
      </c>
      <c r="Z250" s="33" t="str">
        <f aca="false">IF(W250&gt;=150, "High Demand", IF(W250&gt;=50, "Moderate Demand", "Low Demand"))</f>
        <v>Moderate Demand</v>
      </c>
      <c r="AA250" s="45" t="str">
        <f aca="false">TEXT(G250, "00") &amp; ":00"</f>
        <v>14:00</v>
      </c>
      <c r="AB250" s="43" t="n">
        <f aca="false">YEAR(B250)</f>
        <v>2011</v>
      </c>
      <c r="AC250" s="33" t="str">
        <f aca="false">TEXT(B250, "mmmm")</f>
        <v>January</v>
      </c>
      <c r="AD250" s="43" t="n">
        <f aca="false">LEN(TEXT(B250, "YYYY-MM-DD"))</f>
        <v>10</v>
      </c>
      <c r="AE250" s="45" t="str">
        <f aca="false">LEFT(TEXT(B250, "YYYY-MM-DD"), 4)</f>
        <v>2011</v>
      </c>
      <c r="AF250" s="45" t="str">
        <f aca="false">RIGHT(TEXT(B250, "YYYY-MM-DD"), 2)</f>
        <v>11</v>
      </c>
    </row>
    <row r="251" customFormat="false" ht="15" hidden="false" customHeight="false" outlineLevel="0" collapsed="false">
      <c r="A251" s="37" t="n">
        <v>247</v>
      </c>
      <c r="B251" s="38" t="s">
        <v>87</v>
      </c>
      <c r="C251" s="37" t="n">
        <v>1</v>
      </c>
      <c r="D251" s="35" t="str">
        <f aca="false">VLOOKUP(C251, Lookups_Metadata!$A$4:$B$7, 2, FALSE())</f>
        <v>Spring</v>
      </c>
      <c r="E251" s="37" t="n">
        <v>0</v>
      </c>
      <c r="F251" s="37" t="n">
        <v>1</v>
      </c>
      <c r="G251" s="37" t="n">
        <v>15</v>
      </c>
      <c r="H251" s="39" t="b">
        <f aca="false">FALSE()</f>
        <v>0</v>
      </c>
      <c r="I251" s="37" t="n">
        <v>2</v>
      </c>
      <c r="J251" s="35" t="str">
        <f aca="false">INDEX(Lookups_Metadata!$E$4:$E$10, MATCH(I251, Lookups_Metadata!$D$4:$D$10, 0))</f>
        <v>Tuesday</v>
      </c>
      <c r="K251" s="35" t="str">
        <f aca="false">IF(H251=TRUE(), "Holiday", IF(OR(I251=0, I251=6), "Weekend", "Weekday"))</f>
        <v>Weekday</v>
      </c>
      <c r="L251" s="35" t="str">
        <f aca="false">IF(AND(K251="Weekday", OR(AND(G251&gt;=7, G251&lt;=9), AND(G251&gt;=17, G251&lt;=19))), "Peak Commute", "Off-Peak")</f>
        <v>Off-Peak</v>
      </c>
      <c r="M251" s="37" t="n">
        <v>2</v>
      </c>
      <c r="N251" s="35" t="str">
        <f aca="false">VLOOKUP(M251, Lookups_Metadata!$G$4:$H$7, 2, FALSE())</f>
        <v>Mist / Cloudy</v>
      </c>
      <c r="O251" s="40" t="n">
        <v>0.16</v>
      </c>
      <c r="P251" s="40" t="n">
        <v>0.197</v>
      </c>
      <c r="Q251" s="40" t="n">
        <f aca="false">IF(OR(P251="", ISBLANK(P251)), ROUND(0.9367*O251+0.0175, 4), P251)</f>
        <v>0.197</v>
      </c>
      <c r="R251" s="35" t="str">
        <f aca="false">IF(OR(P251="", ISBLANK(P251)), "Imputed (Regression/Trend)", "Original")</f>
        <v>Original</v>
      </c>
      <c r="S251" s="40" t="n">
        <v>0.8</v>
      </c>
      <c r="T251" s="40" t="n">
        <v>0.0896</v>
      </c>
      <c r="U251" s="41" t="n">
        <v>2</v>
      </c>
      <c r="V251" s="41" t="n">
        <v>45</v>
      </c>
      <c r="W251" s="41" t="n">
        <f aca="false">U251+V251</f>
        <v>47</v>
      </c>
      <c r="X251" s="42" t="n">
        <f aca="false">U251/W251</f>
        <v>0.0425531914893617</v>
      </c>
      <c r="Y251" s="42" t="n">
        <f aca="false">V251/W251</f>
        <v>0.957446808510638</v>
      </c>
      <c r="Z251" s="35" t="str">
        <f aca="false">IF(W251&gt;=150, "High Demand", IF(W251&gt;=50, "Moderate Demand", "Low Demand"))</f>
        <v>Low Demand</v>
      </c>
      <c r="AA251" s="39" t="str">
        <f aca="false">TEXT(G251, "00") &amp; ":00"</f>
        <v>15:00</v>
      </c>
      <c r="AB251" s="37" t="n">
        <f aca="false">YEAR(B251)</f>
        <v>2011</v>
      </c>
      <c r="AC251" s="35" t="str">
        <f aca="false">TEXT(B251, "mmmm")</f>
        <v>January</v>
      </c>
      <c r="AD251" s="37" t="n">
        <f aca="false">LEN(TEXT(B251, "YYYY-MM-DD"))</f>
        <v>10</v>
      </c>
      <c r="AE251" s="39" t="str">
        <f aca="false">LEFT(TEXT(B251, "YYYY-MM-DD"), 4)</f>
        <v>2011</v>
      </c>
      <c r="AF251" s="39" t="str">
        <f aca="false">RIGHT(TEXT(B251, "YYYY-MM-DD"), 2)</f>
        <v>11</v>
      </c>
    </row>
    <row r="252" customFormat="false" ht="15" hidden="false" customHeight="false" outlineLevel="0" collapsed="false">
      <c r="A252" s="43" t="n">
        <v>248</v>
      </c>
      <c r="B252" s="44" t="s">
        <v>87</v>
      </c>
      <c r="C252" s="43" t="n">
        <v>1</v>
      </c>
      <c r="D252" s="33" t="str">
        <f aca="false">VLOOKUP(C252, Lookups_Metadata!$A$4:$B$7, 2, FALSE())</f>
        <v>Spring</v>
      </c>
      <c r="E252" s="43" t="n">
        <v>0</v>
      </c>
      <c r="F252" s="43" t="n">
        <v>1</v>
      </c>
      <c r="G252" s="43" t="n">
        <v>16</v>
      </c>
      <c r="H252" s="45" t="b">
        <f aca="false">FALSE()</f>
        <v>0</v>
      </c>
      <c r="I252" s="43" t="n">
        <v>2</v>
      </c>
      <c r="J252" s="33" t="str">
        <f aca="false">INDEX(Lookups_Metadata!$E$4:$E$10, MATCH(I252, Lookups_Metadata!$D$4:$D$10, 0))</f>
        <v>Tuesday</v>
      </c>
      <c r="K252" s="33" t="str">
        <f aca="false">IF(H252=TRUE(), "Holiday", IF(OR(I252=0, I252=6), "Weekend", "Weekday"))</f>
        <v>Weekday</v>
      </c>
      <c r="L252" s="33" t="str">
        <f aca="false">IF(AND(K252="Weekday", OR(AND(G252&gt;=7, G252&lt;=9), AND(G252&gt;=17, G252&lt;=19))), "Peak Commute", "Off-Peak")</f>
        <v>Off-Peak</v>
      </c>
      <c r="M252" s="43" t="n">
        <v>2</v>
      </c>
      <c r="N252" s="33" t="str">
        <f aca="false">VLOOKUP(M252, Lookups_Metadata!$G$4:$H$7, 2, FALSE())</f>
        <v>Mist / Cloudy</v>
      </c>
      <c r="O252" s="46" t="n">
        <v>0.16</v>
      </c>
      <c r="P252" s="46" t="n">
        <v>0.1515</v>
      </c>
      <c r="Q252" s="46" t="n">
        <f aca="false">IF(OR(P252="", ISBLANK(P252)), ROUND(0.9367*O252+0.0175, 4), P252)</f>
        <v>0.1515</v>
      </c>
      <c r="R252" s="33" t="str">
        <f aca="false">IF(OR(P252="", ISBLANK(P252)), "Imputed (Regression/Trend)", "Original")</f>
        <v>Original</v>
      </c>
      <c r="S252" s="46" t="n">
        <v>0.86</v>
      </c>
      <c r="T252" s="46" t="n">
        <v>0.2239</v>
      </c>
      <c r="U252" s="18" t="n">
        <v>4</v>
      </c>
      <c r="V252" s="18" t="n">
        <v>72</v>
      </c>
      <c r="W252" s="18" t="n">
        <f aca="false">U252+V252</f>
        <v>76</v>
      </c>
      <c r="X252" s="47" t="n">
        <f aca="false">U252/W252</f>
        <v>0.0526315789473684</v>
      </c>
      <c r="Y252" s="47" t="n">
        <f aca="false">V252/W252</f>
        <v>0.947368421052632</v>
      </c>
      <c r="Z252" s="33" t="str">
        <f aca="false">IF(W252&gt;=150, "High Demand", IF(W252&gt;=50, "Moderate Demand", "Low Demand"))</f>
        <v>Moderate Demand</v>
      </c>
      <c r="AA252" s="45" t="str">
        <f aca="false">TEXT(G252, "00") &amp; ":00"</f>
        <v>16:00</v>
      </c>
      <c r="AB252" s="43" t="n">
        <f aca="false">YEAR(B252)</f>
        <v>2011</v>
      </c>
      <c r="AC252" s="33" t="str">
        <f aca="false">TEXT(B252, "mmmm")</f>
        <v>January</v>
      </c>
      <c r="AD252" s="43" t="n">
        <f aca="false">LEN(TEXT(B252, "YYYY-MM-DD"))</f>
        <v>10</v>
      </c>
      <c r="AE252" s="45" t="str">
        <f aca="false">LEFT(TEXT(B252, "YYYY-MM-DD"), 4)</f>
        <v>2011</v>
      </c>
      <c r="AF252" s="45" t="str">
        <f aca="false">RIGHT(TEXT(B252, "YYYY-MM-DD"), 2)</f>
        <v>11</v>
      </c>
    </row>
    <row r="253" customFormat="false" ht="15" hidden="false" customHeight="false" outlineLevel="0" collapsed="false">
      <c r="A253" s="37" t="n">
        <v>249</v>
      </c>
      <c r="B253" s="38" t="s">
        <v>87</v>
      </c>
      <c r="C253" s="37" t="n">
        <v>1</v>
      </c>
      <c r="D253" s="35" t="str">
        <f aca="false">VLOOKUP(C253, Lookups_Metadata!$A$4:$B$7, 2, FALSE())</f>
        <v>Spring</v>
      </c>
      <c r="E253" s="37" t="n">
        <v>0</v>
      </c>
      <c r="F253" s="37" t="n">
        <v>1</v>
      </c>
      <c r="G253" s="37" t="n">
        <v>17</v>
      </c>
      <c r="H253" s="39" t="b">
        <f aca="false">FALSE()</f>
        <v>0</v>
      </c>
      <c r="I253" s="37" t="n">
        <v>2</v>
      </c>
      <c r="J253" s="35" t="str">
        <f aca="false">INDEX(Lookups_Metadata!$E$4:$E$10, MATCH(I253, Lookups_Metadata!$D$4:$D$10, 0))</f>
        <v>Tuesday</v>
      </c>
      <c r="K253" s="35" t="str">
        <f aca="false">IF(H253=TRUE(), "Holiday", IF(OR(I253=0, I253=6), "Weekend", "Weekday"))</f>
        <v>Weekday</v>
      </c>
      <c r="L253" s="35" t="str">
        <f aca="false">IF(AND(K253="Weekday", OR(AND(G253&gt;=7, G253&lt;=9), AND(G253&gt;=17, G253&lt;=19))), "Peak Commute", "Off-Peak")</f>
        <v>Peak Commute</v>
      </c>
      <c r="M253" s="37" t="n">
        <v>2</v>
      </c>
      <c r="N253" s="35" t="str">
        <f aca="false">VLOOKUP(M253, Lookups_Metadata!$G$4:$H$7, 2, FALSE())</f>
        <v>Mist / Cloudy</v>
      </c>
      <c r="O253" s="40" t="n">
        <v>0.16</v>
      </c>
      <c r="P253" s="40" t="n">
        <v>0.1515</v>
      </c>
      <c r="Q253" s="40" t="n">
        <f aca="false">IF(OR(P253="", ISBLANK(P253)), ROUND(0.9367*O253+0.0175, 4), P253)</f>
        <v>0.1515</v>
      </c>
      <c r="R253" s="35" t="str">
        <f aca="false">IF(OR(P253="", ISBLANK(P253)), "Imputed (Regression/Trend)", "Original")</f>
        <v>Original</v>
      </c>
      <c r="S253" s="40" t="n">
        <v>0.86</v>
      </c>
      <c r="T253" s="40" t="n">
        <v>0.2239</v>
      </c>
      <c r="U253" s="41" t="n">
        <v>6</v>
      </c>
      <c r="V253" s="41" t="n">
        <v>130</v>
      </c>
      <c r="W253" s="41" t="n">
        <f aca="false">U253+V253</f>
        <v>136</v>
      </c>
      <c r="X253" s="42" t="n">
        <f aca="false">U253/W253</f>
        <v>0.0441176470588235</v>
      </c>
      <c r="Y253" s="42" t="n">
        <f aca="false">V253/W253</f>
        <v>0.955882352941177</v>
      </c>
      <c r="Z253" s="35" t="str">
        <f aca="false">IF(W253&gt;=150, "High Demand", IF(W253&gt;=50, "Moderate Demand", "Low Demand"))</f>
        <v>Moderate Demand</v>
      </c>
      <c r="AA253" s="39" t="str">
        <f aca="false">TEXT(G253, "00") &amp; ":00"</f>
        <v>17:00</v>
      </c>
      <c r="AB253" s="37" t="n">
        <f aca="false">YEAR(B253)</f>
        <v>2011</v>
      </c>
      <c r="AC253" s="35" t="str">
        <f aca="false">TEXT(B253, "mmmm")</f>
        <v>January</v>
      </c>
      <c r="AD253" s="37" t="n">
        <f aca="false">LEN(TEXT(B253, "YYYY-MM-DD"))</f>
        <v>10</v>
      </c>
      <c r="AE253" s="39" t="str">
        <f aca="false">LEFT(TEXT(B253, "YYYY-MM-DD"), 4)</f>
        <v>2011</v>
      </c>
      <c r="AF253" s="39" t="str">
        <f aca="false">RIGHT(TEXT(B253, "YYYY-MM-DD"), 2)</f>
        <v>11</v>
      </c>
    </row>
    <row r="254" customFormat="false" ht="15" hidden="false" customHeight="false" outlineLevel="0" collapsed="false">
      <c r="A254" s="43" t="n">
        <v>250</v>
      </c>
      <c r="B254" s="44" t="s">
        <v>87</v>
      </c>
      <c r="C254" s="43" t="n">
        <v>1</v>
      </c>
      <c r="D254" s="33" t="str">
        <f aca="false">VLOOKUP(C254, Lookups_Metadata!$A$4:$B$7, 2, FALSE())</f>
        <v>Spring</v>
      </c>
      <c r="E254" s="43" t="n">
        <v>0</v>
      </c>
      <c r="F254" s="43" t="n">
        <v>1</v>
      </c>
      <c r="G254" s="43" t="n">
        <v>18</v>
      </c>
      <c r="H254" s="45" t="b">
        <f aca="false">FALSE()</f>
        <v>0</v>
      </c>
      <c r="I254" s="43" t="n">
        <v>2</v>
      </c>
      <c r="J254" s="33" t="str">
        <f aca="false">INDEX(Lookups_Metadata!$E$4:$E$10, MATCH(I254, Lookups_Metadata!$D$4:$D$10, 0))</f>
        <v>Tuesday</v>
      </c>
      <c r="K254" s="33" t="str">
        <f aca="false">IF(H254=TRUE(), "Holiday", IF(OR(I254=0, I254=6), "Weekend", "Weekday"))</f>
        <v>Weekday</v>
      </c>
      <c r="L254" s="33" t="str">
        <f aca="false">IF(AND(K254="Weekday", OR(AND(G254&gt;=7, G254&lt;=9), AND(G254&gt;=17, G254&lt;=19))), "Peak Commute", "Off-Peak")</f>
        <v>Peak Commute</v>
      </c>
      <c r="M254" s="43" t="n">
        <v>3</v>
      </c>
      <c r="N254" s="33" t="str">
        <f aca="false">VLOOKUP(M254, Lookups_Metadata!$G$4:$H$7, 2, FALSE())</f>
        <v>Light Snow / Light Rain</v>
      </c>
      <c r="O254" s="46" t="n">
        <v>0.16</v>
      </c>
      <c r="P254" s="46" t="n">
        <v>0.1818</v>
      </c>
      <c r="Q254" s="46" t="n">
        <f aca="false">IF(OR(P254="", ISBLANK(P254)), ROUND(0.9367*O254+0.0175, 4), P254)</f>
        <v>0.1818</v>
      </c>
      <c r="R254" s="33" t="str">
        <f aca="false">IF(OR(P254="", ISBLANK(P254)), "Imputed (Regression/Trend)", "Original")</f>
        <v>Original</v>
      </c>
      <c r="S254" s="46" t="n">
        <v>0.93</v>
      </c>
      <c r="T254" s="46" t="n">
        <v>0.1045</v>
      </c>
      <c r="U254" s="18" t="n">
        <v>1</v>
      </c>
      <c r="V254" s="18" t="n">
        <v>94</v>
      </c>
      <c r="W254" s="18" t="n">
        <f aca="false">U254+V254</f>
        <v>95</v>
      </c>
      <c r="X254" s="47" t="n">
        <f aca="false">U254/W254</f>
        <v>0.0105263157894737</v>
      </c>
      <c r="Y254" s="47" t="n">
        <f aca="false">V254/W254</f>
        <v>0.989473684210526</v>
      </c>
      <c r="Z254" s="33" t="str">
        <f aca="false">IF(W254&gt;=150, "High Demand", IF(W254&gt;=50, "Moderate Demand", "Low Demand"))</f>
        <v>Moderate Demand</v>
      </c>
      <c r="AA254" s="45" t="str">
        <f aca="false">TEXT(G254, "00") &amp; ":00"</f>
        <v>18:00</v>
      </c>
      <c r="AB254" s="43" t="n">
        <f aca="false">YEAR(B254)</f>
        <v>2011</v>
      </c>
      <c r="AC254" s="33" t="str">
        <f aca="false">TEXT(B254, "mmmm")</f>
        <v>January</v>
      </c>
      <c r="AD254" s="43" t="n">
        <f aca="false">LEN(TEXT(B254, "YYYY-MM-DD"))</f>
        <v>10</v>
      </c>
      <c r="AE254" s="45" t="str">
        <f aca="false">LEFT(TEXT(B254, "YYYY-MM-DD"), 4)</f>
        <v>2011</v>
      </c>
      <c r="AF254" s="45" t="str">
        <f aca="false">RIGHT(TEXT(B254, "YYYY-MM-DD"), 2)</f>
        <v>11</v>
      </c>
    </row>
    <row r="255" customFormat="false" ht="15" hidden="false" customHeight="false" outlineLevel="0" collapsed="false">
      <c r="A255" s="37" t="n">
        <v>251</v>
      </c>
      <c r="B255" s="38" t="s">
        <v>87</v>
      </c>
      <c r="C255" s="37" t="n">
        <v>1</v>
      </c>
      <c r="D255" s="35" t="str">
        <f aca="false">VLOOKUP(C255, Lookups_Metadata!$A$4:$B$7, 2, FALSE())</f>
        <v>Spring</v>
      </c>
      <c r="E255" s="37" t="n">
        <v>0</v>
      </c>
      <c r="F255" s="37" t="n">
        <v>1</v>
      </c>
      <c r="G255" s="37" t="n">
        <v>19</v>
      </c>
      <c r="H255" s="39" t="b">
        <f aca="false">FALSE()</f>
        <v>0</v>
      </c>
      <c r="I255" s="37" t="n">
        <v>2</v>
      </c>
      <c r="J255" s="35" t="str">
        <f aca="false">INDEX(Lookups_Metadata!$E$4:$E$10, MATCH(I255, Lookups_Metadata!$D$4:$D$10, 0))</f>
        <v>Tuesday</v>
      </c>
      <c r="K255" s="35" t="str">
        <f aca="false">IF(H255=TRUE(), "Holiday", IF(OR(I255=0, I255=6), "Weekend", "Weekday"))</f>
        <v>Weekday</v>
      </c>
      <c r="L255" s="35" t="str">
        <f aca="false">IF(AND(K255="Weekday", OR(AND(G255&gt;=7, G255&lt;=9), AND(G255&gt;=17, G255&lt;=19))), "Peak Commute", "Off-Peak")</f>
        <v>Peak Commute</v>
      </c>
      <c r="M255" s="37" t="n">
        <v>3</v>
      </c>
      <c r="N255" s="35" t="str">
        <f aca="false">VLOOKUP(M255, Lookups_Metadata!$G$4:$H$7, 2, FALSE())</f>
        <v>Light Snow / Light Rain</v>
      </c>
      <c r="O255" s="40" t="n">
        <v>0.16</v>
      </c>
      <c r="P255" s="40" t="n">
        <v>0.2273</v>
      </c>
      <c r="Q255" s="40" t="n">
        <f aca="false">IF(OR(P255="", ISBLANK(P255)), ROUND(0.9367*O255+0.0175, 4), P255)</f>
        <v>0.2273</v>
      </c>
      <c r="R255" s="35" t="str">
        <f aca="false">IF(OR(P255="", ISBLANK(P255)), "Imputed (Regression/Trend)", "Original")</f>
        <v>Original</v>
      </c>
      <c r="S255" s="40" t="n">
        <v>0.93</v>
      </c>
      <c r="T255" s="40" t="n">
        <v>0</v>
      </c>
      <c r="U255" s="41" t="n">
        <v>0</v>
      </c>
      <c r="V255" s="41" t="n">
        <v>51</v>
      </c>
      <c r="W255" s="41" t="n">
        <f aca="false">U255+V255</f>
        <v>51</v>
      </c>
      <c r="X255" s="42" t="n">
        <f aca="false">U255/W255</f>
        <v>0</v>
      </c>
      <c r="Y255" s="42" t="n">
        <f aca="false">V255/W255</f>
        <v>1</v>
      </c>
      <c r="Z255" s="35" t="str">
        <f aca="false">IF(W255&gt;=150, "High Demand", IF(W255&gt;=50, "Moderate Demand", "Low Demand"))</f>
        <v>Moderate Demand</v>
      </c>
      <c r="AA255" s="39" t="str">
        <f aca="false">TEXT(G255, "00") &amp; ":00"</f>
        <v>19:00</v>
      </c>
      <c r="AB255" s="37" t="n">
        <f aca="false">YEAR(B255)</f>
        <v>2011</v>
      </c>
      <c r="AC255" s="35" t="str">
        <f aca="false">TEXT(B255, "mmmm")</f>
        <v>January</v>
      </c>
      <c r="AD255" s="37" t="n">
        <f aca="false">LEN(TEXT(B255, "YYYY-MM-DD"))</f>
        <v>10</v>
      </c>
      <c r="AE255" s="39" t="str">
        <f aca="false">LEFT(TEXT(B255, "YYYY-MM-DD"), 4)</f>
        <v>2011</v>
      </c>
      <c r="AF255" s="39" t="str">
        <f aca="false">RIGHT(TEXT(B255, "YYYY-MM-DD"), 2)</f>
        <v>11</v>
      </c>
    </row>
    <row r="256" customFormat="false" ht="15" hidden="false" customHeight="false" outlineLevel="0" collapsed="false">
      <c r="A256" s="43" t="n">
        <v>252</v>
      </c>
      <c r="B256" s="44" t="s">
        <v>87</v>
      </c>
      <c r="C256" s="43" t="n">
        <v>1</v>
      </c>
      <c r="D256" s="33" t="str">
        <f aca="false">VLOOKUP(C256, Lookups_Metadata!$A$4:$B$7, 2, FALSE())</f>
        <v>Spring</v>
      </c>
      <c r="E256" s="43" t="n">
        <v>0</v>
      </c>
      <c r="F256" s="43" t="n">
        <v>1</v>
      </c>
      <c r="G256" s="43" t="n">
        <v>20</v>
      </c>
      <c r="H256" s="45" t="b">
        <f aca="false">FALSE()</f>
        <v>0</v>
      </c>
      <c r="I256" s="43" t="n">
        <v>2</v>
      </c>
      <c r="J256" s="33" t="str">
        <f aca="false">INDEX(Lookups_Metadata!$E$4:$E$10, MATCH(I256, Lookups_Metadata!$D$4:$D$10, 0))</f>
        <v>Tuesday</v>
      </c>
      <c r="K256" s="33" t="str">
        <f aca="false">IF(H256=TRUE(), "Holiday", IF(OR(I256=0, I256=6), "Weekend", "Weekday"))</f>
        <v>Weekday</v>
      </c>
      <c r="L256" s="33" t="str">
        <f aca="false">IF(AND(K256="Weekday", OR(AND(G256&gt;=7, G256&lt;=9), AND(G256&gt;=17, G256&lt;=19))), "Peak Commute", "Off-Peak")</f>
        <v>Off-Peak</v>
      </c>
      <c r="M256" s="43" t="n">
        <v>3</v>
      </c>
      <c r="N256" s="33" t="str">
        <f aca="false">VLOOKUP(M256, Lookups_Metadata!$G$4:$H$7, 2, FALSE())</f>
        <v>Light Snow / Light Rain</v>
      </c>
      <c r="O256" s="46" t="n">
        <v>0.16</v>
      </c>
      <c r="P256" s="46" t="n">
        <v>0.1515</v>
      </c>
      <c r="Q256" s="46" t="n">
        <f aca="false">IF(OR(P256="", ISBLANK(P256)), ROUND(0.9367*O256+0.0175, 4), P256)</f>
        <v>0.1515</v>
      </c>
      <c r="R256" s="33" t="str">
        <f aca="false">IF(OR(P256="", ISBLANK(P256)), "Imputed (Regression/Trend)", "Original")</f>
        <v>Original</v>
      </c>
      <c r="S256" s="46" t="n">
        <v>0.93</v>
      </c>
      <c r="T256" s="46" t="n">
        <v>0.194</v>
      </c>
      <c r="U256" s="18" t="n">
        <v>0</v>
      </c>
      <c r="V256" s="18" t="n">
        <v>32</v>
      </c>
      <c r="W256" s="18" t="n">
        <f aca="false">U256+V256</f>
        <v>32</v>
      </c>
      <c r="X256" s="47" t="n">
        <f aca="false">U256/W256</f>
        <v>0</v>
      </c>
      <c r="Y256" s="47" t="n">
        <f aca="false">V256/W256</f>
        <v>1</v>
      </c>
      <c r="Z256" s="33" t="str">
        <f aca="false">IF(W256&gt;=150, "High Demand", IF(W256&gt;=50, "Moderate Demand", "Low Demand"))</f>
        <v>Low Demand</v>
      </c>
      <c r="AA256" s="45" t="str">
        <f aca="false">TEXT(G256, "00") &amp; ":00"</f>
        <v>20:00</v>
      </c>
      <c r="AB256" s="43" t="n">
        <f aca="false">YEAR(B256)</f>
        <v>2011</v>
      </c>
      <c r="AC256" s="33" t="str">
        <f aca="false">TEXT(B256, "mmmm")</f>
        <v>January</v>
      </c>
      <c r="AD256" s="43" t="n">
        <f aca="false">LEN(TEXT(B256, "YYYY-MM-DD"))</f>
        <v>10</v>
      </c>
      <c r="AE256" s="45" t="str">
        <f aca="false">LEFT(TEXT(B256, "YYYY-MM-DD"), 4)</f>
        <v>2011</v>
      </c>
      <c r="AF256" s="45" t="str">
        <f aca="false">RIGHT(TEXT(B256, "YYYY-MM-DD"), 2)</f>
        <v>11</v>
      </c>
    </row>
    <row r="257" customFormat="false" ht="15" hidden="false" customHeight="false" outlineLevel="0" collapsed="false">
      <c r="A257" s="37" t="n">
        <v>253</v>
      </c>
      <c r="B257" s="38" t="s">
        <v>87</v>
      </c>
      <c r="C257" s="37" t="n">
        <v>1</v>
      </c>
      <c r="D257" s="35" t="str">
        <f aca="false">VLOOKUP(C257, Lookups_Metadata!$A$4:$B$7, 2, FALSE())</f>
        <v>Spring</v>
      </c>
      <c r="E257" s="37" t="n">
        <v>0</v>
      </c>
      <c r="F257" s="37" t="n">
        <v>1</v>
      </c>
      <c r="G257" s="37" t="n">
        <v>21</v>
      </c>
      <c r="H257" s="39" t="b">
        <f aca="false">FALSE()</f>
        <v>0</v>
      </c>
      <c r="I257" s="37" t="n">
        <v>2</v>
      </c>
      <c r="J257" s="35" t="str">
        <f aca="false">INDEX(Lookups_Metadata!$E$4:$E$10, MATCH(I257, Lookups_Metadata!$D$4:$D$10, 0))</f>
        <v>Tuesday</v>
      </c>
      <c r="K257" s="35" t="str">
        <f aca="false">IF(H257=TRUE(), "Holiday", IF(OR(I257=0, I257=6), "Weekend", "Weekday"))</f>
        <v>Weekday</v>
      </c>
      <c r="L257" s="35" t="str">
        <f aca="false">IF(AND(K257="Weekday", OR(AND(G257&gt;=7, G257&lt;=9), AND(G257&gt;=17, G257&lt;=19))), "Peak Commute", "Off-Peak")</f>
        <v>Off-Peak</v>
      </c>
      <c r="M257" s="37" t="n">
        <v>3</v>
      </c>
      <c r="N257" s="35" t="str">
        <f aca="false">VLOOKUP(M257, Lookups_Metadata!$G$4:$H$7, 2, FALSE())</f>
        <v>Light Snow / Light Rain</v>
      </c>
      <c r="O257" s="40" t="n">
        <v>0.16</v>
      </c>
      <c r="P257" s="40" t="n">
        <v>0.197</v>
      </c>
      <c r="Q257" s="40" t="n">
        <f aca="false">IF(OR(P257="", ISBLANK(P257)), ROUND(0.9367*O257+0.0175, 4), P257)</f>
        <v>0.197</v>
      </c>
      <c r="R257" s="35" t="str">
        <f aca="false">IF(OR(P257="", ISBLANK(P257)), "Imputed (Regression/Trend)", "Original")</f>
        <v>Original</v>
      </c>
      <c r="S257" s="40" t="n">
        <v>0.86</v>
      </c>
      <c r="T257" s="40" t="n">
        <v>0.0896</v>
      </c>
      <c r="U257" s="41" t="n">
        <v>0</v>
      </c>
      <c r="V257" s="41" t="n">
        <v>20</v>
      </c>
      <c r="W257" s="41" t="n">
        <f aca="false">U257+V257</f>
        <v>20</v>
      </c>
      <c r="X257" s="42" t="n">
        <f aca="false">U257/W257</f>
        <v>0</v>
      </c>
      <c r="Y257" s="42" t="n">
        <f aca="false">V257/W257</f>
        <v>1</v>
      </c>
      <c r="Z257" s="35" t="str">
        <f aca="false">IF(W257&gt;=150, "High Demand", IF(W257&gt;=50, "Moderate Demand", "Low Demand"))</f>
        <v>Low Demand</v>
      </c>
      <c r="AA257" s="39" t="str">
        <f aca="false">TEXT(G257, "00") &amp; ":00"</f>
        <v>21:00</v>
      </c>
      <c r="AB257" s="37" t="n">
        <f aca="false">YEAR(B257)</f>
        <v>2011</v>
      </c>
      <c r="AC257" s="35" t="str">
        <f aca="false">TEXT(B257, "mmmm")</f>
        <v>January</v>
      </c>
      <c r="AD257" s="37" t="n">
        <f aca="false">LEN(TEXT(B257, "YYYY-MM-DD"))</f>
        <v>10</v>
      </c>
      <c r="AE257" s="39" t="str">
        <f aca="false">LEFT(TEXT(B257, "YYYY-MM-DD"), 4)</f>
        <v>2011</v>
      </c>
      <c r="AF257" s="39" t="str">
        <f aca="false">RIGHT(TEXT(B257, "YYYY-MM-DD"), 2)</f>
        <v>11</v>
      </c>
    </row>
    <row r="258" customFormat="false" ht="15" hidden="false" customHeight="false" outlineLevel="0" collapsed="false">
      <c r="A258" s="43" t="n">
        <v>254</v>
      </c>
      <c r="B258" s="44" t="s">
        <v>87</v>
      </c>
      <c r="C258" s="43" t="n">
        <v>1</v>
      </c>
      <c r="D258" s="33" t="str">
        <f aca="false">VLOOKUP(C258, Lookups_Metadata!$A$4:$B$7, 2, FALSE())</f>
        <v>Spring</v>
      </c>
      <c r="E258" s="43" t="n">
        <v>0</v>
      </c>
      <c r="F258" s="43" t="n">
        <v>1</v>
      </c>
      <c r="G258" s="43" t="n">
        <v>22</v>
      </c>
      <c r="H258" s="45" t="b">
        <f aca="false">FALSE()</f>
        <v>0</v>
      </c>
      <c r="I258" s="43" t="n">
        <v>2</v>
      </c>
      <c r="J258" s="33" t="str">
        <f aca="false">INDEX(Lookups_Metadata!$E$4:$E$10, MATCH(I258, Lookups_Metadata!$D$4:$D$10, 0))</f>
        <v>Tuesday</v>
      </c>
      <c r="K258" s="33" t="str">
        <f aca="false">IF(H258=TRUE(), "Holiday", IF(OR(I258=0, I258=6), "Weekend", "Weekday"))</f>
        <v>Weekday</v>
      </c>
      <c r="L258" s="33" t="str">
        <f aca="false">IF(AND(K258="Weekday", OR(AND(G258&gt;=7, G258&lt;=9), AND(G258&gt;=17, G258&lt;=19))), "Peak Commute", "Off-Peak")</f>
        <v>Off-Peak</v>
      </c>
      <c r="M258" s="43" t="n">
        <v>3</v>
      </c>
      <c r="N258" s="33" t="str">
        <f aca="false">VLOOKUP(M258, Lookups_Metadata!$G$4:$H$7, 2, FALSE())</f>
        <v>Light Snow / Light Rain</v>
      </c>
      <c r="O258" s="46" t="n">
        <v>0.16</v>
      </c>
      <c r="P258" s="46" t="n">
        <v>0.1818</v>
      </c>
      <c r="Q258" s="46" t="n">
        <f aca="false">IF(OR(P258="", ISBLANK(P258)), ROUND(0.9367*O258+0.0175, 4), P258)</f>
        <v>0.1818</v>
      </c>
      <c r="R258" s="33" t="str">
        <f aca="false">IF(OR(P258="", ISBLANK(P258)), "Imputed (Regression/Trend)", "Original")</f>
        <v>Original</v>
      </c>
      <c r="S258" s="46" t="n">
        <v>0.93</v>
      </c>
      <c r="T258" s="46" t="n">
        <v>0.1045</v>
      </c>
      <c r="U258" s="18" t="n">
        <v>1</v>
      </c>
      <c r="V258" s="18" t="n">
        <v>28</v>
      </c>
      <c r="W258" s="18" t="n">
        <f aca="false">U258+V258</f>
        <v>29</v>
      </c>
      <c r="X258" s="47" t="n">
        <f aca="false">U258/W258</f>
        <v>0.0344827586206897</v>
      </c>
      <c r="Y258" s="47" t="n">
        <f aca="false">V258/W258</f>
        <v>0.96551724137931</v>
      </c>
      <c r="Z258" s="33" t="str">
        <f aca="false">IF(W258&gt;=150, "High Demand", IF(W258&gt;=50, "Moderate Demand", "Low Demand"))</f>
        <v>Low Demand</v>
      </c>
      <c r="AA258" s="45" t="str">
        <f aca="false">TEXT(G258, "00") &amp; ":00"</f>
        <v>22:00</v>
      </c>
      <c r="AB258" s="43" t="n">
        <f aca="false">YEAR(B258)</f>
        <v>2011</v>
      </c>
      <c r="AC258" s="33" t="str">
        <f aca="false">TEXT(B258, "mmmm")</f>
        <v>January</v>
      </c>
      <c r="AD258" s="43" t="n">
        <f aca="false">LEN(TEXT(B258, "YYYY-MM-DD"))</f>
        <v>10</v>
      </c>
      <c r="AE258" s="45" t="str">
        <f aca="false">LEFT(TEXT(B258, "YYYY-MM-DD"), 4)</f>
        <v>2011</v>
      </c>
      <c r="AF258" s="45" t="str">
        <f aca="false">RIGHT(TEXT(B258, "YYYY-MM-DD"), 2)</f>
        <v>11</v>
      </c>
    </row>
    <row r="259" customFormat="false" ht="15" hidden="false" customHeight="false" outlineLevel="0" collapsed="false">
      <c r="A259" s="37" t="n">
        <v>255</v>
      </c>
      <c r="B259" s="38" t="s">
        <v>87</v>
      </c>
      <c r="C259" s="37" t="n">
        <v>1</v>
      </c>
      <c r="D259" s="35" t="str">
        <f aca="false">VLOOKUP(C259, Lookups_Metadata!$A$4:$B$7, 2, FALSE())</f>
        <v>Spring</v>
      </c>
      <c r="E259" s="37" t="n">
        <v>0</v>
      </c>
      <c r="F259" s="37" t="n">
        <v>1</v>
      </c>
      <c r="G259" s="37" t="n">
        <v>23</v>
      </c>
      <c r="H259" s="39" t="b">
        <f aca="false">FALSE()</f>
        <v>0</v>
      </c>
      <c r="I259" s="37" t="n">
        <v>2</v>
      </c>
      <c r="J259" s="35" t="str">
        <f aca="false">INDEX(Lookups_Metadata!$E$4:$E$10, MATCH(I259, Lookups_Metadata!$D$4:$D$10, 0))</f>
        <v>Tuesday</v>
      </c>
      <c r="K259" s="35" t="str">
        <f aca="false">IF(H259=TRUE(), "Holiday", IF(OR(I259=0, I259=6), "Weekend", "Weekday"))</f>
        <v>Weekday</v>
      </c>
      <c r="L259" s="35" t="str">
        <f aca="false">IF(AND(K259="Weekday", OR(AND(G259&gt;=7, G259&lt;=9), AND(G259&gt;=17, G259&lt;=19))), "Peak Commute", "Off-Peak")</f>
        <v>Off-Peak</v>
      </c>
      <c r="M259" s="37" t="n">
        <v>3</v>
      </c>
      <c r="N259" s="35" t="str">
        <f aca="false">VLOOKUP(M259, Lookups_Metadata!$G$4:$H$7, 2, FALSE())</f>
        <v>Light Snow / Light Rain</v>
      </c>
      <c r="O259" s="40" t="n">
        <v>0.16</v>
      </c>
      <c r="P259" s="40" t="n">
        <v>0.197</v>
      </c>
      <c r="Q259" s="40" t="n">
        <f aca="false">IF(OR(P259="", ISBLANK(P259)), ROUND(0.9367*O259+0.0175, 4), P259)</f>
        <v>0.197</v>
      </c>
      <c r="R259" s="35" t="str">
        <f aca="false">IF(OR(P259="", ISBLANK(P259)), "Imputed (Regression/Trend)", "Original")</f>
        <v>Original</v>
      </c>
      <c r="S259" s="40" t="n">
        <v>0.93</v>
      </c>
      <c r="T259" s="40" t="n">
        <v>0.0896</v>
      </c>
      <c r="U259" s="41" t="n">
        <v>1</v>
      </c>
      <c r="V259" s="41" t="n">
        <v>18</v>
      </c>
      <c r="W259" s="41" t="n">
        <f aca="false">U259+V259</f>
        <v>19</v>
      </c>
      <c r="X259" s="42" t="n">
        <f aca="false">U259/W259</f>
        <v>0.0526315789473684</v>
      </c>
      <c r="Y259" s="42" t="n">
        <f aca="false">V259/W259</f>
        <v>0.947368421052632</v>
      </c>
      <c r="Z259" s="35" t="str">
        <f aca="false">IF(W259&gt;=150, "High Demand", IF(W259&gt;=50, "Moderate Demand", "Low Demand"))</f>
        <v>Low Demand</v>
      </c>
      <c r="AA259" s="39" t="str">
        <f aca="false">TEXT(G259, "00") &amp; ":00"</f>
        <v>23:00</v>
      </c>
      <c r="AB259" s="37" t="n">
        <f aca="false">YEAR(B259)</f>
        <v>2011</v>
      </c>
      <c r="AC259" s="35" t="str">
        <f aca="false">TEXT(B259, "mmmm")</f>
        <v>January</v>
      </c>
      <c r="AD259" s="37" t="n">
        <f aca="false">LEN(TEXT(B259, "YYYY-MM-DD"))</f>
        <v>10</v>
      </c>
      <c r="AE259" s="39" t="str">
        <f aca="false">LEFT(TEXT(B259, "YYYY-MM-DD"), 4)</f>
        <v>2011</v>
      </c>
      <c r="AF259" s="39" t="str">
        <f aca="false">RIGHT(TEXT(B259, "YYYY-MM-DD"), 2)</f>
        <v>11</v>
      </c>
    </row>
    <row r="260" customFormat="false" ht="15" hidden="false" customHeight="false" outlineLevel="0" collapsed="false">
      <c r="A260" s="43" t="n">
        <v>256</v>
      </c>
      <c r="B260" s="44" t="s">
        <v>88</v>
      </c>
      <c r="C260" s="43" t="n">
        <v>1</v>
      </c>
      <c r="D260" s="33" t="str">
        <f aca="false">VLOOKUP(C260, Lookups_Metadata!$A$4:$B$7, 2, FALSE())</f>
        <v>Spring</v>
      </c>
      <c r="E260" s="43" t="n">
        <v>0</v>
      </c>
      <c r="F260" s="43" t="n">
        <v>1</v>
      </c>
      <c r="G260" s="43" t="n">
        <v>0</v>
      </c>
      <c r="H260" s="45" t="b">
        <f aca="false">FALSE()</f>
        <v>0</v>
      </c>
      <c r="I260" s="43" t="n">
        <v>3</v>
      </c>
      <c r="J260" s="33" t="str">
        <f aca="false">INDEX(Lookups_Metadata!$E$4:$E$10, MATCH(I260, Lookups_Metadata!$D$4:$D$10, 0))</f>
        <v>Wednesday</v>
      </c>
      <c r="K260" s="33" t="str">
        <f aca="false">IF(H260=TRUE(), "Holiday", IF(OR(I260=0, I260=6), "Weekend", "Weekday"))</f>
        <v>Weekday</v>
      </c>
      <c r="L260" s="33" t="str">
        <f aca="false">IF(AND(K260="Weekday", OR(AND(G260&gt;=7, G260&lt;=9), AND(G260&gt;=17, G260&lt;=19))), "Peak Commute", "Off-Peak")</f>
        <v>Off-Peak</v>
      </c>
      <c r="M260" s="43" t="n">
        <v>2</v>
      </c>
      <c r="N260" s="33" t="str">
        <f aca="false">VLOOKUP(M260, Lookups_Metadata!$G$4:$H$7, 2, FALSE())</f>
        <v>Mist / Cloudy</v>
      </c>
      <c r="O260" s="46" t="n">
        <v>0.16</v>
      </c>
      <c r="P260" s="46" t="n">
        <v>0.197</v>
      </c>
      <c r="Q260" s="46" t="n">
        <f aca="false">IF(OR(P260="", ISBLANK(P260)), ROUND(0.9367*O260+0.0175, 4), P260)</f>
        <v>0.197</v>
      </c>
      <c r="R260" s="33" t="str">
        <f aca="false">IF(OR(P260="", ISBLANK(P260)), "Imputed (Regression/Trend)", "Original")</f>
        <v>Original</v>
      </c>
      <c r="S260" s="46" t="n">
        <v>0.86</v>
      </c>
      <c r="T260" s="46" t="n">
        <v>0.0896</v>
      </c>
      <c r="U260" s="18" t="n">
        <v>0</v>
      </c>
      <c r="V260" s="18" t="n">
        <v>7</v>
      </c>
      <c r="W260" s="18" t="n">
        <f aca="false">U260+V260</f>
        <v>7</v>
      </c>
      <c r="X260" s="47" t="n">
        <f aca="false">U260/W260</f>
        <v>0</v>
      </c>
      <c r="Y260" s="47" t="n">
        <f aca="false">V260/W260</f>
        <v>1</v>
      </c>
      <c r="Z260" s="33" t="str">
        <f aca="false">IF(W260&gt;=150, "High Demand", IF(W260&gt;=50, "Moderate Demand", "Low Demand"))</f>
        <v>Low Demand</v>
      </c>
      <c r="AA260" s="45" t="str">
        <f aca="false">TEXT(G260, "00") &amp; ":00"</f>
        <v>00:00</v>
      </c>
      <c r="AB260" s="43" t="n">
        <f aca="false">YEAR(B260)</f>
        <v>2011</v>
      </c>
      <c r="AC260" s="33" t="str">
        <f aca="false">TEXT(B260, "mmmm")</f>
        <v>January</v>
      </c>
      <c r="AD260" s="43" t="n">
        <f aca="false">LEN(TEXT(B260, "YYYY-MM-DD"))</f>
        <v>10</v>
      </c>
      <c r="AE260" s="45" t="str">
        <f aca="false">LEFT(TEXT(B260, "YYYY-MM-DD"), 4)</f>
        <v>2011</v>
      </c>
      <c r="AF260" s="45" t="str">
        <f aca="false">RIGHT(TEXT(B260, "YYYY-MM-DD"), 2)</f>
        <v>12</v>
      </c>
    </row>
    <row r="261" customFormat="false" ht="15" hidden="false" customHeight="false" outlineLevel="0" collapsed="false">
      <c r="A261" s="37" t="n">
        <v>257</v>
      </c>
      <c r="B261" s="38" t="s">
        <v>88</v>
      </c>
      <c r="C261" s="37" t="n">
        <v>1</v>
      </c>
      <c r="D261" s="35" t="str">
        <f aca="false">VLOOKUP(C261, Lookups_Metadata!$A$4:$B$7, 2, FALSE())</f>
        <v>Spring</v>
      </c>
      <c r="E261" s="37" t="n">
        <v>0</v>
      </c>
      <c r="F261" s="37" t="n">
        <v>1</v>
      </c>
      <c r="G261" s="37" t="n">
        <v>1</v>
      </c>
      <c r="H261" s="39" t="b">
        <f aca="false">FALSE()</f>
        <v>0</v>
      </c>
      <c r="I261" s="37" t="n">
        <v>3</v>
      </c>
      <c r="J261" s="35" t="str">
        <f aca="false">INDEX(Lookups_Metadata!$E$4:$E$10, MATCH(I261, Lookups_Metadata!$D$4:$D$10, 0))</f>
        <v>Wednesday</v>
      </c>
      <c r="K261" s="35" t="str">
        <f aca="false">IF(H261=TRUE(), "Holiday", IF(OR(I261=0, I261=6), "Weekend", "Weekday"))</f>
        <v>Weekday</v>
      </c>
      <c r="L261" s="35" t="str">
        <f aca="false">IF(AND(K261="Weekday", OR(AND(G261&gt;=7, G261&lt;=9), AND(G261&gt;=17, G261&lt;=19))), "Peak Commute", "Off-Peak")</f>
        <v>Off-Peak</v>
      </c>
      <c r="M261" s="37" t="n">
        <v>2</v>
      </c>
      <c r="N261" s="35" t="str">
        <f aca="false">VLOOKUP(M261, Lookups_Metadata!$G$4:$H$7, 2, FALSE())</f>
        <v>Mist / Cloudy</v>
      </c>
      <c r="O261" s="40" t="n">
        <v>0.16</v>
      </c>
      <c r="P261" s="40" t="n">
        <v>0.1818</v>
      </c>
      <c r="Q261" s="40" t="n">
        <f aca="false">IF(OR(P261="", ISBLANK(P261)), ROUND(0.9367*O261+0.0175, 4), P261)</f>
        <v>0.1818</v>
      </c>
      <c r="R261" s="35" t="str">
        <f aca="false">IF(OR(P261="", ISBLANK(P261)), "Imputed (Regression/Trend)", "Original")</f>
        <v>Original</v>
      </c>
      <c r="S261" s="40" t="n">
        <v>0.86</v>
      </c>
      <c r="T261" s="40" t="n">
        <v>0.1045</v>
      </c>
      <c r="U261" s="41" t="n">
        <v>0</v>
      </c>
      <c r="V261" s="41" t="n">
        <v>6</v>
      </c>
      <c r="W261" s="41" t="n">
        <f aca="false">U261+V261</f>
        <v>6</v>
      </c>
      <c r="X261" s="42" t="n">
        <f aca="false">U261/W261</f>
        <v>0</v>
      </c>
      <c r="Y261" s="42" t="n">
        <f aca="false">V261/W261</f>
        <v>1</v>
      </c>
      <c r="Z261" s="35" t="str">
        <f aca="false">IF(W261&gt;=150, "High Demand", IF(W261&gt;=50, "Moderate Demand", "Low Demand"))</f>
        <v>Low Demand</v>
      </c>
      <c r="AA261" s="39" t="str">
        <f aca="false">TEXT(G261, "00") &amp; ":00"</f>
        <v>01:00</v>
      </c>
      <c r="AB261" s="37" t="n">
        <f aca="false">YEAR(B261)</f>
        <v>2011</v>
      </c>
      <c r="AC261" s="35" t="str">
        <f aca="false">TEXT(B261, "mmmm")</f>
        <v>January</v>
      </c>
      <c r="AD261" s="37" t="n">
        <f aca="false">LEN(TEXT(B261, "YYYY-MM-DD"))</f>
        <v>10</v>
      </c>
      <c r="AE261" s="39" t="str">
        <f aca="false">LEFT(TEXT(B261, "YYYY-MM-DD"), 4)</f>
        <v>2011</v>
      </c>
      <c r="AF261" s="39" t="str">
        <f aca="false">RIGHT(TEXT(B261, "YYYY-MM-DD"), 2)</f>
        <v>12</v>
      </c>
    </row>
    <row r="262" customFormat="false" ht="15" hidden="false" customHeight="false" outlineLevel="0" collapsed="false">
      <c r="A262" s="43" t="n">
        <v>258</v>
      </c>
      <c r="B262" s="44" t="s">
        <v>88</v>
      </c>
      <c r="C262" s="43" t="n">
        <v>1</v>
      </c>
      <c r="D262" s="33" t="str">
        <f aca="false">VLOOKUP(C262, Lookups_Metadata!$A$4:$B$7, 2, FALSE())</f>
        <v>Spring</v>
      </c>
      <c r="E262" s="43" t="n">
        <v>0</v>
      </c>
      <c r="F262" s="43" t="n">
        <v>1</v>
      </c>
      <c r="G262" s="43" t="n">
        <v>2</v>
      </c>
      <c r="H262" s="45" t="b">
        <f aca="false">FALSE()</f>
        <v>0</v>
      </c>
      <c r="I262" s="43" t="n">
        <v>3</v>
      </c>
      <c r="J262" s="33" t="str">
        <f aca="false">INDEX(Lookups_Metadata!$E$4:$E$10, MATCH(I262, Lookups_Metadata!$D$4:$D$10, 0))</f>
        <v>Wednesday</v>
      </c>
      <c r="K262" s="33" t="str">
        <f aca="false">IF(H262=TRUE(), "Holiday", IF(OR(I262=0, I262=6), "Weekend", "Weekday"))</f>
        <v>Weekday</v>
      </c>
      <c r="L262" s="33" t="str">
        <f aca="false">IF(AND(K262="Weekday", OR(AND(G262&gt;=7, G262&lt;=9), AND(G262&gt;=17, G262&lt;=19))), "Peak Commute", "Off-Peak")</f>
        <v>Off-Peak</v>
      </c>
      <c r="M262" s="43" t="n">
        <v>1</v>
      </c>
      <c r="N262" s="33" t="str">
        <f aca="false">VLOOKUP(M262, Lookups_Metadata!$G$4:$H$7, 2, FALSE())</f>
        <v>Clear / Few Clouds</v>
      </c>
      <c r="O262" s="46" t="n">
        <v>0.14</v>
      </c>
      <c r="P262" s="46" t="n">
        <v>0.1515</v>
      </c>
      <c r="Q262" s="46" t="n">
        <f aca="false">IF(OR(P262="", ISBLANK(P262)), ROUND(0.9367*O262+0.0175, 4), P262)</f>
        <v>0.1515</v>
      </c>
      <c r="R262" s="33" t="str">
        <f aca="false">IF(OR(P262="", ISBLANK(P262)), "Imputed (Regression/Trend)", "Original")</f>
        <v>Original</v>
      </c>
      <c r="S262" s="46" t="n">
        <v>0.86</v>
      </c>
      <c r="T262" s="46" t="n">
        <v>0.1343</v>
      </c>
      <c r="U262" s="18" t="n">
        <v>0</v>
      </c>
      <c r="V262" s="18" t="n">
        <v>1</v>
      </c>
      <c r="W262" s="18" t="n">
        <f aca="false">U262+V262</f>
        <v>1</v>
      </c>
      <c r="X262" s="47" t="n">
        <f aca="false">U262/W262</f>
        <v>0</v>
      </c>
      <c r="Y262" s="47" t="n">
        <f aca="false">V262/W262</f>
        <v>1</v>
      </c>
      <c r="Z262" s="33" t="str">
        <f aca="false">IF(W262&gt;=150, "High Demand", IF(W262&gt;=50, "Moderate Demand", "Low Demand"))</f>
        <v>Low Demand</v>
      </c>
      <c r="AA262" s="45" t="str">
        <f aca="false">TEXT(G262, "00") &amp; ":00"</f>
        <v>02:00</v>
      </c>
      <c r="AB262" s="43" t="n">
        <f aca="false">YEAR(B262)</f>
        <v>2011</v>
      </c>
      <c r="AC262" s="33" t="str">
        <f aca="false">TEXT(B262, "mmmm")</f>
        <v>January</v>
      </c>
      <c r="AD262" s="43" t="n">
        <f aca="false">LEN(TEXT(B262, "YYYY-MM-DD"))</f>
        <v>10</v>
      </c>
      <c r="AE262" s="45" t="str">
        <f aca="false">LEFT(TEXT(B262, "YYYY-MM-DD"), 4)</f>
        <v>2011</v>
      </c>
      <c r="AF262" s="45" t="str">
        <f aca="false">RIGHT(TEXT(B262, "YYYY-MM-DD"), 2)</f>
        <v>12</v>
      </c>
    </row>
    <row r="263" customFormat="false" ht="15" hidden="false" customHeight="false" outlineLevel="0" collapsed="false">
      <c r="A263" s="37" t="n">
        <v>259</v>
      </c>
      <c r="B263" s="38" t="s">
        <v>88</v>
      </c>
      <c r="C263" s="37" t="n">
        <v>1</v>
      </c>
      <c r="D263" s="35" t="str">
        <f aca="false">VLOOKUP(C263, Lookups_Metadata!$A$4:$B$7, 2, FALSE())</f>
        <v>Spring</v>
      </c>
      <c r="E263" s="37" t="n">
        <v>0</v>
      </c>
      <c r="F263" s="37" t="n">
        <v>1</v>
      </c>
      <c r="G263" s="37" t="n">
        <v>5</v>
      </c>
      <c r="H263" s="39" t="b">
        <f aca="false">FALSE()</f>
        <v>0</v>
      </c>
      <c r="I263" s="37" t="n">
        <v>3</v>
      </c>
      <c r="J263" s="35" t="str">
        <f aca="false">INDEX(Lookups_Metadata!$E$4:$E$10, MATCH(I263, Lookups_Metadata!$D$4:$D$10, 0))</f>
        <v>Wednesday</v>
      </c>
      <c r="K263" s="35" t="str">
        <f aca="false">IF(H263=TRUE(), "Holiday", IF(OR(I263=0, I263=6), "Weekend", "Weekday"))</f>
        <v>Weekday</v>
      </c>
      <c r="L263" s="35" t="str">
        <f aca="false">IF(AND(K263="Weekday", OR(AND(G263&gt;=7, G263&lt;=9), AND(G263&gt;=17, G263&lt;=19))), "Peak Commute", "Off-Peak")</f>
        <v>Off-Peak</v>
      </c>
      <c r="M263" s="37" t="n">
        <v>1</v>
      </c>
      <c r="N263" s="35" t="str">
        <f aca="false">VLOOKUP(M263, Lookups_Metadata!$G$4:$H$7, 2, FALSE())</f>
        <v>Clear / Few Clouds</v>
      </c>
      <c r="O263" s="40" t="n">
        <v>0.14</v>
      </c>
      <c r="P263" s="40" t="n">
        <v>0.1515</v>
      </c>
      <c r="Q263" s="40" t="n">
        <f aca="false">IF(OR(P263="", ISBLANK(P263)), ROUND(0.9367*O263+0.0175, 4), P263)</f>
        <v>0.1515</v>
      </c>
      <c r="R263" s="35" t="str">
        <f aca="false">IF(OR(P263="", ISBLANK(P263)), "Imputed (Regression/Trend)", "Original")</f>
        <v>Original</v>
      </c>
      <c r="S263" s="40" t="n">
        <v>0.86</v>
      </c>
      <c r="T263" s="40" t="n">
        <v>0.1642</v>
      </c>
      <c r="U263" s="41" t="n">
        <v>0</v>
      </c>
      <c r="V263" s="41" t="n">
        <v>5</v>
      </c>
      <c r="W263" s="41" t="n">
        <f aca="false">U263+V263</f>
        <v>5</v>
      </c>
      <c r="X263" s="42" t="n">
        <f aca="false">U263/W263</f>
        <v>0</v>
      </c>
      <c r="Y263" s="42" t="n">
        <f aca="false">V263/W263</f>
        <v>1</v>
      </c>
      <c r="Z263" s="35" t="str">
        <f aca="false">IF(W263&gt;=150, "High Demand", IF(W263&gt;=50, "Moderate Demand", "Low Demand"))</f>
        <v>Low Demand</v>
      </c>
      <c r="AA263" s="39" t="str">
        <f aca="false">TEXT(G263, "00") &amp; ":00"</f>
        <v>05:00</v>
      </c>
      <c r="AB263" s="37" t="n">
        <f aca="false">YEAR(B263)</f>
        <v>2011</v>
      </c>
      <c r="AC263" s="35" t="str">
        <f aca="false">TEXT(B263, "mmmm")</f>
        <v>January</v>
      </c>
      <c r="AD263" s="37" t="n">
        <f aca="false">LEN(TEXT(B263, "YYYY-MM-DD"))</f>
        <v>10</v>
      </c>
      <c r="AE263" s="39" t="str">
        <f aca="false">LEFT(TEXT(B263, "YYYY-MM-DD"), 4)</f>
        <v>2011</v>
      </c>
      <c r="AF263" s="39" t="str">
        <f aca="false">RIGHT(TEXT(B263, "YYYY-MM-DD"), 2)</f>
        <v>12</v>
      </c>
    </row>
    <row r="264" customFormat="false" ht="15" hidden="false" customHeight="false" outlineLevel="0" collapsed="false">
      <c r="A264" s="43" t="n">
        <v>260</v>
      </c>
      <c r="B264" s="44" t="s">
        <v>88</v>
      </c>
      <c r="C264" s="43" t="n">
        <v>1</v>
      </c>
      <c r="D264" s="33" t="str">
        <f aca="false">VLOOKUP(C264, Lookups_Metadata!$A$4:$B$7, 2, FALSE())</f>
        <v>Spring</v>
      </c>
      <c r="E264" s="43" t="n">
        <v>0</v>
      </c>
      <c r="F264" s="43" t="n">
        <v>1</v>
      </c>
      <c r="G264" s="43" t="n">
        <v>6</v>
      </c>
      <c r="H264" s="45" t="b">
        <f aca="false">FALSE()</f>
        <v>0</v>
      </c>
      <c r="I264" s="43" t="n">
        <v>3</v>
      </c>
      <c r="J264" s="33" t="str">
        <f aca="false">INDEX(Lookups_Metadata!$E$4:$E$10, MATCH(I264, Lookups_Metadata!$D$4:$D$10, 0))</f>
        <v>Wednesday</v>
      </c>
      <c r="K264" s="33" t="str">
        <f aca="false">IF(H264=TRUE(), "Holiday", IF(OR(I264=0, I264=6), "Weekend", "Weekday"))</f>
        <v>Weekday</v>
      </c>
      <c r="L264" s="33" t="str">
        <f aca="false">IF(AND(K264="Weekday", OR(AND(G264&gt;=7, G264&lt;=9), AND(G264&gt;=17, G264&lt;=19))), "Peak Commute", "Off-Peak")</f>
        <v>Off-Peak</v>
      </c>
      <c r="M264" s="43" t="n">
        <v>1</v>
      </c>
      <c r="N264" s="33" t="str">
        <f aca="false">VLOOKUP(M264, Lookups_Metadata!$G$4:$H$7, 2, FALSE())</f>
        <v>Clear / Few Clouds</v>
      </c>
      <c r="O264" s="46" t="n">
        <v>0.12</v>
      </c>
      <c r="P264" s="46" t="n">
        <v>0.1515</v>
      </c>
      <c r="Q264" s="46" t="n">
        <f aca="false">IF(OR(P264="", ISBLANK(P264)), ROUND(0.9367*O264+0.0175, 4), P264)</f>
        <v>0.1515</v>
      </c>
      <c r="R264" s="33" t="str">
        <f aca="false">IF(OR(P264="", ISBLANK(P264)), "Imputed (Regression/Trend)", "Original")</f>
        <v>Original</v>
      </c>
      <c r="S264" s="46" t="n">
        <v>0.93</v>
      </c>
      <c r="T264" s="46" t="n">
        <v>0.1343</v>
      </c>
      <c r="U264" s="18" t="n">
        <v>0</v>
      </c>
      <c r="V264" s="18" t="n">
        <v>16</v>
      </c>
      <c r="W264" s="18" t="n">
        <f aca="false">U264+V264</f>
        <v>16</v>
      </c>
      <c r="X264" s="47" t="n">
        <f aca="false">U264/W264</f>
        <v>0</v>
      </c>
      <c r="Y264" s="47" t="n">
        <f aca="false">V264/W264</f>
        <v>1</v>
      </c>
      <c r="Z264" s="33" t="str">
        <f aca="false">IF(W264&gt;=150, "High Demand", IF(W264&gt;=50, "Moderate Demand", "Low Demand"))</f>
        <v>Low Demand</v>
      </c>
      <c r="AA264" s="45" t="str">
        <f aca="false">TEXT(G264, "00") &amp; ":00"</f>
        <v>06:00</v>
      </c>
      <c r="AB264" s="43" t="n">
        <f aca="false">YEAR(B264)</f>
        <v>2011</v>
      </c>
      <c r="AC264" s="33" t="str">
        <f aca="false">TEXT(B264, "mmmm")</f>
        <v>January</v>
      </c>
      <c r="AD264" s="43" t="n">
        <f aca="false">LEN(TEXT(B264, "YYYY-MM-DD"))</f>
        <v>10</v>
      </c>
      <c r="AE264" s="45" t="str">
        <f aca="false">LEFT(TEXT(B264, "YYYY-MM-DD"), 4)</f>
        <v>2011</v>
      </c>
      <c r="AF264" s="45" t="str">
        <f aca="false">RIGHT(TEXT(B264, "YYYY-MM-DD"), 2)</f>
        <v>12</v>
      </c>
    </row>
    <row r="265" customFormat="false" ht="15" hidden="false" customHeight="false" outlineLevel="0" collapsed="false">
      <c r="A265" s="37" t="n">
        <v>261</v>
      </c>
      <c r="B265" s="38" t="s">
        <v>88</v>
      </c>
      <c r="C265" s="37" t="n">
        <v>1</v>
      </c>
      <c r="D265" s="35" t="str">
        <f aca="false">VLOOKUP(C265, Lookups_Metadata!$A$4:$B$7, 2, FALSE())</f>
        <v>Spring</v>
      </c>
      <c r="E265" s="37" t="n">
        <v>0</v>
      </c>
      <c r="F265" s="37" t="n">
        <v>1</v>
      </c>
      <c r="G265" s="37" t="n">
        <v>7</v>
      </c>
      <c r="H265" s="39" t="b">
        <f aca="false">FALSE()</f>
        <v>0</v>
      </c>
      <c r="I265" s="37" t="n">
        <v>3</v>
      </c>
      <c r="J265" s="35" t="str">
        <f aca="false">INDEX(Lookups_Metadata!$E$4:$E$10, MATCH(I265, Lookups_Metadata!$D$4:$D$10, 0))</f>
        <v>Wednesday</v>
      </c>
      <c r="K265" s="35" t="str">
        <f aca="false">IF(H265=TRUE(), "Holiday", IF(OR(I265=0, I265=6), "Weekend", "Weekday"))</f>
        <v>Weekday</v>
      </c>
      <c r="L265" s="35" t="str">
        <f aca="false">IF(AND(K265="Weekday", OR(AND(G265&gt;=7, G265&lt;=9), AND(G265&gt;=17, G265&lt;=19))), "Peak Commute", "Off-Peak")</f>
        <v>Peak Commute</v>
      </c>
      <c r="M265" s="37" t="n">
        <v>1</v>
      </c>
      <c r="N265" s="35" t="str">
        <f aca="false">VLOOKUP(M265, Lookups_Metadata!$G$4:$H$7, 2, FALSE())</f>
        <v>Clear / Few Clouds</v>
      </c>
      <c r="O265" s="40" t="n">
        <v>0.14</v>
      </c>
      <c r="P265" s="40" t="n">
        <v>0.1515</v>
      </c>
      <c r="Q265" s="40" t="n">
        <f aca="false">IF(OR(P265="", ISBLANK(P265)), ROUND(0.9367*O265+0.0175, 4), P265)</f>
        <v>0.1515</v>
      </c>
      <c r="R265" s="35" t="str">
        <f aca="false">IF(OR(P265="", ISBLANK(P265)), "Imputed (Regression/Trend)", "Original")</f>
        <v>Original</v>
      </c>
      <c r="S265" s="40" t="n">
        <v>0.69</v>
      </c>
      <c r="T265" s="40" t="n">
        <v>0.1343</v>
      </c>
      <c r="U265" s="41" t="n">
        <v>0</v>
      </c>
      <c r="V265" s="41" t="n">
        <v>54</v>
      </c>
      <c r="W265" s="41" t="n">
        <f aca="false">U265+V265</f>
        <v>54</v>
      </c>
      <c r="X265" s="42" t="n">
        <f aca="false">U265/W265</f>
        <v>0</v>
      </c>
      <c r="Y265" s="42" t="n">
        <f aca="false">V265/W265</f>
        <v>1</v>
      </c>
      <c r="Z265" s="35" t="str">
        <f aca="false">IF(W265&gt;=150, "High Demand", IF(W265&gt;=50, "Moderate Demand", "Low Demand"))</f>
        <v>Moderate Demand</v>
      </c>
      <c r="AA265" s="39" t="str">
        <f aca="false">TEXT(G265, "00") &amp; ":00"</f>
        <v>07:00</v>
      </c>
      <c r="AB265" s="37" t="n">
        <f aca="false">YEAR(B265)</f>
        <v>2011</v>
      </c>
      <c r="AC265" s="35" t="str">
        <f aca="false">TEXT(B265, "mmmm")</f>
        <v>January</v>
      </c>
      <c r="AD265" s="37" t="n">
        <f aca="false">LEN(TEXT(B265, "YYYY-MM-DD"))</f>
        <v>10</v>
      </c>
      <c r="AE265" s="39" t="str">
        <f aca="false">LEFT(TEXT(B265, "YYYY-MM-DD"), 4)</f>
        <v>2011</v>
      </c>
      <c r="AF265" s="39" t="str">
        <f aca="false">RIGHT(TEXT(B265, "YYYY-MM-DD"), 2)</f>
        <v>12</v>
      </c>
    </row>
    <row r="266" customFormat="false" ht="15" hidden="false" customHeight="false" outlineLevel="0" collapsed="false">
      <c r="A266" s="43" t="n">
        <v>262</v>
      </c>
      <c r="B266" s="44" t="s">
        <v>88</v>
      </c>
      <c r="C266" s="43" t="n">
        <v>1</v>
      </c>
      <c r="D266" s="33" t="str">
        <f aca="false">VLOOKUP(C266, Lookups_Metadata!$A$4:$B$7, 2, FALSE())</f>
        <v>Spring</v>
      </c>
      <c r="E266" s="43" t="n">
        <v>0</v>
      </c>
      <c r="F266" s="43" t="n">
        <v>1</v>
      </c>
      <c r="G266" s="43" t="n">
        <v>8</v>
      </c>
      <c r="H266" s="45" t="b">
        <f aca="false">FALSE()</f>
        <v>0</v>
      </c>
      <c r="I266" s="43" t="n">
        <v>3</v>
      </c>
      <c r="J266" s="33" t="str">
        <f aca="false">INDEX(Lookups_Metadata!$E$4:$E$10, MATCH(I266, Lookups_Metadata!$D$4:$D$10, 0))</f>
        <v>Wednesday</v>
      </c>
      <c r="K266" s="33" t="str">
        <f aca="false">IF(H266=TRUE(), "Holiday", IF(OR(I266=0, I266=6), "Weekend", "Weekday"))</f>
        <v>Weekday</v>
      </c>
      <c r="L266" s="33" t="str">
        <f aca="false">IF(AND(K266="Weekday", OR(AND(G266&gt;=7, G266&lt;=9), AND(G266&gt;=17, G266&lt;=19))), "Peak Commute", "Off-Peak")</f>
        <v>Peak Commute</v>
      </c>
      <c r="M266" s="43" t="n">
        <v>1</v>
      </c>
      <c r="N266" s="33" t="str">
        <f aca="false">VLOOKUP(M266, Lookups_Metadata!$G$4:$H$7, 2, FALSE())</f>
        <v>Clear / Few Clouds</v>
      </c>
      <c r="O266" s="46" t="n">
        <v>0.16</v>
      </c>
      <c r="P266" s="46" t="n">
        <v>0.1667</v>
      </c>
      <c r="Q266" s="46" t="n">
        <f aca="false">IF(OR(P266="", ISBLANK(P266)), ROUND(0.9367*O266+0.0175, 4), P266)</f>
        <v>0.1667</v>
      </c>
      <c r="R266" s="33" t="str">
        <f aca="false">IF(OR(P266="", ISBLANK(P266)), "Imputed (Regression/Trend)", "Original")</f>
        <v>Original</v>
      </c>
      <c r="S266" s="46" t="n">
        <v>0.59</v>
      </c>
      <c r="T266" s="46" t="n">
        <v>0.1642</v>
      </c>
      <c r="U266" s="18" t="n">
        <v>3</v>
      </c>
      <c r="V266" s="18" t="n">
        <v>125</v>
      </c>
      <c r="W266" s="18" t="n">
        <f aca="false">U266+V266</f>
        <v>128</v>
      </c>
      <c r="X266" s="47" t="n">
        <f aca="false">U266/W266</f>
        <v>0.0234375</v>
      </c>
      <c r="Y266" s="47" t="n">
        <f aca="false">V266/W266</f>
        <v>0.9765625</v>
      </c>
      <c r="Z266" s="33" t="str">
        <f aca="false">IF(W266&gt;=150, "High Demand", IF(W266&gt;=50, "Moderate Demand", "Low Demand"))</f>
        <v>Moderate Demand</v>
      </c>
      <c r="AA266" s="45" t="str">
        <f aca="false">TEXT(G266, "00") &amp; ":00"</f>
        <v>08:00</v>
      </c>
      <c r="AB266" s="43" t="n">
        <f aca="false">YEAR(B266)</f>
        <v>2011</v>
      </c>
      <c r="AC266" s="33" t="str">
        <f aca="false">TEXT(B266, "mmmm")</f>
        <v>January</v>
      </c>
      <c r="AD266" s="43" t="n">
        <f aca="false">LEN(TEXT(B266, "YYYY-MM-DD"))</f>
        <v>10</v>
      </c>
      <c r="AE266" s="45" t="str">
        <f aca="false">LEFT(TEXT(B266, "YYYY-MM-DD"), 4)</f>
        <v>2011</v>
      </c>
      <c r="AF266" s="45" t="str">
        <f aca="false">RIGHT(TEXT(B266, "YYYY-MM-DD"), 2)</f>
        <v>12</v>
      </c>
    </row>
    <row r="267" customFormat="false" ht="15" hidden="false" customHeight="false" outlineLevel="0" collapsed="false">
      <c r="A267" s="37" t="n">
        <v>263</v>
      </c>
      <c r="B267" s="38" t="s">
        <v>88</v>
      </c>
      <c r="C267" s="37" t="n">
        <v>1</v>
      </c>
      <c r="D267" s="35" t="str">
        <f aca="false">VLOOKUP(C267, Lookups_Metadata!$A$4:$B$7, 2, FALSE())</f>
        <v>Spring</v>
      </c>
      <c r="E267" s="37" t="n">
        <v>0</v>
      </c>
      <c r="F267" s="37" t="n">
        <v>1</v>
      </c>
      <c r="G267" s="37" t="n">
        <v>9</v>
      </c>
      <c r="H267" s="39" t="b">
        <f aca="false">FALSE()</f>
        <v>0</v>
      </c>
      <c r="I267" s="37" t="n">
        <v>3</v>
      </c>
      <c r="J267" s="35" t="str">
        <f aca="false">INDEX(Lookups_Metadata!$E$4:$E$10, MATCH(I267, Lookups_Metadata!$D$4:$D$10, 0))</f>
        <v>Wednesday</v>
      </c>
      <c r="K267" s="35" t="str">
        <f aca="false">IF(H267=TRUE(), "Holiday", IF(OR(I267=0, I267=6), "Weekend", "Weekday"))</f>
        <v>Weekday</v>
      </c>
      <c r="L267" s="35" t="str">
        <f aca="false">IF(AND(K267="Weekday", OR(AND(G267&gt;=7, G267&lt;=9), AND(G267&gt;=17, G267&lt;=19))), "Peak Commute", "Off-Peak")</f>
        <v>Peak Commute</v>
      </c>
      <c r="M267" s="37" t="n">
        <v>1</v>
      </c>
      <c r="N267" s="35" t="str">
        <f aca="false">VLOOKUP(M267, Lookups_Metadata!$G$4:$H$7, 2, FALSE())</f>
        <v>Clear / Few Clouds</v>
      </c>
      <c r="O267" s="40" t="n">
        <v>0.16</v>
      </c>
      <c r="P267" s="40" t="n">
        <v>0.1364</v>
      </c>
      <c r="Q267" s="40" t="n">
        <f aca="false">IF(OR(P267="", ISBLANK(P267)), ROUND(0.9367*O267+0.0175, 4), P267)</f>
        <v>0.1364</v>
      </c>
      <c r="R267" s="35" t="str">
        <f aca="false">IF(OR(P267="", ISBLANK(P267)), "Imputed (Regression/Trend)", "Original")</f>
        <v>Original</v>
      </c>
      <c r="S267" s="40" t="n">
        <v>0.59</v>
      </c>
      <c r="T267" s="40" t="n">
        <v>0.3284</v>
      </c>
      <c r="U267" s="41" t="n">
        <v>3</v>
      </c>
      <c r="V267" s="41" t="n">
        <v>78</v>
      </c>
      <c r="W267" s="41" t="n">
        <f aca="false">U267+V267</f>
        <v>81</v>
      </c>
      <c r="X267" s="42" t="n">
        <f aca="false">U267/W267</f>
        <v>0.037037037037037</v>
      </c>
      <c r="Y267" s="42" t="n">
        <f aca="false">V267/W267</f>
        <v>0.962962962962963</v>
      </c>
      <c r="Z267" s="35" t="str">
        <f aca="false">IF(W267&gt;=150, "High Demand", IF(W267&gt;=50, "Moderate Demand", "Low Demand"))</f>
        <v>Moderate Demand</v>
      </c>
      <c r="AA267" s="39" t="str">
        <f aca="false">TEXT(G267, "00") &amp; ":00"</f>
        <v>09:00</v>
      </c>
      <c r="AB267" s="37" t="n">
        <f aca="false">YEAR(B267)</f>
        <v>2011</v>
      </c>
      <c r="AC267" s="35" t="str">
        <f aca="false">TEXT(B267, "mmmm")</f>
        <v>January</v>
      </c>
      <c r="AD267" s="37" t="n">
        <f aca="false">LEN(TEXT(B267, "YYYY-MM-DD"))</f>
        <v>10</v>
      </c>
      <c r="AE267" s="39" t="str">
        <f aca="false">LEFT(TEXT(B267, "YYYY-MM-DD"), 4)</f>
        <v>2011</v>
      </c>
      <c r="AF267" s="39" t="str">
        <f aca="false">RIGHT(TEXT(B267, "YYYY-MM-DD"), 2)</f>
        <v>12</v>
      </c>
    </row>
    <row r="268" customFormat="false" ht="15" hidden="false" customHeight="false" outlineLevel="0" collapsed="false">
      <c r="A268" s="43" t="n">
        <v>264</v>
      </c>
      <c r="B268" s="44" t="s">
        <v>88</v>
      </c>
      <c r="C268" s="43" t="n">
        <v>1</v>
      </c>
      <c r="D268" s="33" t="str">
        <f aca="false">VLOOKUP(C268, Lookups_Metadata!$A$4:$B$7, 2, FALSE())</f>
        <v>Spring</v>
      </c>
      <c r="E268" s="43" t="n">
        <v>0</v>
      </c>
      <c r="F268" s="43" t="n">
        <v>1</v>
      </c>
      <c r="G268" s="43" t="n">
        <v>10</v>
      </c>
      <c r="H268" s="45" t="b">
        <f aca="false">FALSE()</f>
        <v>0</v>
      </c>
      <c r="I268" s="43" t="n">
        <v>3</v>
      </c>
      <c r="J268" s="33" t="str">
        <f aca="false">INDEX(Lookups_Metadata!$E$4:$E$10, MATCH(I268, Lookups_Metadata!$D$4:$D$10, 0))</f>
        <v>Wednesday</v>
      </c>
      <c r="K268" s="33" t="str">
        <f aca="false">IF(H268=TRUE(), "Holiday", IF(OR(I268=0, I268=6), "Weekend", "Weekday"))</f>
        <v>Weekday</v>
      </c>
      <c r="L268" s="33" t="str">
        <f aca="false">IF(AND(K268="Weekday", OR(AND(G268&gt;=7, G268&lt;=9), AND(G268&gt;=17, G268&lt;=19))), "Peak Commute", "Off-Peak")</f>
        <v>Off-Peak</v>
      </c>
      <c r="M268" s="43" t="n">
        <v>1</v>
      </c>
      <c r="N268" s="33" t="str">
        <f aca="false">VLOOKUP(M268, Lookups_Metadata!$G$4:$H$7, 2, FALSE())</f>
        <v>Clear / Few Clouds</v>
      </c>
      <c r="O268" s="46" t="n">
        <v>0.18</v>
      </c>
      <c r="P268" s="46" t="n">
        <v>0.1818</v>
      </c>
      <c r="Q268" s="46" t="n">
        <f aca="false">IF(OR(P268="", ISBLANK(P268)), ROUND(0.9367*O268+0.0175, 4), P268)</f>
        <v>0.1818</v>
      </c>
      <c r="R268" s="33" t="str">
        <f aca="false">IF(OR(P268="", ISBLANK(P268)), "Imputed (Regression/Trend)", "Original")</f>
        <v>Original</v>
      </c>
      <c r="S268" s="46" t="n">
        <v>0.55</v>
      </c>
      <c r="T268" s="46" t="n">
        <v>0.2239</v>
      </c>
      <c r="U268" s="18" t="n">
        <v>0</v>
      </c>
      <c r="V268" s="18" t="n">
        <v>39</v>
      </c>
      <c r="W268" s="18" t="n">
        <f aca="false">U268+V268</f>
        <v>39</v>
      </c>
      <c r="X268" s="47" t="n">
        <f aca="false">U268/W268</f>
        <v>0</v>
      </c>
      <c r="Y268" s="47" t="n">
        <f aca="false">V268/W268</f>
        <v>1</v>
      </c>
      <c r="Z268" s="33" t="str">
        <f aca="false">IF(W268&gt;=150, "High Demand", IF(W268&gt;=50, "Moderate Demand", "Low Demand"))</f>
        <v>Low Demand</v>
      </c>
      <c r="AA268" s="45" t="str">
        <f aca="false">TEXT(G268, "00") &amp; ":00"</f>
        <v>10:00</v>
      </c>
      <c r="AB268" s="43" t="n">
        <f aca="false">YEAR(B268)</f>
        <v>2011</v>
      </c>
      <c r="AC268" s="33" t="str">
        <f aca="false">TEXT(B268, "mmmm")</f>
        <v>January</v>
      </c>
      <c r="AD268" s="43" t="n">
        <f aca="false">LEN(TEXT(B268, "YYYY-MM-DD"))</f>
        <v>10</v>
      </c>
      <c r="AE268" s="45" t="str">
        <f aca="false">LEFT(TEXT(B268, "YYYY-MM-DD"), 4)</f>
        <v>2011</v>
      </c>
      <c r="AF268" s="45" t="str">
        <f aca="false">RIGHT(TEXT(B268, "YYYY-MM-DD"), 2)</f>
        <v>12</v>
      </c>
    </row>
    <row r="269" customFormat="false" ht="15" hidden="false" customHeight="false" outlineLevel="0" collapsed="false">
      <c r="A269" s="37" t="n">
        <v>265</v>
      </c>
      <c r="B269" s="38" t="s">
        <v>88</v>
      </c>
      <c r="C269" s="37" t="n">
        <v>1</v>
      </c>
      <c r="D269" s="35" t="str">
        <f aca="false">VLOOKUP(C269, Lookups_Metadata!$A$4:$B$7, 2, FALSE())</f>
        <v>Spring</v>
      </c>
      <c r="E269" s="37" t="n">
        <v>0</v>
      </c>
      <c r="F269" s="37" t="n">
        <v>1</v>
      </c>
      <c r="G269" s="37" t="n">
        <v>11</v>
      </c>
      <c r="H269" s="39" t="b">
        <f aca="false">FALSE()</f>
        <v>0</v>
      </c>
      <c r="I269" s="37" t="n">
        <v>3</v>
      </c>
      <c r="J269" s="35" t="str">
        <f aca="false">INDEX(Lookups_Metadata!$E$4:$E$10, MATCH(I269, Lookups_Metadata!$D$4:$D$10, 0))</f>
        <v>Wednesday</v>
      </c>
      <c r="K269" s="35" t="str">
        <f aca="false">IF(H269=TRUE(), "Holiday", IF(OR(I269=0, I269=6), "Weekend", "Weekday"))</f>
        <v>Weekday</v>
      </c>
      <c r="L269" s="35" t="str">
        <f aca="false">IF(AND(K269="Weekday", OR(AND(G269&gt;=7, G269&lt;=9), AND(G269&gt;=17, G269&lt;=19))), "Peak Commute", "Off-Peak")</f>
        <v>Off-Peak</v>
      </c>
      <c r="M269" s="37" t="n">
        <v>1</v>
      </c>
      <c r="N269" s="35" t="str">
        <f aca="false">VLOOKUP(M269, Lookups_Metadata!$G$4:$H$7, 2, FALSE())</f>
        <v>Clear / Few Clouds</v>
      </c>
      <c r="O269" s="40" t="n">
        <v>0.2</v>
      </c>
      <c r="P269" s="40" t="n">
        <v>0.1818</v>
      </c>
      <c r="Q269" s="40" t="n">
        <f aca="false">IF(OR(P269="", ISBLANK(P269)), ROUND(0.9367*O269+0.0175, 4), P269)</f>
        <v>0.1818</v>
      </c>
      <c r="R269" s="35" t="str">
        <f aca="false">IF(OR(P269="", ISBLANK(P269)), "Imputed (Regression/Trend)", "Original")</f>
        <v>Original</v>
      </c>
      <c r="S269" s="40" t="n">
        <v>0.51</v>
      </c>
      <c r="T269" s="40" t="n">
        <v>0.3881</v>
      </c>
      <c r="U269" s="41" t="n">
        <v>3</v>
      </c>
      <c r="V269" s="41" t="n">
        <v>32</v>
      </c>
      <c r="W269" s="41" t="n">
        <f aca="false">U269+V269</f>
        <v>35</v>
      </c>
      <c r="X269" s="42" t="n">
        <f aca="false">U269/W269</f>
        <v>0.0857142857142857</v>
      </c>
      <c r="Y269" s="42" t="n">
        <f aca="false">V269/W269</f>
        <v>0.914285714285714</v>
      </c>
      <c r="Z269" s="35" t="str">
        <f aca="false">IF(W269&gt;=150, "High Demand", IF(W269&gt;=50, "Moderate Demand", "Low Demand"))</f>
        <v>Low Demand</v>
      </c>
      <c r="AA269" s="39" t="str">
        <f aca="false">TEXT(G269, "00") &amp; ":00"</f>
        <v>11:00</v>
      </c>
      <c r="AB269" s="37" t="n">
        <f aca="false">YEAR(B269)</f>
        <v>2011</v>
      </c>
      <c r="AC269" s="35" t="str">
        <f aca="false">TEXT(B269, "mmmm")</f>
        <v>January</v>
      </c>
      <c r="AD269" s="37" t="n">
        <f aca="false">LEN(TEXT(B269, "YYYY-MM-DD"))</f>
        <v>10</v>
      </c>
      <c r="AE269" s="39" t="str">
        <f aca="false">LEFT(TEXT(B269, "YYYY-MM-DD"), 4)</f>
        <v>2011</v>
      </c>
      <c r="AF269" s="39" t="str">
        <f aca="false">RIGHT(TEXT(B269, "YYYY-MM-DD"), 2)</f>
        <v>12</v>
      </c>
    </row>
    <row r="270" customFormat="false" ht="15" hidden="false" customHeight="false" outlineLevel="0" collapsed="false">
      <c r="A270" s="43" t="n">
        <v>266</v>
      </c>
      <c r="B270" s="44" t="s">
        <v>88</v>
      </c>
      <c r="C270" s="43" t="n">
        <v>1</v>
      </c>
      <c r="D270" s="33" t="str">
        <f aca="false">VLOOKUP(C270, Lookups_Metadata!$A$4:$B$7, 2, FALSE())</f>
        <v>Spring</v>
      </c>
      <c r="E270" s="43" t="n">
        <v>0</v>
      </c>
      <c r="F270" s="43" t="n">
        <v>1</v>
      </c>
      <c r="G270" s="43" t="n">
        <v>12</v>
      </c>
      <c r="H270" s="45" t="b">
        <f aca="false">FALSE()</f>
        <v>0</v>
      </c>
      <c r="I270" s="43" t="n">
        <v>3</v>
      </c>
      <c r="J270" s="33" t="str">
        <f aca="false">INDEX(Lookups_Metadata!$E$4:$E$10, MATCH(I270, Lookups_Metadata!$D$4:$D$10, 0))</f>
        <v>Wednesday</v>
      </c>
      <c r="K270" s="33" t="str">
        <f aca="false">IF(H270=TRUE(), "Holiday", IF(OR(I270=0, I270=6), "Weekend", "Weekday"))</f>
        <v>Weekday</v>
      </c>
      <c r="L270" s="33" t="str">
        <f aca="false">IF(AND(K270="Weekday", OR(AND(G270&gt;=7, G270&lt;=9), AND(G270&gt;=17, G270&lt;=19))), "Peak Commute", "Off-Peak")</f>
        <v>Off-Peak</v>
      </c>
      <c r="M270" s="43" t="n">
        <v>1</v>
      </c>
      <c r="N270" s="33" t="str">
        <f aca="false">VLOOKUP(M270, Lookups_Metadata!$G$4:$H$7, 2, FALSE())</f>
        <v>Clear / Few Clouds</v>
      </c>
      <c r="O270" s="46" t="n">
        <v>0.2</v>
      </c>
      <c r="P270" s="46" t="n">
        <v>0.1515</v>
      </c>
      <c r="Q270" s="46" t="n">
        <f aca="false">IF(OR(P270="", ISBLANK(P270)), ROUND(0.9367*O270+0.0175, 4), P270)</f>
        <v>0.1515</v>
      </c>
      <c r="R270" s="33" t="str">
        <f aca="false">IF(OR(P270="", ISBLANK(P270)), "Imputed (Regression/Trend)", "Original")</f>
        <v>Original</v>
      </c>
      <c r="S270" s="46" t="n">
        <v>0.47</v>
      </c>
      <c r="T270" s="46" t="n">
        <v>0.5821</v>
      </c>
      <c r="U270" s="18" t="n">
        <v>3</v>
      </c>
      <c r="V270" s="18" t="n">
        <v>52</v>
      </c>
      <c r="W270" s="18" t="n">
        <f aca="false">U270+V270</f>
        <v>55</v>
      </c>
      <c r="X270" s="47" t="n">
        <f aca="false">U270/W270</f>
        <v>0.0545454545454545</v>
      </c>
      <c r="Y270" s="47" t="n">
        <f aca="false">V270/W270</f>
        <v>0.945454545454545</v>
      </c>
      <c r="Z270" s="33" t="str">
        <f aca="false">IF(W270&gt;=150, "High Demand", IF(W270&gt;=50, "Moderate Demand", "Low Demand"))</f>
        <v>Moderate Demand</v>
      </c>
      <c r="AA270" s="45" t="str">
        <f aca="false">TEXT(G270, "00") &amp; ":00"</f>
        <v>12:00</v>
      </c>
      <c r="AB270" s="43" t="n">
        <f aca="false">YEAR(B270)</f>
        <v>2011</v>
      </c>
      <c r="AC270" s="33" t="str">
        <f aca="false">TEXT(B270, "mmmm")</f>
        <v>January</v>
      </c>
      <c r="AD270" s="43" t="n">
        <f aca="false">LEN(TEXT(B270, "YYYY-MM-DD"))</f>
        <v>10</v>
      </c>
      <c r="AE270" s="45" t="str">
        <f aca="false">LEFT(TEXT(B270, "YYYY-MM-DD"), 4)</f>
        <v>2011</v>
      </c>
      <c r="AF270" s="45" t="str">
        <f aca="false">RIGHT(TEXT(B270, "YYYY-MM-DD"), 2)</f>
        <v>12</v>
      </c>
    </row>
    <row r="271" customFormat="false" ht="15" hidden="false" customHeight="false" outlineLevel="0" collapsed="false">
      <c r="A271" s="37" t="n">
        <v>267</v>
      </c>
      <c r="B271" s="38" t="s">
        <v>88</v>
      </c>
      <c r="C271" s="37" t="n">
        <v>1</v>
      </c>
      <c r="D271" s="35" t="str">
        <f aca="false">VLOOKUP(C271, Lookups_Metadata!$A$4:$B$7, 2, FALSE())</f>
        <v>Spring</v>
      </c>
      <c r="E271" s="37" t="n">
        <v>0</v>
      </c>
      <c r="F271" s="37" t="n">
        <v>1</v>
      </c>
      <c r="G271" s="37" t="n">
        <v>13</v>
      </c>
      <c r="H271" s="39" t="b">
        <f aca="false">FALSE()</f>
        <v>0</v>
      </c>
      <c r="I271" s="37" t="n">
        <v>3</v>
      </c>
      <c r="J271" s="35" t="str">
        <f aca="false">INDEX(Lookups_Metadata!$E$4:$E$10, MATCH(I271, Lookups_Metadata!$D$4:$D$10, 0))</f>
        <v>Wednesday</v>
      </c>
      <c r="K271" s="35" t="str">
        <f aca="false">IF(H271=TRUE(), "Holiday", IF(OR(I271=0, I271=6), "Weekend", "Weekday"))</f>
        <v>Weekday</v>
      </c>
      <c r="L271" s="35" t="str">
        <f aca="false">IF(AND(K271="Weekday", OR(AND(G271&gt;=7, G271&lt;=9), AND(G271&gt;=17, G271&lt;=19))), "Peak Commute", "Off-Peak")</f>
        <v>Off-Peak</v>
      </c>
      <c r="M271" s="37" t="n">
        <v>1</v>
      </c>
      <c r="N271" s="35" t="str">
        <f aca="false">VLOOKUP(M271, Lookups_Metadata!$G$4:$H$7, 2, FALSE())</f>
        <v>Clear / Few Clouds</v>
      </c>
      <c r="O271" s="40" t="n">
        <v>0.22</v>
      </c>
      <c r="P271" s="40" t="n">
        <v>0.197</v>
      </c>
      <c r="Q271" s="40" t="n">
        <f aca="false">IF(OR(P271="", ISBLANK(P271)), ROUND(0.9367*O271+0.0175, 4), P271)</f>
        <v>0.197</v>
      </c>
      <c r="R271" s="35" t="str">
        <f aca="false">IF(OR(P271="", ISBLANK(P271)), "Imputed (Regression/Trend)", "Original")</f>
        <v>Original</v>
      </c>
      <c r="S271" s="40" t="n">
        <v>0.44</v>
      </c>
      <c r="T271" s="40" t="n">
        <v>0.3582</v>
      </c>
      <c r="U271" s="41" t="n">
        <v>0</v>
      </c>
      <c r="V271" s="41" t="n">
        <v>49</v>
      </c>
      <c r="W271" s="41" t="n">
        <f aca="false">U271+V271</f>
        <v>49</v>
      </c>
      <c r="X271" s="42" t="n">
        <f aca="false">U271/W271</f>
        <v>0</v>
      </c>
      <c r="Y271" s="42" t="n">
        <f aca="false">V271/W271</f>
        <v>1</v>
      </c>
      <c r="Z271" s="35" t="str">
        <f aca="false">IF(W271&gt;=150, "High Demand", IF(W271&gt;=50, "Moderate Demand", "Low Demand"))</f>
        <v>Low Demand</v>
      </c>
      <c r="AA271" s="39" t="str">
        <f aca="false">TEXT(G271, "00") &amp; ":00"</f>
        <v>13:00</v>
      </c>
      <c r="AB271" s="37" t="n">
        <f aca="false">YEAR(B271)</f>
        <v>2011</v>
      </c>
      <c r="AC271" s="35" t="str">
        <f aca="false">TEXT(B271, "mmmm")</f>
        <v>January</v>
      </c>
      <c r="AD271" s="37" t="n">
        <f aca="false">LEN(TEXT(B271, "YYYY-MM-DD"))</f>
        <v>10</v>
      </c>
      <c r="AE271" s="39" t="str">
        <f aca="false">LEFT(TEXT(B271, "YYYY-MM-DD"), 4)</f>
        <v>2011</v>
      </c>
      <c r="AF271" s="39" t="str">
        <f aca="false">RIGHT(TEXT(B271, "YYYY-MM-DD"), 2)</f>
        <v>12</v>
      </c>
    </row>
    <row r="272" customFormat="false" ht="15" hidden="false" customHeight="false" outlineLevel="0" collapsed="false">
      <c r="A272" s="43" t="n">
        <v>268</v>
      </c>
      <c r="B272" s="44" t="s">
        <v>88</v>
      </c>
      <c r="C272" s="43" t="n">
        <v>1</v>
      </c>
      <c r="D272" s="33" t="str">
        <f aca="false">VLOOKUP(C272, Lookups_Metadata!$A$4:$B$7, 2, FALSE())</f>
        <v>Spring</v>
      </c>
      <c r="E272" s="43" t="n">
        <v>0</v>
      </c>
      <c r="F272" s="43" t="n">
        <v>1</v>
      </c>
      <c r="G272" s="43" t="n">
        <v>14</v>
      </c>
      <c r="H272" s="45" t="b">
        <f aca="false">FALSE()</f>
        <v>0</v>
      </c>
      <c r="I272" s="43" t="n">
        <v>3</v>
      </c>
      <c r="J272" s="33" t="str">
        <f aca="false">INDEX(Lookups_Metadata!$E$4:$E$10, MATCH(I272, Lookups_Metadata!$D$4:$D$10, 0))</f>
        <v>Wednesday</v>
      </c>
      <c r="K272" s="33" t="str">
        <f aca="false">IF(H272=TRUE(), "Holiday", IF(OR(I272=0, I272=6), "Weekend", "Weekday"))</f>
        <v>Weekday</v>
      </c>
      <c r="L272" s="33" t="str">
        <f aca="false">IF(AND(K272="Weekday", OR(AND(G272&gt;=7, G272&lt;=9), AND(G272&gt;=17, G272&lt;=19))), "Peak Commute", "Off-Peak")</f>
        <v>Off-Peak</v>
      </c>
      <c r="M272" s="43" t="n">
        <v>1</v>
      </c>
      <c r="N272" s="33" t="str">
        <f aca="false">VLOOKUP(M272, Lookups_Metadata!$G$4:$H$7, 2, FALSE())</f>
        <v>Clear / Few Clouds</v>
      </c>
      <c r="O272" s="46" t="n">
        <v>0.2</v>
      </c>
      <c r="P272" s="46" t="n">
        <v>0.1818</v>
      </c>
      <c r="Q272" s="46" t="n">
        <f aca="false">IF(OR(P272="", ISBLANK(P272)), ROUND(0.9367*O272+0.0175, 4), P272)</f>
        <v>0.1818</v>
      </c>
      <c r="R272" s="33" t="str">
        <f aca="false">IF(OR(P272="", ISBLANK(P272)), "Imputed (Regression/Trend)", "Original")</f>
        <v>Original</v>
      </c>
      <c r="S272" s="46" t="n">
        <v>0.47</v>
      </c>
      <c r="T272" s="46" t="n">
        <v>0.3284</v>
      </c>
      <c r="U272" s="18" t="n">
        <v>0</v>
      </c>
      <c r="V272" s="18" t="n">
        <v>44</v>
      </c>
      <c r="W272" s="18" t="n">
        <f aca="false">U272+V272</f>
        <v>44</v>
      </c>
      <c r="X272" s="47" t="n">
        <f aca="false">U272/W272</f>
        <v>0</v>
      </c>
      <c r="Y272" s="47" t="n">
        <f aca="false">V272/W272</f>
        <v>1</v>
      </c>
      <c r="Z272" s="33" t="str">
        <f aca="false">IF(W272&gt;=150, "High Demand", IF(W272&gt;=50, "Moderate Demand", "Low Demand"))</f>
        <v>Low Demand</v>
      </c>
      <c r="AA272" s="45" t="str">
        <f aca="false">TEXT(G272, "00") &amp; ":00"</f>
        <v>14:00</v>
      </c>
      <c r="AB272" s="43" t="n">
        <f aca="false">YEAR(B272)</f>
        <v>2011</v>
      </c>
      <c r="AC272" s="33" t="str">
        <f aca="false">TEXT(B272, "mmmm")</f>
        <v>January</v>
      </c>
      <c r="AD272" s="43" t="n">
        <f aca="false">LEN(TEXT(B272, "YYYY-MM-DD"))</f>
        <v>10</v>
      </c>
      <c r="AE272" s="45" t="str">
        <f aca="false">LEFT(TEXT(B272, "YYYY-MM-DD"), 4)</f>
        <v>2011</v>
      </c>
      <c r="AF272" s="45" t="str">
        <f aca="false">RIGHT(TEXT(B272, "YYYY-MM-DD"), 2)</f>
        <v>12</v>
      </c>
    </row>
    <row r="273" customFormat="false" ht="15" hidden="false" customHeight="false" outlineLevel="0" collapsed="false">
      <c r="A273" s="37" t="n">
        <v>269</v>
      </c>
      <c r="B273" s="38" t="s">
        <v>88</v>
      </c>
      <c r="C273" s="37" t="n">
        <v>1</v>
      </c>
      <c r="D273" s="35" t="str">
        <f aca="false">VLOOKUP(C273, Lookups_Metadata!$A$4:$B$7, 2, FALSE())</f>
        <v>Spring</v>
      </c>
      <c r="E273" s="37" t="n">
        <v>0</v>
      </c>
      <c r="F273" s="37" t="n">
        <v>1</v>
      </c>
      <c r="G273" s="37" t="n">
        <v>15</v>
      </c>
      <c r="H273" s="39" t="b">
        <f aca="false">FALSE()</f>
        <v>0</v>
      </c>
      <c r="I273" s="37" t="n">
        <v>3</v>
      </c>
      <c r="J273" s="35" t="str">
        <f aca="false">INDEX(Lookups_Metadata!$E$4:$E$10, MATCH(I273, Lookups_Metadata!$D$4:$D$10, 0))</f>
        <v>Wednesday</v>
      </c>
      <c r="K273" s="35" t="str">
        <f aca="false">IF(H273=TRUE(), "Holiday", IF(OR(I273=0, I273=6), "Weekend", "Weekday"))</f>
        <v>Weekday</v>
      </c>
      <c r="L273" s="35" t="str">
        <f aca="false">IF(AND(K273="Weekday", OR(AND(G273&gt;=7, G273&lt;=9), AND(G273&gt;=17, G273&lt;=19))), "Peak Commute", "Off-Peak")</f>
        <v>Off-Peak</v>
      </c>
      <c r="M273" s="37" t="n">
        <v>1</v>
      </c>
      <c r="N273" s="35" t="str">
        <f aca="false">VLOOKUP(M273, Lookups_Metadata!$G$4:$H$7, 2, FALSE())</f>
        <v>Clear / Few Clouds</v>
      </c>
      <c r="O273" s="40" t="n">
        <v>0.2</v>
      </c>
      <c r="P273" s="40" t="n">
        <v>0.1667</v>
      </c>
      <c r="Q273" s="40" t="n">
        <f aca="false">IF(OR(P273="", ISBLANK(P273)), ROUND(0.9367*O273+0.0175, 4), P273)</f>
        <v>0.1667</v>
      </c>
      <c r="R273" s="35" t="str">
        <f aca="false">IF(OR(P273="", ISBLANK(P273)), "Imputed (Regression/Trend)", "Original")</f>
        <v>Original</v>
      </c>
      <c r="S273" s="40" t="n">
        <v>0.47</v>
      </c>
      <c r="T273" s="40" t="n">
        <v>0.4179</v>
      </c>
      <c r="U273" s="41" t="n">
        <v>1</v>
      </c>
      <c r="V273" s="41" t="n">
        <v>48</v>
      </c>
      <c r="W273" s="41" t="n">
        <f aca="false">U273+V273</f>
        <v>49</v>
      </c>
      <c r="X273" s="42" t="n">
        <f aca="false">U273/W273</f>
        <v>0.0204081632653061</v>
      </c>
      <c r="Y273" s="42" t="n">
        <f aca="false">V273/W273</f>
        <v>0.979591836734694</v>
      </c>
      <c r="Z273" s="35" t="str">
        <f aca="false">IF(W273&gt;=150, "High Demand", IF(W273&gt;=50, "Moderate Demand", "Low Demand"))</f>
        <v>Low Demand</v>
      </c>
      <c r="AA273" s="39" t="str">
        <f aca="false">TEXT(G273, "00") &amp; ":00"</f>
        <v>15:00</v>
      </c>
      <c r="AB273" s="37" t="n">
        <f aca="false">YEAR(B273)</f>
        <v>2011</v>
      </c>
      <c r="AC273" s="35" t="str">
        <f aca="false">TEXT(B273, "mmmm")</f>
        <v>January</v>
      </c>
      <c r="AD273" s="37" t="n">
        <f aca="false">LEN(TEXT(B273, "YYYY-MM-DD"))</f>
        <v>10</v>
      </c>
      <c r="AE273" s="39" t="str">
        <f aca="false">LEFT(TEXT(B273, "YYYY-MM-DD"), 4)</f>
        <v>2011</v>
      </c>
      <c r="AF273" s="39" t="str">
        <f aca="false">RIGHT(TEXT(B273, "YYYY-MM-DD"), 2)</f>
        <v>12</v>
      </c>
    </row>
    <row r="274" customFormat="false" ht="15" hidden="false" customHeight="false" outlineLevel="0" collapsed="false">
      <c r="A274" s="43" t="n">
        <v>270</v>
      </c>
      <c r="B274" s="44" t="s">
        <v>88</v>
      </c>
      <c r="C274" s="43" t="n">
        <v>1</v>
      </c>
      <c r="D274" s="33" t="str">
        <f aca="false">VLOOKUP(C274, Lookups_Metadata!$A$4:$B$7, 2, FALSE())</f>
        <v>Spring</v>
      </c>
      <c r="E274" s="43" t="n">
        <v>0</v>
      </c>
      <c r="F274" s="43" t="n">
        <v>1</v>
      </c>
      <c r="G274" s="43" t="n">
        <v>16</v>
      </c>
      <c r="H274" s="45" t="b">
        <f aca="false">FALSE()</f>
        <v>0</v>
      </c>
      <c r="I274" s="43" t="n">
        <v>3</v>
      </c>
      <c r="J274" s="33" t="str">
        <f aca="false">INDEX(Lookups_Metadata!$E$4:$E$10, MATCH(I274, Lookups_Metadata!$D$4:$D$10, 0))</f>
        <v>Wednesday</v>
      </c>
      <c r="K274" s="33" t="str">
        <f aca="false">IF(H274=TRUE(), "Holiday", IF(OR(I274=0, I274=6), "Weekend", "Weekday"))</f>
        <v>Weekday</v>
      </c>
      <c r="L274" s="33" t="str">
        <f aca="false">IF(AND(K274="Weekday", OR(AND(G274&gt;=7, G274&lt;=9), AND(G274&gt;=17, G274&lt;=19))), "Peak Commute", "Off-Peak")</f>
        <v>Off-Peak</v>
      </c>
      <c r="M274" s="43" t="n">
        <v>1</v>
      </c>
      <c r="N274" s="33" t="str">
        <f aca="false">VLOOKUP(M274, Lookups_Metadata!$G$4:$H$7, 2, FALSE())</f>
        <v>Clear / Few Clouds</v>
      </c>
      <c r="O274" s="46" t="n">
        <v>0.22</v>
      </c>
      <c r="P274" s="46" t="n">
        <v>0.197</v>
      </c>
      <c r="Q274" s="46" t="n">
        <f aca="false">IF(OR(P274="", ISBLANK(P274)), ROUND(0.9367*O274+0.0175, 4), P274)</f>
        <v>0.197</v>
      </c>
      <c r="R274" s="33" t="str">
        <f aca="false">IF(OR(P274="", ISBLANK(P274)), "Imputed (Regression/Trend)", "Original")</f>
        <v>Original</v>
      </c>
      <c r="S274" s="46" t="n">
        <v>0.44</v>
      </c>
      <c r="T274" s="46" t="n">
        <v>0.3284</v>
      </c>
      <c r="U274" s="18" t="n">
        <v>5</v>
      </c>
      <c r="V274" s="18" t="n">
        <v>63</v>
      </c>
      <c r="W274" s="18" t="n">
        <f aca="false">U274+V274</f>
        <v>68</v>
      </c>
      <c r="X274" s="47" t="n">
        <f aca="false">U274/W274</f>
        <v>0.0735294117647059</v>
      </c>
      <c r="Y274" s="47" t="n">
        <f aca="false">V274/W274</f>
        <v>0.926470588235294</v>
      </c>
      <c r="Z274" s="33" t="str">
        <f aca="false">IF(W274&gt;=150, "High Demand", IF(W274&gt;=50, "Moderate Demand", "Low Demand"))</f>
        <v>Moderate Demand</v>
      </c>
      <c r="AA274" s="45" t="str">
        <f aca="false">TEXT(G274, "00") &amp; ":00"</f>
        <v>16:00</v>
      </c>
      <c r="AB274" s="43" t="n">
        <f aca="false">YEAR(B274)</f>
        <v>2011</v>
      </c>
      <c r="AC274" s="33" t="str">
        <f aca="false">TEXT(B274, "mmmm")</f>
        <v>January</v>
      </c>
      <c r="AD274" s="43" t="n">
        <f aca="false">LEN(TEXT(B274, "YYYY-MM-DD"))</f>
        <v>10</v>
      </c>
      <c r="AE274" s="45" t="str">
        <f aca="false">LEFT(TEXT(B274, "YYYY-MM-DD"), 4)</f>
        <v>2011</v>
      </c>
      <c r="AF274" s="45" t="str">
        <f aca="false">RIGHT(TEXT(B274, "YYYY-MM-DD"), 2)</f>
        <v>12</v>
      </c>
    </row>
    <row r="275" customFormat="false" ht="15" hidden="false" customHeight="false" outlineLevel="0" collapsed="false">
      <c r="A275" s="37" t="n">
        <v>271</v>
      </c>
      <c r="B275" s="38" t="s">
        <v>88</v>
      </c>
      <c r="C275" s="37" t="n">
        <v>1</v>
      </c>
      <c r="D275" s="35" t="str">
        <f aca="false">VLOOKUP(C275, Lookups_Metadata!$A$4:$B$7, 2, FALSE())</f>
        <v>Spring</v>
      </c>
      <c r="E275" s="37" t="n">
        <v>0</v>
      </c>
      <c r="F275" s="37" t="n">
        <v>1</v>
      </c>
      <c r="G275" s="37" t="n">
        <v>17</v>
      </c>
      <c r="H275" s="39" t="b">
        <f aca="false">FALSE()</f>
        <v>0</v>
      </c>
      <c r="I275" s="37" t="n">
        <v>3</v>
      </c>
      <c r="J275" s="35" t="str">
        <f aca="false">INDEX(Lookups_Metadata!$E$4:$E$10, MATCH(I275, Lookups_Metadata!$D$4:$D$10, 0))</f>
        <v>Wednesday</v>
      </c>
      <c r="K275" s="35" t="str">
        <f aca="false">IF(H275=TRUE(), "Holiday", IF(OR(I275=0, I275=6), "Weekend", "Weekday"))</f>
        <v>Weekday</v>
      </c>
      <c r="L275" s="35" t="str">
        <f aca="false">IF(AND(K275="Weekday", OR(AND(G275&gt;=7, G275&lt;=9), AND(G275&gt;=17, G275&lt;=19))), "Peak Commute", "Off-Peak")</f>
        <v>Peak Commute</v>
      </c>
      <c r="M275" s="37" t="n">
        <v>1</v>
      </c>
      <c r="N275" s="35" t="str">
        <f aca="false">VLOOKUP(M275, Lookups_Metadata!$G$4:$H$7, 2, FALSE())</f>
        <v>Clear / Few Clouds</v>
      </c>
      <c r="O275" s="40" t="n">
        <v>0.2</v>
      </c>
      <c r="P275" s="40" t="n">
        <v>0.1818</v>
      </c>
      <c r="Q275" s="40" t="n">
        <f aca="false">IF(OR(P275="", ISBLANK(P275)), ROUND(0.9367*O275+0.0175, 4), P275)</f>
        <v>0.1818</v>
      </c>
      <c r="R275" s="35" t="str">
        <f aca="false">IF(OR(P275="", ISBLANK(P275)), "Imputed (Regression/Trend)", "Original")</f>
        <v>Original</v>
      </c>
      <c r="S275" s="40" t="n">
        <v>0.47</v>
      </c>
      <c r="T275" s="40" t="n">
        <v>0.3582</v>
      </c>
      <c r="U275" s="41" t="n">
        <v>0</v>
      </c>
      <c r="V275" s="41" t="n">
        <v>139</v>
      </c>
      <c r="W275" s="41" t="n">
        <f aca="false">U275+V275</f>
        <v>139</v>
      </c>
      <c r="X275" s="42" t="n">
        <f aca="false">U275/W275</f>
        <v>0</v>
      </c>
      <c r="Y275" s="42" t="n">
        <f aca="false">V275/W275</f>
        <v>1</v>
      </c>
      <c r="Z275" s="35" t="str">
        <f aca="false">IF(W275&gt;=150, "High Demand", IF(W275&gt;=50, "Moderate Demand", "Low Demand"))</f>
        <v>Moderate Demand</v>
      </c>
      <c r="AA275" s="39" t="str">
        <f aca="false">TEXT(G275, "00") &amp; ":00"</f>
        <v>17:00</v>
      </c>
      <c r="AB275" s="37" t="n">
        <f aca="false">YEAR(B275)</f>
        <v>2011</v>
      </c>
      <c r="AC275" s="35" t="str">
        <f aca="false">TEXT(B275, "mmmm")</f>
        <v>January</v>
      </c>
      <c r="AD275" s="37" t="n">
        <f aca="false">LEN(TEXT(B275, "YYYY-MM-DD"))</f>
        <v>10</v>
      </c>
      <c r="AE275" s="39" t="str">
        <f aca="false">LEFT(TEXT(B275, "YYYY-MM-DD"), 4)</f>
        <v>2011</v>
      </c>
      <c r="AF275" s="39" t="str">
        <f aca="false">RIGHT(TEXT(B275, "YYYY-MM-DD"), 2)</f>
        <v>12</v>
      </c>
    </row>
    <row r="276" customFormat="false" ht="15" hidden="false" customHeight="false" outlineLevel="0" collapsed="false">
      <c r="A276" s="43" t="n">
        <v>272</v>
      </c>
      <c r="B276" s="44" t="s">
        <v>88</v>
      </c>
      <c r="C276" s="43" t="n">
        <v>1</v>
      </c>
      <c r="D276" s="33" t="str">
        <f aca="false">VLOOKUP(C276, Lookups_Metadata!$A$4:$B$7, 2, FALSE())</f>
        <v>Spring</v>
      </c>
      <c r="E276" s="43" t="n">
        <v>0</v>
      </c>
      <c r="F276" s="43" t="n">
        <v>1</v>
      </c>
      <c r="G276" s="43" t="n">
        <v>18</v>
      </c>
      <c r="H276" s="45" t="b">
        <f aca="false">FALSE()</f>
        <v>0</v>
      </c>
      <c r="I276" s="43" t="n">
        <v>3</v>
      </c>
      <c r="J276" s="33" t="str">
        <f aca="false">INDEX(Lookups_Metadata!$E$4:$E$10, MATCH(I276, Lookups_Metadata!$D$4:$D$10, 0))</f>
        <v>Wednesday</v>
      </c>
      <c r="K276" s="33" t="str">
        <f aca="false">IF(H276=TRUE(), "Holiday", IF(OR(I276=0, I276=6), "Weekend", "Weekday"))</f>
        <v>Weekday</v>
      </c>
      <c r="L276" s="33" t="str">
        <f aca="false">IF(AND(K276="Weekday", OR(AND(G276&gt;=7, G276&lt;=9), AND(G276&gt;=17, G276&lt;=19))), "Peak Commute", "Off-Peak")</f>
        <v>Peak Commute</v>
      </c>
      <c r="M276" s="43" t="n">
        <v>1</v>
      </c>
      <c r="N276" s="33" t="str">
        <f aca="false">VLOOKUP(M276, Lookups_Metadata!$G$4:$H$7, 2, FALSE())</f>
        <v>Clear / Few Clouds</v>
      </c>
      <c r="O276" s="46" t="n">
        <v>0.2</v>
      </c>
      <c r="P276" s="46" t="n">
        <v>0.1515</v>
      </c>
      <c r="Q276" s="46" t="n">
        <f aca="false">IF(OR(P276="", ISBLANK(P276)), ROUND(0.9367*O276+0.0175, 4), P276)</f>
        <v>0.1515</v>
      </c>
      <c r="R276" s="33" t="str">
        <f aca="false">IF(OR(P276="", ISBLANK(P276)), "Imputed (Regression/Trend)", "Original")</f>
        <v>Original</v>
      </c>
      <c r="S276" s="46" t="n">
        <v>0.47</v>
      </c>
      <c r="T276" s="46" t="n">
        <v>0.5224</v>
      </c>
      <c r="U276" s="18" t="n">
        <v>2</v>
      </c>
      <c r="V276" s="18" t="n">
        <v>135</v>
      </c>
      <c r="W276" s="18" t="n">
        <f aca="false">U276+V276</f>
        <v>137</v>
      </c>
      <c r="X276" s="47" t="n">
        <f aca="false">U276/W276</f>
        <v>0.0145985401459854</v>
      </c>
      <c r="Y276" s="47" t="n">
        <f aca="false">V276/W276</f>
        <v>0.985401459854015</v>
      </c>
      <c r="Z276" s="33" t="str">
        <f aca="false">IF(W276&gt;=150, "High Demand", IF(W276&gt;=50, "Moderate Demand", "Low Demand"))</f>
        <v>Moderate Demand</v>
      </c>
      <c r="AA276" s="45" t="str">
        <f aca="false">TEXT(G276, "00") &amp; ":00"</f>
        <v>18:00</v>
      </c>
      <c r="AB276" s="43" t="n">
        <f aca="false">YEAR(B276)</f>
        <v>2011</v>
      </c>
      <c r="AC276" s="33" t="str">
        <f aca="false">TEXT(B276, "mmmm")</f>
        <v>January</v>
      </c>
      <c r="AD276" s="43" t="n">
        <f aca="false">LEN(TEXT(B276, "YYYY-MM-DD"))</f>
        <v>10</v>
      </c>
      <c r="AE276" s="45" t="str">
        <f aca="false">LEFT(TEXT(B276, "YYYY-MM-DD"), 4)</f>
        <v>2011</v>
      </c>
      <c r="AF276" s="45" t="str">
        <f aca="false">RIGHT(TEXT(B276, "YYYY-MM-DD"), 2)</f>
        <v>12</v>
      </c>
    </row>
    <row r="277" customFormat="false" ht="15" hidden="false" customHeight="false" outlineLevel="0" collapsed="false">
      <c r="A277" s="37" t="n">
        <v>273</v>
      </c>
      <c r="B277" s="38" t="s">
        <v>88</v>
      </c>
      <c r="C277" s="37" t="n">
        <v>1</v>
      </c>
      <c r="D277" s="35" t="str">
        <f aca="false">VLOOKUP(C277, Lookups_Metadata!$A$4:$B$7, 2, FALSE())</f>
        <v>Spring</v>
      </c>
      <c r="E277" s="37" t="n">
        <v>0</v>
      </c>
      <c r="F277" s="37" t="n">
        <v>1</v>
      </c>
      <c r="G277" s="37" t="n">
        <v>19</v>
      </c>
      <c r="H277" s="39" t="b">
        <f aca="false">FALSE()</f>
        <v>0</v>
      </c>
      <c r="I277" s="37" t="n">
        <v>3</v>
      </c>
      <c r="J277" s="35" t="str">
        <f aca="false">INDEX(Lookups_Metadata!$E$4:$E$10, MATCH(I277, Lookups_Metadata!$D$4:$D$10, 0))</f>
        <v>Wednesday</v>
      </c>
      <c r="K277" s="35" t="str">
        <f aca="false">IF(H277=TRUE(), "Holiday", IF(OR(I277=0, I277=6), "Weekend", "Weekday"))</f>
        <v>Weekday</v>
      </c>
      <c r="L277" s="35" t="str">
        <f aca="false">IF(AND(K277="Weekday", OR(AND(G277&gt;=7, G277&lt;=9), AND(G277&gt;=17, G277&lt;=19))), "Peak Commute", "Off-Peak")</f>
        <v>Peak Commute</v>
      </c>
      <c r="M277" s="37" t="n">
        <v>1</v>
      </c>
      <c r="N277" s="35" t="str">
        <f aca="false">VLOOKUP(M277, Lookups_Metadata!$G$4:$H$7, 2, FALSE())</f>
        <v>Clear / Few Clouds</v>
      </c>
      <c r="O277" s="40" t="n">
        <v>0.18</v>
      </c>
      <c r="P277" s="40" t="n">
        <v>0.1515</v>
      </c>
      <c r="Q277" s="40" t="n">
        <f aca="false">IF(OR(P277="", ISBLANK(P277)), ROUND(0.9367*O277+0.0175, 4), P277)</f>
        <v>0.1515</v>
      </c>
      <c r="R277" s="35" t="str">
        <f aca="false">IF(OR(P277="", ISBLANK(P277)), "Imputed (Regression/Trend)", "Original")</f>
        <v>Original</v>
      </c>
      <c r="S277" s="40" t="n">
        <v>0.47</v>
      </c>
      <c r="T277" s="40" t="n">
        <v>0.4179</v>
      </c>
      <c r="U277" s="41" t="n">
        <v>1</v>
      </c>
      <c r="V277" s="41" t="n">
        <v>82</v>
      </c>
      <c r="W277" s="41" t="n">
        <f aca="false">U277+V277</f>
        <v>83</v>
      </c>
      <c r="X277" s="42" t="n">
        <f aca="false">U277/W277</f>
        <v>0.0120481927710843</v>
      </c>
      <c r="Y277" s="42" t="n">
        <f aca="false">V277/W277</f>
        <v>0.987951807228916</v>
      </c>
      <c r="Z277" s="35" t="str">
        <f aca="false">IF(W277&gt;=150, "High Demand", IF(W277&gt;=50, "Moderate Demand", "Low Demand"))</f>
        <v>Moderate Demand</v>
      </c>
      <c r="AA277" s="39" t="str">
        <f aca="false">TEXT(G277, "00") &amp; ":00"</f>
        <v>19:00</v>
      </c>
      <c r="AB277" s="37" t="n">
        <f aca="false">YEAR(B277)</f>
        <v>2011</v>
      </c>
      <c r="AC277" s="35" t="str">
        <f aca="false">TEXT(B277, "mmmm")</f>
        <v>January</v>
      </c>
      <c r="AD277" s="37" t="n">
        <f aca="false">LEN(TEXT(B277, "YYYY-MM-DD"))</f>
        <v>10</v>
      </c>
      <c r="AE277" s="39" t="str">
        <f aca="false">LEFT(TEXT(B277, "YYYY-MM-DD"), 4)</f>
        <v>2011</v>
      </c>
      <c r="AF277" s="39" t="str">
        <f aca="false">RIGHT(TEXT(B277, "YYYY-MM-DD"), 2)</f>
        <v>12</v>
      </c>
    </row>
    <row r="278" customFormat="false" ht="15" hidden="false" customHeight="false" outlineLevel="0" collapsed="false">
      <c r="A278" s="43" t="n">
        <v>274</v>
      </c>
      <c r="B278" s="44" t="s">
        <v>88</v>
      </c>
      <c r="C278" s="43" t="n">
        <v>1</v>
      </c>
      <c r="D278" s="33" t="str">
        <f aca="false">VLOOKUP(C278, Lookups_Metadata!$A$4:$B$7, 2, FALSE())</f>
        <v>Spring</v>
      </c>
      <c r="E278" s="43" t="n">
        <v>0</v>
      </c>
      <c r="F278" s="43" t="n">
        <v>1</v>
      </c>
      <c r="G278" s="43" t="n">
        <v>20</v>
      </c>
      <c r="H278" s="45" t="b">
        <f aca="false">FALSE()</f>
        <v>0</v>
      </c>
      <c r="I278" s="43" t="n">
        <v>3</v>
      </c>
      <c r="J278" s="33" t="str">
        <f aca="false">INDEX(Lookups_Metadata!$E$4:$E$10, MATCH(I278, Lookups_Metadata!$D$4:$D$10, 0))</f>
        <v>Wednesday</v>
      </c>
      <c r="K278" s="33" t="str">
        <f aca="false">IF(H278=TRUE(), "Holiday", IF(OR(I278=0, I278=6), "Weekend", "Weekday"))</f>
        <v>Weekday</v>
      </c>
      <c r="L278" s="33" t="str">
        <f aca="false">IF(AND(K278="Weekday", OR(AND(G278&gt;=7, G278&lt;=9), AND(G278&gt;=17, G278&lt;=19))), "Peak Commute", "Off-Peak")</f>
        <v>Off-Peak</v>
      </c>
      <c r="M278" s="43" t="n">
        <v>1</v>
      </c>
      <c r="N278" s="33" t="str">
        <f aca="false">VLOOKUP(M278, Lookups_Metadata!$G$4:$H$7, 2, FALSE())</f>
        <v>Clear / Few Clouds</v>
      </c>
      <c r="O278" s="46" t="n">
        <v>0.16</v>
      </c>
      <c r="P278" s="46" t="n">
        <v>0.1364</v>
      </c>
      <c r="Q278" s="46" t="n">
        <f aca="false">IF(OR(P278="", ISBLANK(P278)), ROUND(0.9367*O278+0.0175, 4), P278)</f>
        <v>0.1364</v>
      </c>
      <c r="R278" s="33" t="str">
        <f aca="false">IF(OR(P278="", ISBLANK(P278)), "Imputed (Regression/Trend)", "Original")</f>
        <v>Original</v>
      </c>
      <c r="S278" s="46" t="n">
        <v>0.5</v>
      </c>
      <c r="T278" s="46" t="n">
        <v>0.3284</v>
      </c>
      <c r="U278" s="18" t="n">
        <v>2</v>
      </c>
      <c r="V278" s="18" t="n">
        <v>54</v>
      </c>
      <c r="W278" s="18" t="n">
        <f aca="false">U278+V278</f>
        <v>56</v>
      </c>
      <c r="X278" s="47" t="n">
        <f aca="false">U278/W278</f>
        <v>0.0357142857142857</v>
      </c>
      <c r="Y278" s="47" t="n">
        <f aca="false">V278/W278</f>
        <v>0.964285714285714</v>
      </c>
      <c r="Z278" s="33" t="str">
        <f aca="false">IF(W278&gt;=150, "High Demand", IF(W278&gt;=50, "Moderate Demand", "Low Demand"))</f>
        <v>Moderate Demand</v>
      </c>
      <c r="AA278" s="45" t="str">
        <f aca="false">TEXT(G278, "00") &amp; ":00"</f>
        <v>20:00</v>
      </c>
      <c r="AB278" s="43" t="n">
        <f aca="false">YEAR(B278)</f>
        <v>2011</v>
      </c>
      <c r="AC278" s="33" t="str">
        <f aca="false">TEXT(B278, "mmmm")</f>
        <v>January</v>
      </c>
      <c r="AD278" s="43" t="n">
        <f aca="false">LEN(TEXT(B278, "YYYY-MM-DD"))</f>
        <v>10</v>
      </c>
      <c r="AE278" s="45" t="str">
        <f aca="false">LEFT(TEXT(B278, "YYYY-MM-DD"), 4)</f>
        <v>2011</v>
      </c>
      <c r="AF278" s="45" t="str">
        <f aca="false">RIGHT(TEXT(B278, "YYYY-MM-DD"), 2)</f>
        <v>12</v>
      </c>
    </row>
    <row r="279" customFormat="false" ht="15" hidden="false" customHeight="false" outlineLevel="0" collapsed="false">
      <c r="A279" s="37" t="n">
        <v>275</v>
      </c>
      <c r="B279" s="38" t="s">
        <v>88</v>
      </c>
      <c r="C279" s="37" t="n">
        <v>1</v>
      </c>
      <c r="D279" s="35" t="str">
        <f aca="false">VLOOKUP(C279, Lookups_Metadata!$A$4:$B$7, 2, FALSE())</f>
        <v>Spring</v>
      </c>
      <c r="E279" s="37" t="n">
        <v>0</v>
      </c>
      <c r="F279" s="37" t="n">
        <v>1</v>
      </c>
      <c r="G279" s="37" t="n">
        <v>21</v>
      </c>
      <c r="H279" s="39" t="b">
        <f aca="false">FALSE()</f>
        <v>0</v>
      </c>
      <c r="I279" s="37" t="n">
        <v>3</v>
      </c>
      <c r="J279" s="35" t="str">
        <f aca="false">INDEX(Lookups_Metadata!$E$4:$E$10, MATCH(I279, Lookups_Metadata!$D$4:$D$10, 0))</f>
        <v>Wednesday</v>
      </c>
      <c r="K279" s="35" t="str">
        <f aca="false">IF(H279=TRUE(), "Holiday", IF(OR(I279=0, I279=6), "Weekend", "Weekday"))</f>
        <v>Weekday</v>
      </c>
      <c r="L279" s="35" t="str">
        <f aca="false">IF(AND(K279="Weekday", OR(AND(G279&gt;=7, G279&lt;=9), AND(G279&gt;=17, G279&lt;=19))), "Peak Commute", "Off-Peak")</f>
        <v>Off-Peak</v>
      </c>
      <c r="M279" s="37" t="n">
        <v>1</v>
      </c>
      <c r="N279" s="35" t="str">
        <f aca="false">VLOOKUP(M279, Lookups_Metadata!$G$4:$H$7, 2, FALSE())</f>
        <v>Clear / Few Clouds</v>
      </c>
      <c r="O279" s="40" t="n">
        <v>0.16</v>
      </c>
      <c r="P279" s="40" t="n">
        <v>0.1364</v>
      </c>
      <c r="Q279" s="40" t="n">
        <f aca="false">IF(OR(P279="", ISBLANK(P279)), ROUND(0.9367*O279+0.0175, 4), P279)</f>
        <v>0.1364</v>
      </c>
      <c r="R279" s="35" t="str">
        <f aca="false">IF(OR(P279="", ISBLANK(P279)), "Imputed (Regression/Trend)", "Original")</f>
        <v>Original</v>
      </c>
      <c r="S279" s="40" t="n">
        <v>0.55</v>
      </c>
      <c r="T279" s="40" t="n">
        <v>0.3284</v>
      </c>
      <c r="U279" s="41" t="n">
        <v>0</v>
      </c>
      <c r="V279" s="41" t="n">
        <v>57</v>
      </c>
      <c r="W279" s="41" t="n">
        <f aca="false">U279+V279</f>
        <v>57</v>
      </c>
      <c r="X279" s="42" t="n">
        <f aca="false">U279/W279</f>
        <v>0</v>
      </c>
      <c r="Y279" s="42" t="n">
        <f aca="false">V279/W279</f>
        <v>1</v>
      </c>
      <c r="Z279" s="35" t="str">
        <f aca="false">IF(W279&gt;=150, "High Demand", IF(W279&gt;=50, "Moderate Demand", "Low Demand"))</f>
        <v>Moderate Demand</v>
      </c>
      <c r="AA279" s="39" t="str">
        <f aca="false">TEXT(G279, "00") &amp; ":00"</f>
        <v>21:00</v>
      </c>
      <c r="AB279" s="37" t="n">
        <f aca="false">YEAR(B279)</f>
        <v>2011</v>
      </c>
      <c r="AC279" s="35" t="str">
        <f aca="false">TEXT(B279, "mmmm")</f>
        <v>January</v>
      </c>
      <c r="AD279" s="37" t="n">
        <f aca="false">LEN(TEXT(B279, "YYYY-MM-DD"))</f>
        <v>10</v>
      </c>
      <c r="AE279" s="39" t="str">
        <f aca="false">LEFT(TEXT(B279, "YYYY-MM-DD"), 4)</f>
        <v>2011</v>
      </c>
      <c r="AF279" s="39" t="str">
        <f aca="false">RIGHT(TEXT(B279, "YYYY-MM-DD"), 2)</f>
        <v>12</v>
      </c>
    </row>
    <row r="280" customFormat="false" ht="15" hidden="false" customHeight="false" outlineLevel="0" collapsed="false">
      <c r="A280" s="43" t="n">
        <v>276</v>
      </c>
      <c r="B280" s="44" t="s">
        <v>88</v>
      </c>
      <c r="C280" s="43" t="n">
        <v>1</v>
      </c>
      <c r="D280" s="33" t="str">
        <f aca="false">VLOOKUP(C280, Lookups_Metadata!$A$4:$B$7, 2, FALSE())</f>
        <v>Spring</v>
      </c>
      <c r="E280" s="43" t="n">
        <v>0</v>
      </c>
      <c r="F280" s="43" t="n">
        <v>1</v>
      </c>
      <c r="G280" s="43" t="n">
        <v>22</v>
      </c>
      <c r="H280" s="45" t="b">
        <f aca="false">FALSE()</f>
        <v>0</v>
      </c>
      <c r="I280" s="43" t="n">
        <v>3</v>
      </c>
      <c r="J280" s="33" t="str">
        <f aca="false">INDEX(Lookups_Metadata!$E$4:$E$10, MATCH(I280, Lookups_Metadata!$D$4:$D$10, 0))</f>
        <v>Wednesday</v>
      </c>
      <c r="K280" s="33" t="str">
        <f aca="false">IF(H280=TRUE(), "Holiday", IF(OR(I280=0, I280=6), "Weekend", "Weekday"))</f>
        <v>Weekday</v>
      </c>
      <c r="L280" s="33" t="str">
        <f aca="false">IF(AND(K280="Weekday", OR(AND(G280&gt;=7, G280&lt;=9), AND(G280&gt;=17, G280&lt;=19))), "Peak Commute", "Off-Peak")</f>
        <v>Off-Peak</v>
      </c>
      <c r="M280" s="43" t="n">
        <v>1</v>
      </c>
      <c r="N280" s="33" t="str">
        <f aca="false">VLOOKUP(M280, Lookups_Metadata!$G$4:$H$7, 2, FALSE())</f>
        <v>Clear / Few Clouds</v>
      </c>
      <c r="O280" s="46" t="n">
        <v>0.16</v>
      </c>
      <c r="P280" s="46" t="n">
        <v>0.1212</v>
      </c>
      <c r="Q280" s="46" t="n">
        <f aca="false">IF(OR(P280="", ISBLANK(P280)), ROUND(0.9367*O280+0.0175, 4), P280)</f>
        <v>0.1212</v>
      </c>
      <c r="R280" s="33" t="str">
        <f aca="false">IF(OR(P280="", ISBLANK(P280)), "Imputed (Regression/Trend)", "Original")</f>
        <v>Original</v>
      </c>
      <c r="S280" s="46" t="n">
        <v>0.55</v>
      </c>
      <c r="T280" s="46" t="n">
        <v>0.4478</v>
      </c>
      <c r="U280" s="18" t="n">
        <v>1</v>
      </c>
      <c r="V280" s="18" t="n">
        <v>32</v>
      </c>
      <c r="W280" s="18" t="n">
        <f aca="false">U280+V280</f>
        <v>33</v>
      </c>
      <c r="X280" s="47" t="n">
        <f aca="false">U280/W280</f>
        <v>0.0303030303030303</v>
      </c>
      <c r="Y280" s="47" t="n">
        <f aca="false">V280/W280</f>
        <v>0.96969696969697</v>
      </c>
      <c r="Z280" s="33" t="str">
        <f aca="false">IF(W280&gt;=150, "High Demand", IF(W280&gt;=50, "Moderate Demand", "Low Demand"))</f>
        <v>Low Demand</v>
      </c>
      <c r="AA280" s="45" t="str">
        <f aca="false">TEXT(G280, "00") &amp; ":00"</f>
        <v>22:00</v>
      </c>
      <c r="AB280" s="43" t="n">
        <f aca="false">YEAR(B280)</f>
        <v>2011</v>
      </c>
      <c r="AC280" s="33" t="str">
        <f aca="false">TEXT(B280, "mmmm")</f>
        <v>January</v>
      </c>
      <c r="AD280" s="43" t="n">
        <f aca="false">LEN(TEXT(B280, "YYYY-MM-DD"))</f>
        <v>10</v>
      </c>
      <c r="AE280" s="45" t="str">
        <f aca="false">LEFT(TEXT(B280, "YYYY-MM-DD"), 4)</f>
        <v>2011</v>
      </c>
      <c r="AF280" s="45" t="str">
        <f aca="false">RIGHT(TEXT(B280, "YYYY-MM-DD"), 2)</f>
        <v>12</v>
      </c>
    </row>
    <row r="281" customFormat="false" ht="15" hidden="false" customHeight="false" outlineLevel="0" collapsed="false">
      <c r="A281" s="37" t="n">
        <v>277</v>
      </c>
      <c r="B281" s="38" t="s">
        <v>88</v>
      </c>
      <c r="C281" s="37" t="n">
        <v>1</v>
      </c>
      <c r="D281" s="35" t="str">
        <f aca="false">VLOOKUP(C281, Lookups_Metadata!$A$4:$B$7, 2, FALSE())</f>
        <v>Spring</v>
      </c>
      <c r="E281" s="37" t="n">
        <v>0</v>
      </c>
      <c r="F281" s="37" t="n">
        <v>1</v>
      </c>
      <c r="G281" s="37" t="n">
        <v>23</v>
      </c>
      <c r="H281" s="39" t="b">
        <f aca="false">FALSE()</f>
        <v>0</v>
      </c>
      <c r="I281" s="37" t="n">
        <v>3</v>
      </c>
      <c r="J281" s="35" t="str">
        <f aca="false">INDEX(Lookups_Metadata!$E$4:$E$10, MATCH(I281, Lookups_Metadata!$D$4:$D$10, 0))</f>
        <v>Wednesday</v>
      </c>
      <c r="K281" s="35" t="str">
        <f aca="false">IF(H281=TRUE(), "Holiday", IF(OR(I281=0, I281=6), "Weekend", "Weekday"))</f>
        <v>Weekday</v>
      </c>
      <c r="L281" s="35" t="str">
        <f aca="false">IF(AND(K281="Weekday", OR(AND(G281&gt;=7, G281&lt;=9), AND(G281&gt;=17, G281&lt;=19))), "Peak Commute", "Off-Peak")</f>
        <v>Off-Peak</v>
      </c>
      <c r="M281" s="37" t="n">
        <v>1</v>
      </c>
      <c r="N281" s="35" t="str">
        <f aca="false">VLOOKUP(M281, Lookups_Metadata!$G$4:$H$7, 2, FALSE())</f>
        <v>Clear / Few Clouds</v>
      </c>
      <c r="O281" s="40" t="n">
        <v>0.14</v>
      </c>
      <c r="P281" s="40" t="n">
        <v>0.1061</v>
      </c>
      <c r="Q281" s="40" t="n">
        <f aca="false">IF(OR(P281="", ISBLANK(P281)), ROUND(0.9367*O281+0.0175, 4), P281)</f>
        <v>0.1061</v>
      </c>
      <c r="R281" s="35" t="str">
        <f aca="false">IF(OR(P281="", ISBLANK(P281)), "Imputed (Regression/Trend)", "Original")</f>
        <v>Original</v>
      </c>
      <c r="S281" s="40" t="n">
        <v>0.59</v>
      </c>
      <c r="T281" s="40" t="n">
        <v>0.4179</v>
      </c>
      <c r="U281" s="41" t="n">
        <v>1</v>
      </c>
      <c r="V281" s="41" t="n">
        <v>19</v>
      </c>
      <c r="W281" s="41" t="n">
        <f aca="false">U281+V281</f>
        <v>20</v>
      </c>
      <c r="X281" s="42" t="n">
        <f aca="false">U281/W281</f>
        <v>0.05</v>
      </c>
      <c r="Y281" s="42" t="n">
        <f aca="false">V281/W281</f>
        <v>0.95</v>
      </c>
      <c r="Z281" s="35" t="str">
        <f aca="false">IF(W281&gt;=150, "High Demand", IF(W281&gt;=50, "Moderate Demand", "Low Demand"))</f>
        <v>Low Demand</v>
      </c>
      <c r="AA281" s="39" t="str">
        <f aca="false">TEXT(G281, "00") &amp; ":00"</f>
        <v>23:00</v>
      </c>
      <c r="AB281" s="37" t="n">
        <f aca="false">YEAR(B281)</f>
        <v>2011</v>
      </c>
      <c r="AC281" s="35" t="str">
        <f aca="false">TEXT(B281, "mmmm")</f>
        <v>January</v>
      </c>
      <c r="AD281" s="37" t="n">
        <f aca="false">LEN(TEXT(B281, "YYYY-MM-DD"))</f>
        <v>10</v>
      </c>
      <c r="AE281" s="39" t="str">
        <f aca="false">LEFT(TEXT(B281, "YYYY-MM-DD"), 4)</f>
        <v>2011</v>
      </c>
      <c r="AF281" s="39" t="str">
        <f aca="false">RIGHT(TEXT(B281, "YYYY-MM-DD"), 2)</f>
        <v>12</v>
      </c>
    </row>
    <row r="282" customFormat="false" ht="15" hidden="false" customHeight="false" outlineLevel="0" collapsed="false">
      <c r="A282" s="43" t="n">
        <v>278</v>
      </c>
      <c r="B282" s="44" t="s">
        <v>89</v>
      </c>
      <c r="C282" s="43" t="n">
        <v>1</v>
      </c>
      <c r="D282" s="33" t="str">
        <f aca="false">VLOOKUP(C282, Lookups_Metadata!$A$4:$B$7, 2, FALSE())</f>
        <v>Spring</v>
      </c>
      <c r="E282" s="43" t="n">
        <v>0</v>
      </c>
      <c r="F282" s="43" t="n">
        <v>1</v>
      </c>
      <c r="G282" s="43" t="n">
        <v>0</v>
      </c>
      <c r="H282" s="45" t="b">
        <f aca="false">FALSE()</f>
        <v>0</v>
      </c>
      <c r="I282" s="43" t="n">
        <v>4</v>
      </c>
      <c r="J282" s="33" t="str">
        <f aca="false">INDEX(Lookups_Metadata!$E$4:$E$10, MATCH(I282, Lookups_Metadata!$D$4:$D$10, 0))</f>
        <v>Thursday</v>
      </c>
      <c r="K282" s="33" t="str">
        <f aca="false">IF(H282=TRUE(), "Holiday", IF(OR(I282=0, I282=6), "Weekend", "Weekday"))</f>
        <v>Weekday</v>
      </c>
      <c r="L282" s="33" t="str">
        <f aca="false">IF(AND(K282="Weekday", OR(AND(G282&gt;=7, G282&lt;=9), AND(G282&gt;=17, G282&lt;=19))), "Peak Commute", "Off-Peak")</f>
        <v>Off-Peak</v>
      </c>
      <c r="M282" s="43" t="n">
        <v>1</v>
      </c>
      <c r="N282" s="33" t="str">
        <f aca="false">VLOOKUP(M282, Lookups_Metadata!$G$4:$H$7, 2, FALSE())</f>
        <v>Clear / Few Clouds</v>
      </c>
      <c r="O282" s="46" t="n">
        <v>0.14</v>
      </c>
      <c r="P282" s="46" t="n">
        <v>0.1212</v>
      </c>
      <c r="Q282" s="46" t="n">
        <f aca="false">IF(OR(P282="", ISBLANK(P282)), ROUND(0.9367*O282+0.0175, 4), P282)</f>
        <v>0.1212</v>
      </c>
      <c r="R282" s="33" t="str">
        <f aca="false">IF(OR(P282="", ISBLANK(P282)), "Imputed (Regression/Trend)", "Original")</f>
        <v>Original</v>
      </c>
      <c r="S282" s="46" t="n">
        <v>0.59</v>
      </c>
      <c r="T282" s="46" t="n">
        <v>0.2836</v>
      </c>
      <c r="U282" s="18" t="n">
        <v>1</v>
      </c>
      <c r="V282" s="18" t="n">
        <v>6</v>
      </c>
      <c r="W282" s="18" t="n">
        <f aca="false">U282+V282</f>
        <v>7</v>
      </c>
      <c r="X282" s="47" t="n">
        <f aca="false">U282/W282</f>
        <v>0.142857142857143</v>
      </c>
      <c r="Y282" s="47" t="n">
        <f aca="false">V282/W282</f>
        <v>0.857142857142857</v>
      </c>
      <c r="Z282" s="33" t="str">
        <f aca="false">IF(W282&gt;=150, "High Demand", IF(W282&gt;=50, "Moderate Demand", "Low Demand"))</f>
        <v>Low Demand</v>
      </c>
      <c r="AA282" s="45" t="str">
        <f aca="false">TEXT(G282, "00") &amp; ":00"</f>
        <v>00:00</v>
      </c>
      <c r="AB282" s="43" t="n">
        <f aca="false">YEAR(B282)</f>
        <v>2011</v>
      </c>
      <c r="AC282" s="33" t="str">
        <f aca="false">TEXT(B282, "mmmm")</f>
        <v>January</v>
      </c>
      <c r="AD282" s="43" t="n">
        <f aca="false">LEN(TEXT(B282, "YYYY-MM-DD"))</f>
        <v>10</v>
      </c>
      <c r="AE282" s="45" t="str">
        <f aca="false">LEFT(TEXT(B282, "YYYY-MM-DD"), 4)</f>
        <v>2011</v>
      </c>
      <c r="AF282" s="45" t="str">
        <f aca="false">RIGHT(TEXT(B282, "YYYY-MM-DD"), 2)</f>
        <v>13</v>
      </c>
    </row>
    <row r="283" customFormat="false" ht="15" hidden="false" customHeight="false" outlineLevel="0" collapsed="false">
      <c r="A283" s="37" t="n">
        <v>279</v>
      </c>
      <c r="B283" s="38" t="s">
        <v>89</v>
      </c>
      <c r="C283" s="37" t="n">
        <v>1</v>
      </c>
      <c r="D283" s="35" t="str">
        <f aca="false">VLOOKUP(C283, Lookups_Metadata!$A$4:$B$7, 2, FALSE())</f>
        <v>Spring</v>
      </c>
      <c r="E283" s="37" t="n">
        <v>0</v>
      </c>
      <c r="F283" s="37" t="n">
        <v>1</v>
      </c>
      <c r="G283" s="37" t="n">
        <v>1</v>
      </c>
      <c r="H283" s="39" t="b">
        <f aca="false">FALSE()</f>
        <v>0</v>
      </c>
      <c r="I283" s="37" t="n">
        <v>4</v>
      </c>
      <c r="J283" s="35" t="str">
        <f aca="false">INDEX(Lookups_Metadata!$E$4:$E$10, MATCH(I283, Lookups_Metadata!$D$4:$D$10, 0))</f>
        <v>Thursday</v>
      </c>
      <c r="K283" s="35" t="str">
        <f aca="false">IF(H283=TRUE(), "Holiday", IF(OR(I283=0, I283=6), "Weekend", "Weekday"))</f>
        <v>Weekday</v>
      </c>
      <c r="L283" s="35" t="str">
        <f aca="false">IF(AND(K283="Weekday", OR(AND(G283&gt;=7, G283&lt;=9), AND(G283&gt;=17, G283&lt;=19))), "Peak Commute", "Off-Peak")</f>
        <v>Off-Peak</v>
      </c>
      <c r="M283" s="37" t="n">
        <v>1</v>
      </c>
      <c r="N283" s="35" t="str">
        <f aca="false">VLOOKUP(M283, Lookups_Metadata!$G$4:$H$7, 2, FALSE())</f>
        <v>Clear / Few Clouds</v>
      </c>
      <c r="O283" s="40" t="n">
        <v>0.14</v>
      </c>
      <c r="P283" s="40" t="n">
        <v>0.1212</v>
      </c>
      <c r="Q283" s="40" t="n">
        <f aca="false">IF(OR(P283="", ISBLANK(P283)), ROUND(0.9367*O283+0.0175, 4), P283)</f>
        <v>0.1212</v>
      </c>
      <c r="R283" s="35" t="str">
        <f aca="false">IF(OR(P283="", ISBLANK(P283)), "Imputed (Regression/Trend)", "Original")</f>
        <v>Original</v>
      </c>
      <c r="S283" s="40" t="n">
        <v>0.5</v>
      </c>
      <c r="T283" s="40" t="n">
        <v>0.2836</v>
      </c>
      <c r="U283" s="41" t="n">
        <v>0</v>
      </c>
      <c r="V283" s="41" t="n">
        <v>2</v>
      </c>
      <c r="W283" s="41" t="n">
        <f aca="false">U283+V283</f>
        <v>2</v>
      </c>
      <c r="X283" s="42" t="n">
        <f aca="false">U283/W283</f>
        <v>0</v>
      </c>
      <c r="Y283" s="42" t="n">
        <f aca="false">V283/W283</f>
        <v>1</v>
      </c>
      <c r="Z283" s="35" t="str">
        <f aca="false">IF(W283&gt;=150, "High Demand", IF(W283&gt;=50, "Moderate Demand", "Low Demand"))</f>
        <v>Low Demand</v>
      </c>
      <c r="AA283" s="39" t="str">
        <f aca="false">TEXT(G283, "00") &amp; ":00"</f>
        <v>01:00</v>
      </c>
      <c r="AB283" s="37" t="n">
        <f aca="false">YEAR(B283)</f>
        <v>2011</v>
      </c>
      <c r="AC283" s="35" t="str">
        <f aca="false">TEXT(B283, "mmmm")</f>
        <v>January</v>
      </c>
      <c r="AD283" s="37" t="n">
        <f aca="false">LEN(TEXT(B283, "YYYY-MM-DD"))</f>
        <v>10</v>
      </c>
      <c r="AE283" s="39" t="str">
        <f aca="false">LEFT(TEXT(B283, "YYYY-MM-DD"), 4)</f>
        <v>2011</v>
      </c>
      <c r="AF283" s="39" t="str">
        <f aca="false">RIGHT(TEXT(B283, "YYYY-MM-DD"), 2)</f>
        <v>13</v>
      </c>
    </row>
    <row r="284" customFormat="false" ht="15" hidden="false" customHeight="false" outlineLevel="0" collapsed="false">
      <c r="A284" s="43" t="n">
        <v>280</v>
      </c>
      <c r="B284" s="44" t="s">
        <v>89</v>
      </c>
      <c r="C284" s="43" t="n">
        <v>1</v>
      </c>
      <c r="D284" s="33" t="str">
        <f aca="false">VLOOKUP(C284, Lookups_Metadata!$A$4:$B$7, 2, FALSE())</f>
        <v>Spring</v>
      </c>
      <c r="E284" s="43" t="n">
        <v>0</v>
      </c>
      <c r="F284" s="43" t="n">
        <v>1</v>
      </c>
      <c r="G284" s="43" t="n">
        <v>2</v>
      </c>
      <c r="H284" s="45" t="b">
        <f aca="false">FALSE()</f>
        <v>0</v>
      </c>
      <c r="I284" s="43" t="n">
        <v>4</v>
      </c>
      <c r="J284" s="33" t="str">
        <f aca="false">INDEX(Lookups_Metadata!$E$4:$E$10, MATCH(I284, Lookups_Metadata!$D$4:$D$10, 0))</f>
        <v>Thursday</v>
      </c>
      <c r="K284" s="33" t="str">
        <f aca="false">IF(H284=TRUE(), "Holiday", IF(OR(I284=0, I284=6), "Weekend", "Weekday"))</f>
        <v>Weekday</v>
      </c>
      <c r="L284" s="33" t="str">
        <f aca="false">IF(AND(K284="Weekday", OR(AND(G284&gt;=7, G284&lt;=9), AND(G284&gt;=17, G284&lt;=19))), "Peak Commute", "Off-Peak")</f>
        <v>Off-Peak</v>
      </c>
      <c r="M284" s="43" t="n">
        <v>1</v>
      </c>
      <c r="N284" s="33" t="str">
        <f aca="false">VLOOKUP(M284, Lookups_Metadata!$G$4:$H$7, 2, FALSE())</f>
        <v>Clear / Few Clouds</v>
      </c>
      <c r="O284" s="46" t="n">
        <v>0.14</v>
      </c>
      <c r="P284" s="46" t="n">
        <v>0.1212</v>
      </c>
      <c r="Q284" s="46" t="n">
        <f aca="false">IF(OR(P284="", ISBLANK(P284)), ROUND(0.9367*O284+0.0175, 4), P284)</f>
        <v>0.1212</v>
      </c>
      <c r="R284" s="33" t="str">
        <f aca="false">IF(OR(P284="", ISBLANK(P284)), "Imputed (Regression/Trend)", "Original")</f>
        <v>Original</v>
      </c>
      <c r="S284" s="46" t="n">
        <v>0.5</v>
      </c>
      <c r="T284" s="46" t="n">
        <v>0.3582</v>
      </c>
      <c r="U284" s="18" t="n">
        <v>0</v>
      </c>
      <c r="V284" s="18" t="n">
        <v>2</v>
      </c>
      <c r="W284" s="18" t="n">
        <f aca="false">U284+V284</f>
        <v>2</v>
      </c>
      <c r="X284" s="47" t="n">
        <f aca="false">U284/W284</f>
        <v>0</v>
      </c>
      <c r="Y284" s="47" t="n">
        <f aca="false">V284/W284</f>
        <v>1</v>
      </c>
      <c r="Z284" s="33" t="str">
        <f aca="false">IF(W284&gt;=150, "High Demand", IF(W284&gt;=50, "Moderate Demand", "Low Demand"))</f>
        <v>Low Demand</v>
      </c>
      <c r="AA284" s="45" t="str">
        <f aca="false">TEXT(G284, "00") &amp; ":00"</f>
        <v>02:00</v>
      </c>
      <c r="AB284" s="43" t="n">
        <f aca="false">YEAR(B284)</f>
        <v>2011</v>
      </c>
      <c r="AC284" s="33" t="str">
        <f aca="false">TEXT(B284, "mmmm")</f>
        <v>January</v>
      </c>
      <c r="AD284" s="43" t="n">
        <f aca="false">LEN(TEXT(B284, "YYYY-MM-DD"))</f>
        <v>10</v>
      </c>
      <c r="AE284" s="45" t="str">
        <f aca="false">LEFT(TEXT(B284, "YYYY-MM-DD"), 4)</f>
        <v>2011</v>
      </c>
      <c r="AF284" s="45" t="str">
        <f aca="false">RIGHT(TEXT(B284, "YYYY-MM-DD"), 2)</f>
        <v>13</v>
      </c>
    </row>
    <row r="285" customFormat="false" ht="15" hidden="false" customHeight="false" outlineLevel="0" collapsed="false">
      <c r="A285" s="37" t="n">
        <v>281</v>
      </c>
      <c r="B285" s="38" t="s">
        <v>89</v>
      </c>
      <c r="C285" s="37" t="n">
        <v>1</v>
      </c>
      <c r="D285" s="35" t="str">
        <f aca="false">VLOOKUP(C285, Lookups_Metadata!$A$4:$B$7, 2, FALSE())</f>
        <v>Spring</v>
      </c>
      <c r="E285" s="37" t="n">
        <v>0</v>
      </c>
      <c r="F285" s="37" t="n">
        <v>1</v>
      </c>
      <c r="G285" s="37" t="n">
        <v>3</v>
      </c>
      <c r="H285" s="39" t="b">
        <f aca="false">FALSE()</f>
        <v>0</v>
      </c>
      <c r="I285" s="37" t="n">
        <v>4</v>
      </c>
      <c r="J285" s="35" t="str">
        <f aca="false">INDEX(Lookups_Metadata!$E$4:$E$10, MATCH(I285, Lookups_Metadata!$D$4:$D$10, 0))</f>
        <v>Thursday</v>
      </c>
      <c r="K285" s="35" t="str">
        <f aca="false">IF(H285=TRUE(), "Holiday", IF(OR(I285=0, I285=6), "Weekend", "Weekday"))</f>
        <v>Weekday</v>
      </c>
      <c r="L285" s="35" t="str">
        <f aca="false">IF(AND(K285="Weekday", OR(AND(G285&gt;=7, G285&lt;=9), AND(G285&gt;=17, G285&lt;=19))), "Peak Commute", "Off-Peak")</f>
        <v>Off-Peak</v>
      </c>
      <c r="M285" s="37" t="n">
        <v>1</v>
      </c>
      <c r="N285" s="35" t="str">
        <f aca="false">VLOOKUP(M285, Lookups_Metadata!$G$4:$H$7, 2, FALSE())</f>
        <v>Clear / Few Clouds</v>
      </c>
      <c r="O285" s="40" t="n">
        <v>0.14</v>
      </c>
      <c r="P285" s="40" t="n">
        <v>0.1212</v>
      </c>
      <c r="Q285" s="40" t="n">
        <f aca="false">IF(OR(P285="", ISBLANK(P285)), ROUND(0.9367*O285+0.0175, 4), P285)</f>
        <v>0.1212</v>
      </c>
      <c r="R285" s="35" t="str">
        <f aca="false">IF(OR(P285="", ISBLANK(P285)), "Imputed (Regression/Trend)", "Original")</f>
        <v>Original</v>
      </c>
      <c r="S285" s="40" t="n">
        <v>0.5</v>
      </c>
      <c r="T285" s="40" t="n">
        <v>0.3284</v>
      </c>
      <c r="U285" s="41" t="n">
        <v>0</v>
      </c>
      <c r="V285" s="41" t="n">
        <v>3</v>
      </c>
      <c r="W285" s="41" t="n">
        <f aca="false">U285+V285</f>
        <v>3</v>
      </c>
      <c r="X285" s="42" t="n">
        <f aca="false">U285/W285</f>
        <v>0</v>
      </c>
      <c r="Y285" s="42" t="n">
        <f aca="false">V285/W285</f>
        <v>1</v>
      </c>
      <c r="Z285" s="35" t="str">
        <f aca="false">IF(W285&gt;=150, "High Demand", IF(W285&gt;=50, "Moderate Demand", "Low Demand"))</f>
        <v>Low Demand</v>
      </c>
      <c r="AA285" s="39" t="str">
        <f aca="false">TEXT(G285, "00") &amp; ":00"</f>
        <v>03:00</v>
      </c>
      <c r="AB285" s="37" t="n">
        <f aca="false">YEAR(B285)</f>
        <v>2011</v>
      </c>
      <c r="AC285" s="35" t="str">
        <f aca="false">TEXT(B285, "mmmm")</f>
        <v>January</v>
      </c>
      <c r="AD285" s="37" t="n">
        <f aca="false">LEN(TEXT(B285, "YYYY-MM-DD"))</f>
        <v>10</v>
      </c>
      <c r="AE285" s="39" t="str">
        <f aca="false">LEFT(TEXT(B285, "YYYY-MM-DD"), 4)</f>
        <v>2011</v>
      </c>
      <c r="AF285" s="39" t="str">
        <f aca="false">RIGHT(TEXT(B285, "YYYY-MM-DD"), 2)</f>
        <v>13</v>
      </c>
    </row>
    <row r="286" customFormat="false" ht="15" hidden="false" customHeight="false" outlineLevel="0" collapsed="false">
      <c r="A286" s="43" t="n">
        <v>282</v>
      </c>
      <c r="B286" s="44" t="s">
        <v>89</v>
      </c>
      <c r="C286" s="43" t="n">
        <v>1</v>
      </c>
      <c r="D286" s="33" t="str">
        <f aca="false">VLOOKUP(C286, Lookups_Metadata!$A$4:$B$7, 2, FALSE())</f>
        <v>Spring</v>
      </c>
      <c r="E286" s="43" t="n">
        <v>0</v>
      </c>
      <c r="F286" s="43" t="n">
        <v>1</v>
      </c>
      <c r="G286" s="43" t="n">
        <v>4</v>
      </c>
      <c r="H286" s="45" t="b">
        <f aca="false">FALSE()</f>
        <v>0</v>
      </c>
      <c r="I286" s="43" t="n">
        <v>4</v>
      </c>
      <c r="J286" s="33" t="str">
        <f aca="false">INDEX(Lookups_Metadata!$E$4:$E$10, MATCH(I286, Lookups_Metadata!$D$4:$D$10, 0))</f>
        <v>Thursday</v>
      </c>
      <c r="K286" s="33" t="str">
        <f aca="false">IF(H286=TRUE(), "Holiday", IF(OR(I286=0, I286=6), "Weekend", "Weekday"))</f>
        <v>Weekday</v>
      </c>
      <c r="L286" s="33" t="str">
        <f aca="false">IF(AND(K286="Weekday", OR(AND(G286&gt;=7, G286&lt;=9), AND(G286&gt;=17, G286&lt;=19))), "Peak Commute", "Off-Peak")</f>
        <v>Off-Peak</v>
      </c>
      <c r="M286" s="43" t="n">
        <v>1</v>
      </c>
      <c r="N286" s="33" t="str">
        <f aca="false">VLOOKUP(M286, Lookups_Metadata!$G$4:$H$7, 2, FALSE())</f>
        <v>Clear / Few Clouds</v>
      </c>
      <c r="O286" s="46" t="n">
        <v>0.14</v>
      </c>
      <c r="P286" s="46" t="n">
        <v>0.1212</v>
      </c>
      <c r="Q286" s="46" t="n">
        <f aca="false">IF(OR(P286="", ISBLANK(P286)), ROUND(0.9367*O286+0.0175, 4), P286)</f>
        <v>0.1212</v>
      </c>
      <c r="R286" s="33" t="str">
        <f aca="false">IF(OR(P286="", ISBLANK(P286)), "Imputed (Regression/Trend)", "Original")</f>
        <v>Original</v>
      </c>
      <c r="S286" s="46" t="n">
        <v>0.5</v>
      </c>
      <c r="T286" s="46" t="n">
        <v>0.2537</v>
      </c>
      <c r="U286" s="18" t="n">
        <v>0</v>
      </c>
      <c r="V286" s="18" t="n">
        <v>4</v>
      </c>
      <c r="W286" s="18" t="n">
        <f aca="false">U286+V286</f>
        <v>4</v>
      </c>
      <c r="X286" s="47" t="n">
        <f aca="false">U286/W286</f>
        <v>0</v>
      </c>
      <c r="Y286" s="47" t="n">
        <f aca="false">V286/W286</f>
        <v>1</v>
      </c>
      <c r="Z286" s="33" t="str">
        <f aca="false">IF(W286&gt;=150, "High Demand", IF(W286&gt;=50, "Moderate Demand", "Low Demand"))</f>
        <v>Low Demand</v>
      </c>
      <c r="AA286" s="45" t="str">
        <f aca="false">TEXT(G286, "00") &amp; ":00"</f>
        <v>04:00</v>
      </c>
      <c r="AB286" s="43" t="n">
        <f aca="false">YEAR(B286)</f>
        <v>2011</v>
      </c>
      <c r="AC286" s="33" t="str">
        <f aca="false">TEXT(B286, "mmmm")</f>
        <v>January</v>
      </c>
      <c r="AD286" s="43" t="n">
        <f aca="false">LEN(TEXT(B286, "YYYY-MM-DD"))</f>
        <v>10</v>
      </c>
      <c r="AE286" s="45" t="str">
        <f aca="false">LEFT(TEXT(B286, "YYYY-MM-DD"), 4)</f>
        <v>2011</v>
      </c>
      <c r="AF286" s="45" t="str">
        <f aca="false">RIGHT(TEXT(B286, "YYYY-MM-DD"), 2)</f>
        <v>13</v>
      </c>
    </row>
    <row r="287" customFormat="false" ht="15" hidden="false" customHeight="false" outlineLevel="0" collapsed="false">
      <c r="A287" s="37" t="n">
        <v>283</v>
      </c>
      <c r="B287" s="38" t="s">
        <v>89</v>
      </c>
      <c r="C287" s="37" t="n">
        <v>1</v>
      </c>
      <c r="D287" s="35" t="str">
        <f aca="false">VLOOKUP(C287, Lookups_Metadata!$A$4:$B$7, 2, FALSE())</f>
        <v>Spring</v>
      </c>
      <c r="E287" s="37" t="n">
        <v>0</v>
      </c>
      <c r="F287" s="37" t="n">
        <v>1</v>
      </c>
      <c r="G287" s="37" t="n">
        <v>5</v>
      </c>
      <c r="H287" s="39" t="b">
        <f aca="false">FALSE()</f>
        <v>0</v>
      </c>
      <c r="I287" s="37" t="n">
        <v>4</v>
      </c>
      <c r="J287" s="35" t="str">
        <f aca="false">INDEX(Lookups_Metadata!$E$4:$E$10, MATCH(I287, Lookups_Metadata!$D$4:$D$10, 0))</f>
        <v>Thursday</v>
      </c>
      <c r="K287" s="35" t="str">
        <f aca="false">IF(H287=TRUE(), "Holiday", IF(OR(I287=0, I287=6), "Weekend", "Weekday"))</f>
        <v>Weekday</v>
      </c>
      <c r="L287" s="35" t="str">
        <f aca="false">IF(AND(K287="Weekday", OR(AND(G287&gt;=7, G287&lt;=9), AND(G287&gt;=17, G287&lt;=19))), "Peak Commute", "Off-Peak")</f>
        <v>Off-Peak</v>
      </c>
      <c r="M287" s="37" t="n">
        <v>1</v>
      </c>
      <c r="N287" s="35" t="str">
        <f aca="false">VLOOKUP(M287, Lookups_Metadata!$G$4:$H$7, 2, FALSE())</f>
        <v>Clear / Few Clouds</v>
      </c>
      <c r="O287" s="40" t="n">
        <v>0.14</v>
      </c>
      <c r="P287" s="40" t="n">
        <v>0.1212</v>
      </c>
      <c r="Q287" s="40" t="n">
        <f aca="false">IF(OR(P287="", ISBLANK(P287)), ROUND(0.9367*O287+0.0175, 4), P287)</f>
        <v>0.1212</v>
      </c>
      <c r="R287" s="35" t="str">
        <f aca="false">IF(OR(P287="", ISBLANK(P287)), "Imputed (Regression/Trend)", "Original")</f>
        <v>Original</v>
      </c>
      <c r="S287" s="40" t="n">
        <v>0.5</v>
      </c>
      <c r="T287" s="40" t="n">
        <v>0.2985</v>
      </c>
      <c r="U287" s="41" t="n">
        <v>0</v>
      </c>
      <c r="V287" s="41" t="n">
        <v>3</v>
      </c>
      <c r="W287" s="41" t="n">
        <f aca="false">U287+V287</f>
        <v>3</v>
      </c>
      <c r="X287" s="42" t="n">
        <f aca="false">U287/W287</f>
        <v>0</v>
      </c>
      <c r="Y287" s="42" t="n">
        <f aca="false">V287/W287</f>
        <v>1</v>
      </c>
      <c r="Z287" s="35" t="str">
        <f aca="false">IF(W287&gt;=150, "High Demand", IF(W287&gt;=50, "Moderate Demand", "Low Demand"))</f>
        <v>Low Demand</v>
      </c>
      <c r="AA287" s="39" t="str">
        <f aca="false">TEXT(G287, "00") &amp; ":00"</f>
        <v>05:00</v>
      </c>
      <c r="AB287" s="37" t="n">
        <f aca="false">YEAR(B287)</f>
        <v>2011</v>
      </c>
      <c r="AC287" s="35" t="str">
        <f aca="false">TEXT(B287, "mmmm")</f>
        <v>January</v>
      </c>
      <c r="AD287" s="37" t="n">
        <f aca="false">LEN(TEXT(B287, "YYYY-MM-DD"))</f>
        <v>10</v>
      </c>
      <c r="AE287" s="39" t="str">
        <f aca="false">LEFT(TEXT(B287, "YYYY-MM-DD"), 4)</f>
        <v>2011</v>
      </c>
      <c r="AF287" s="39" t="str">
        <f aca="false">RIGHT(TEXT(B287, "YYYY-MM-DD"), 2)</f>
        <v>13</v>
      </c>
    </row>
    <row r="288" customFormat="false" ht="15" hidden="false" customHeight="false" outlineLevel="0" collapsed="false">
      <c r="A288" s="43" t="n">
        <v>284</v>
      </c>
      <c r="B288" s="44" t="s">
        <v>89</v>
      </c>
      <c r="C288" s="43" t="n">
        <v>1</v>
      </c>
      <c r="D288" s="33" t="str">
        <f aca="false">VLOOKUP(C288, Lookups_Metadata!$A$4:$B$7, 2, FALSE())</f>
        <v>Spring</v>
      </c>
      <c r="E288" s="43" t="n">
        <v>0</v>
      </c>
      <c r="F288" s="43" t="n">
        <v>1</v>
      </c>
      <c r="G288" s="43" t="n">
        <v>6</v>
      </c>
      <c r="H288" s="45" t="b">
        <f aca="false">FALSE()</f>
        <v>0</v>
      </c>
      <c r="I288" s="43" t="n">
        <v>4</v>
      </c>
      <c r="J288" s="33" t="str">
        <f aca="false">INDEX(Lookups_Metadata!$E$4:$E$10, MATCH(I288, Lookups_Metadata!$D$4:$D$10, 0))</f>
        <v>Thursday</v>
      </c>
      <c r="K288" s="33" t="str">
        <f aca="false">IF(H288=TRUE(), "Holiday", IF(OR(I288=0, I288=6), "Weekend", "Weekday"))</f>
        <v>Weekday</v>
      </c>
      <c r="L288" s="33" t="str">
        <f aca="false">IF(AND(K288="Weekday", OR(AND(G288&gt;=7, G288&lt;=9), AND(G288&gt;=17, G288&lt;=19))), "Peak Commute", "Off-Peak")</f>
        <v>Off-Peak</v>
      </c>
      <c r="M288" s="43" t="n">
        <v>1</v>
      </c>
      <c r="N288" s="33" t="str">
        <f aca="false">VLOOKUP(M288, Lookups_Metadata!$G$4:$H$7, 2, FALSE())</f>
        <v>Clear / Few Clouds</v>
      </c>
      <c r="O288" s="46" t="n">
        <v>0.12</v>
      </c>
      <c r="P288" s="46" t="n">
        <v>0.1515</v>
      </c>
      <c r="Q288" s="46" t="n">
        <f aca="false">IF(OR(P288="", ISBLANK(P288)), ROUND(0.9367*O288+0.0175, 4), P288)</f>
        <v>0.1515</v>
      </c>
      <c r="R288" s="33" t="str">
        <f aca="false">IF(OR(P288="", ISBLANK(P288)), "Imputed (Regression/Trend)", "Original")</f>
        <v>Original</v>
      </c>
      <c r="S288" s="46" t="n">
        <v>0.54</v>
      </c>
      <c r="T288" s="46" t="n">
        <v>0.1343</v>
      </c>
      <c r="U288" s="18" t="n">
        <v>0</v>
      </c>
      <c r="V288" s="18" t="n">
        <v>28</v>
      </c>
      <c r="W288" s="18" t="n">
        <f aca="false">U288+V288</f>
        <v>28</v>
      </c>
      <c r="X288" s="47" t="n">
        <f aca="false">U288/W288</f>
        <v>0</v>
      </c>
      <c r="Y288" s="47" t="n">
        <f aca="false">V288/W288</f>
        <v>1</v>
      </c>
      <c r="Z288" s="33" t="str">
        <f aca="false">IF(W288&gt;=150, "High Demand", IF(W288&gt;=50, "Moderate Demand", "Low Demand"))</f>
        <v>Low Demand</v>
      </c>
      <c r="AA288" s="45" t="str">
        <f aca="false">TEXT(G288, "00") &amp; ":00"</f>
        <v>06:00</v>
      </c>
      <c r="AB288" s="43" t="n">
        <f aca="false">YEAR(B288)</f>
        <v>2011</v>
      </c>
      <c r="AC288" s="33" t="str">
        <f aca="false">TEXT(B288, "mmmm")</f>
        <v>January</v>
      </c>
      <c r="AD288" s="43" t="n">
        <f aca="false">LEN(TEXT(B288, "YYYY-MM-DD"))</f>
        <v>10</v>
      </c>
      <c r="AE288" s="45" t="str">
        <f aca="false">LEFT(TEXT(B288, "YYYY-MM-DD"), 4)</f>
        <v>2011</v>
      </c>
      <c r="AF288" s="45" t="str">
        <f aca="false">RIGHT(TEXT(B288, "YYYY-MM-DD"), 2)</f>
        <v>13</v>
      </c>
    </row>
    <row r="289" customFormat="false" ht="15" hidden="false" customHeight="false" outlineLevel="0" collapsed="false">
      <c r="A289" s="37" t="n">
        <v>285</v>
      </c>
      <c r="B289" s="38" t="s">
        <v>89</v>
      </c>
      <c r="C289" s="37" t="n">
        <v>1</v>
      </c>
      <c r="D289" s="35" t="str">
        <f aca="false">VLOOKUP(C289, Lookups_Metadata!$A$4:$B$7, 2, FALSE())</f>
        <v>Spring</v>
      </c>
      <c r="E289" s="37" t="n">
        <v>0</v>
      </c>
      <c r="F289" s="37" t="n">
        <v>1</v>
      </c>
      <c r="G289" s="37" t="n">
        <v>7</v>
      </c>
      <c r="H289" s="39" t="b">
        <f aca="false">FALSE()</f>
        <v>0</v>
      </c>
      <c r="I289" s="37" t="n">
        <v>4</v>
      </c>
      <c r="J289" s="35" t="str">
        <f aca="false">INDEX(Lookups_Metadata!$E$4:$E$10, MATCH(I289, Lookups_Metadata!$D$4:$D$10, 0))</f>
        <v>Thursday</v>
      </c>
      <c r="K289" s="35" t="str">
        <f aca="false">IF(H289=TRUE(), "Holiday", IF(OR(I289=0, I289=6), "Weekend", "Weekday"))</f>
        <v>Weekday</v>
      </c>
      <c r="L289" s="35" t="str">
        <f aca="false">IF(AND(K289="Weekday", OR(AND(G289&gt;=7, G289&lt;=9), AND(G289&gt;=17, G289&lt;=19))), "Peak Commute", "Off-Peak")</f>
        <v>Peak Commute</v>
      </c>
      <c r="M289" s="37" t="n">
        <v>1</v>
      </c>
      <c r="N289" s="35" t="str">
        <f aca="false">VLOOKUP(M289, Lookups_Metadata!$G$4:$H$7, 2, FALSE())</f>
        <v>Clear / Few Clouds</v>
      </c>
      <c r="O289" s="40" t="n">
        <v>0.12</v>
      </c>
      <c r="P289" s="40" t="n">
        <v>0.1515</v>
      </c>
      <c r="Q289" s="40" t="n">
        <f aca="false">IF(OR(P289="", ISBLANK(P289)), ROUND(0.9367*O289+0.0175, 4), P289)</f>
        <v>0.1515</v>
      </c>
      <c r="R289" s="35" t="str">
        <f aca="false">IF(OR(P289="", ISBLANK(P289)), "Imputed (Regression/Trend)", "Original")</f>
        <v>Original</v>
      </c>
      <c r="S289" s="40" t="n">
        <v>0.54</v>
      </c>
      <c r="T289" s="40" t="n">
        <v>0.1343</v>
      </c>
      <c r="U289" s="41" t="n">
        <v>0</v>
      </c>
      <c r="V289" s="41" t="n">
        <v>72</v>
      </c>
      <c r="W289" s="41" t="n">
        <f aca="false">U289+V289</f>
        <v>72</v>
      </c>
      <c r="X289" s="42" t="n">
        <f aca="false">U289/W289</f>
        <v>0</v>
      </c>
      <c r="Y289" s="42" t="n">
        <f aca="false">V289/W289</f>
        <v>1</v>
      </c>
      <c r="Z289" s="35" t="str">
        <f aca="false">IF(W289&gt;=150, "High Demand", IF(W289&gt;=50, "Moderate Demand", "Low Demand"))</f>
        <v>Moderate Demand</v>
      </c>
      <c r="AA289" s="39" t="str">
        <f aca="false">TEXT(G289, "00") &amp; ":00"</f>
        <v>07:00</v>
      </c>
      <c r="AB289" s="37" t="n">
        <f aca="false">YEAR(B289)</f>
        <v>2011</v>
      </c>
      <c r="AC289" s="35" t="str">
        <f aca="false">TEXT(B289, "mmmm")</f>
        <v>January</v>
      </c>
      <c r="AD289" s="37" t="n">
        <f aca="false">LEN(TEXT(B289, "YYYY-MM-DD"))</f>
        <v>10</v>
      </c>
      <c r="AE289" s="39" t="str">
        <f aca="false">LEFT(TEXT(B289, "YYYY-MM-DD"), 4)</f>
        <v>2011</v>
      </c>
      <c r="AF289" s="39" t="str">
        <f aca="false">RIGHT(TEXT(B289, "YYYY-MM-DD"), 2)</f>
        <v>13</v>
      </c>
    </row>
    <row r="290" customFormat="false" ht="15" hidden="false" customHeight="false" outlineLevel="0" collapsed="false">
      <c r="A290" s="43" t="n">
        <v>286</v>
      </c>
      <c r="B290" s="44" t="s">
        <v>89</v>
      </c>
      <c r="C290" s="43" t="n">
        <v>1</v>
      </c>
      <c r="D290" s="33" t="str">
        <f aca="false">VLOOKUP(C290, Lookups_Metadata!$A$4:$B$7, 2, FALSE())</f>
        <v>Spring</v>
      </c>
      <c r="E290" s="43" t="n">
        <v>0</v>
      </c>
      <c r="F290" s="43" t="n">
        <v>1</v>
      </c>
      <c r="G290" s="43" t="n">
        <v>8</v>
      </c>
      <c r="H290" s="45" t="b">
        <f aca="false">FALSE()</f>
        <v>0</v>
      </c>
      <c r="I290" s="43" t="n">
        <v>4</v>
      </c>
      <c r="J290" s="33" t="str">
        <f aca="false">INDEX(Lookups_Metadata!$E$4:$E$10, MATCH(I290, Lookups_Metadata!$D$4:$D$10, 0))</f>
        <v>Thursday</v>
      </c>
      <c r="K290" s="33" t="str">
        <f aca="false">IF(H290=TRUE(), "Holiday", IF(OR(I290=0, I290=6), "Weekend", "Weekday"))</f>
        <v>Weekday</v>
      </c>
      <c r="L290" s="33" t="str">
        <f aca="false">IF(AND(K290="Weekday", OR(AND(G290&gt;=7, G290&lt;=9), AND(G290&gt;=17, G290&lt;=19))), "Peak Commute", "Off-Peak")</f>
        <v>Peak Commute</v>
      </c>
      <c r="M290" s="43" t="n">
        <v>1</v>
      </c>
      <c r="N290" s="33" t="str">
        <f aca="false">VLOOKUP(M290, Lookups_Metadata!$G$4:$H$7, 2, FALSE())</f>
        <v>Clear / Few Clouds</v>
      </c>
      <c r="O290" s="46" t="n">
        <v>0.14</v>
      </c>
      <c r="P290" s="46" t="n">
        <v>0.1364</v>
      </c>
      <c r="Q290" s="46" t="n">
        <f aca="false">IF(OR(P290="", ISBLANK(P290)), ROUND(0.9367*O290+0.0175, 4), P290)</f>
        <v>0.1364</v>
      </c>
      <c r="R290" s="33" t="str">
        <f aca="false">IF(OR(P290="", ISBLANK(P290)), "Imputed (Regression/Trend)", "Original")</f>
        <v>Original</v>
      </c>
      <c r="S290" s="46" t="n">
        <v>0.5</v>
      </c>
      <c r="T290" s="46" t="n">
        <v>0.194</v>
      </c>
      <c r="U290" s="18" t="n">
        <v>5</v>
      </c>
      <c r="V290" s="18" t="n">
        <v>197</v>
      </c>
      <c r="W290" s="18" t="n">
        <f aca="false">U290+V290</f>
        <v>202</v>
      </c>
      <c r="X290" s="47" t="n">
        <f aca="false">U290/W290</f>
        <v>0.0247524752475248</v>
      </c>
      <c r="Y290" s="47" t="n">
        <f aca="false">V290/W290</f>
        <v>0.975247524752475</v>
      </c>
      <c r="Z290" s="33" t="str">
        <f aca="false">IF(W290&gt;=150, "High Demand", IF(W290&gt;=50, "Moderate Demand", "Low Demand"))</f>
        <v>High Demand</v>
      </c>
      <c r="AA290" s="45" t="str">
        <f aca="false">TEXT(G290, "00") &amp; ":00"</f>
        <v>08:00</v>
      </c>
      <c r="AB290" s="43" t="n">
        <f aca="false">YEAR(B290)</f>
        <v>2011</v>
      </c>
      <c r="AC290" s="33" t="str">
        <f aca="false">TEXT(B290, "mmmm")</f>
        <v>January</v>
      </c>
      <c r="AD290" s="43" t="n">
        <f aca="false">LEN(TEXT(B290, "YYYY-MM-DD"))</f>
        <v>10</v>
      </c>
      <c r="AE290" s="45" t="str">
        <f aca="false">LEFT(TEXT(B290, "YYYY-MM-DD"), 4)</f>
        <v>2011</v>
      </c>
      <c r="AF290" s="45" t="str">
        <f aca="false">RIGHT(TEXT(B290, "YYYY-MM-DD"), 2)</f>
        <v>13</v>
      </c>
    </row>
    <row r="291" customFormat="false" ht="15" hidden="false" customHeight="false" outlineLevel="0" collapsed="false">
      <c r="A291" s="37" t="n">
        <v>287</v>
      </c>
      <c r="B291" s="38" t="s">
        <v>89</v>
      </c>
      <c r="C291" s="37" t="n">
        <v>1</v>
      </c>
      <c r="D291" s="35" t="str">
        <f aca="false">VLOOKUP(C291, Lookups_Metadata!$A$4:$B$7, 2, FALSE())</f>
        <v>Spring</v>
      </c>
      <c r="E291" s="37" t="n">
        <v>0</v>
      </c>
      <c r="F291" s="37" t="n">
        <v>1</v>
      </c>
      <c r="G291" s="37" t="n">
        <v>9</v>
      </c>
      <c r="H291" s="39" t="b">
        <f aca="false">FALSE()</f>
        <v>0</v>
      </c>
      <c r="I291" s="37" t="n">
        <v>4</v>
      </c>
      <c r="J291" s="35" t="str">
        <f aca="false">INDEX(Lookups_Metadata!$E$4:$E$10, MATCH(I291, Lookups_Metadata!$D$4:$D$10, 0))</f>
        <v>Thursday</v>
      </c>
      <c r="K291" s="35" t="str">
        <f aca="false">IF(H291=TRUE(), "Holiday", IF(OR(I291=0, I291=6), "Weekend", "Weekday"))</f>
        <v>Weekday</v>
      </c>
      <c r="L291" s="35" t="str">
        <f aca="false">IF(AND(K291="Weekday", OR(AND(G291&gt;=7, G291&lt;=9), AND(G291&gt;=17, G291&lt;=19))), "Peak Commute", "Off-Peak")</f>
        <v>Peak Commute</v>
      </c>
      <c r="M291" s="37" t="n">
        <v>1</v>
      </c>
      <c r="N291" s="35" t="str">
        <f aca="false">VLOOKUP(M291, Lookups_Metadata!$G$4:$H$7, 2, FALSE())</f>
        <v>Clear / Few Clouds</v>
      </c>
      <c r="O291" s="40" t="n">
        <v>0.14</v>
      </c>
      <c r="P291" s="40" t="n">
        <v>0.1212</v>
      </c>
      <c r="Q291" s="40" t="n">
        <f aca="false">IF(OR(P291="", ISBLANK(P291)), ROUND(0.9367*O291+0.0175, 4), P291)</f>
        <v>0.1212</v>
      </c>
      <c r="R291" s="35" t="str">
        <f aca="false">IF(OR(P291="", ISBLANK(P291)), "Imputed (Regression/Trend)", "Original")</f>
        <v>Original</v>
      </c>
      <c r="S291" s="40" t="n">
        <v>0.5</v>
      </c>
      <c r="T291" s="40" t="n">
        <v>0.3284</v>
      </c>
      <c r="U291" s="41" t="n">
        <v>2</v>
      </c>
      <c r="V291" s="41" t="n">
        <v>137</v>
      </c>
      <c r="W291" s="41" t="n">
        <f aca="false">U291+V291</f>
        <v>139</v>
      </c>
      <c r="X291" s="42" t="n">
        <f aca="false">U291/W291</f>
        <v>0.0143884892086331</v>
      </c>
      <c r="Y291" s="42" t="n">
        <f aca="false">V291/W291</f>
        <v>0.985611510791367</v>
      </c>
      <c r="Z291" s="35" t="str">
        <f aca="false">IF(W291&gt;=150, "High Demand", IF(W291&gt;=50, "Moderate Demand", "Low Demand"))</f>
        <v>Moderate Demand</v>
      </c>
      <c r="AA291" s="39" t="str">
        <f aca="false">TEXT(G291, "00") &amp; ":00"</f>
        <v>09:00</v>
      </c>
      <c r="AB291" s="37" t="n">
        <f aca="false">YEAR(B291)</f>
        <v>2011</v>
      </c>
      <c r="AC291" s="35" t="str">
        <f aca="false">TEXT(B291, "mmmm")</f>
        <v>January</v>
      </c>
      <c r="AD291" s="37" t="n">
        <f aca="false">LEN(TEXT(B291, "YYYY-MM-DD"))</f>
        <v>10</v>
      </c>
      <c r="AE291" s="39" t="str">
        <f aca="false">LEFT(TEXT(B291, "YYYY-MM-DD"), 4)</f>
        <v>2011</v>
      </c>
      <c r="AF291" s="39" t="str">
        <f aca="false">RIGHT(TEXT(B291, "YYYY-MM-DD"), 2)</f>
        <v>13</v>
      </c>
    </row>
    <row r="292" customFormat="false" ht="15" hidden="false" customHeight="false" outlineLevel="0" collapsed="false">
      <c r="A292" s="43" t="n">
        <v>288</v>
      </c>
      <c r="B292" s="44" t="s">
        <v>89</v>
      </c>
      <c r="C292" s="43" t="n">
        <v>1</v>
      </c>
      <c r="D292" s="33" t="str">
        <f aca="false">VLOOKUP(C292, Lookups_Metadata!$A$4:$B$7, 2, FALSE())</f>
        <v>Spring</v>
      </c>
      <c r="E292" s="43" t="n">
        <v>0</v>
      </c>
      <c r="F292" s="43" t="n">
        <v>1</v>
      </c>
      <c r="G292" s="43" t="n">
        <v>10</v>
      </c>
      <c r="H292" s="45" t="b">
        <f aca="false">FALSE()</f>
        <v>0</v>
      </c>
      <c r="I292" s="43" t="n">
        <v>4</v>
      </c>
      <c r="J292" s="33" t="str">
        <f aca="false">INDEX(Lookups_Metadata!$E$4:$E$10, MATCH(I292, Lookups_Metadata!$D$4:$D$10, 0))</f>
        <v>Thursday</v>
      </c>
      <c r="K292" s="33" t="str">
        <f aca="false">IF(H292=TRUE(), "Holiday", IF(OR(I292=0, I292=6), "Weekend", "Weekday"))</f>
        <v>Weekday</v>
      </c>
      <c r="L292" s="33" t="str">
        <f aca="false">IF(AND(K292="Weekday", OR(AND(G292&gt;=7, G292&lt;=9), AND(G292&gt;=17, G292&lt;=19))), "Peak Commute", "Off-Peak")</f>
        <v>Off-Peak</v>
      </c>
      <c r="M292" s="43" t="n">
        <v>2</v>
      </c>
      <c r="N292" s="33" t="str">
        <f aca="false">VLOOKUP(M292, Lookups_Metadata!$G$4:$H$7, 2, FALSE())</f>
        <v>Mist / Cloudy</v>
      </c>
      <c r="O292" s="46" t="n">
        <v>0.16</v>
      </c>
      <c r="P292" s="46" t="n">
        <v>0.1364</v>
      </c>
      <c r="Q292" s="46" t="n">
        <f aca="false">IF(OR(P292="", ISBLANK(P292)), ROUND(0.9367*O292+0.0175, 4), P292)</f>
        <v>0.1364</v>
      </c>
      <c r="R292" s="33" t="str">
        <f aca="false">IF(OR(P292="", ISBLANK(P292)), "Imputed (Regression/Trend)", "Original")</f>
        <v>Original</v>
      </c>
      <c r="S292" s="46" t="n">
        <v>0.5</v>
      </c>
      <c r="T292" s="46" t="n">
        <v>0.3582</v>
      </c>
      <c r="U292" s="18" t="n">
        <v>2</v>
      </c>
      <c r="V292" s="18" t="n">
        <v>36</v>
      </c>
      <c r="W292" s="18" t="n">
        <f aca="false">U292+V292</f>
        <v>38</v>
      </c>
      <c r="X292" s="47" t="n">
        <f aca="false">U292/W292</f>
        <v>0.0526315789473684</v>
      </c>
      <c r="Y292" s="47" t="n">
        <f aca="false">V292/W292</f>
        <v>0.947368421052632</v>
      </c>
      <c r="Z292" s="33" t="str">
        <f aca="false">IF(W292&gt;=150, "High Demand", IF(W292&gt;=50, "Moderate Demand", "Low Demand"))</f>
        <v>Low Demand</v>
      </c>
      <c r="AA292" s="45" t="str">
        <f aca="false">TEXT(G292, "00") &amp; ":00"</f>
        <v>10:00</v>
      </c>
      <c r="AB292" s="43" t="n">
        <f aca="false">YEAR(B292)</f>
        <v>2011</v>
      </c>
      <c r="AC292" s="33" t="str">
        <f aca="false">TEXT(B292, "mmmm")</f>
        <v>January</v>
      </c>
      <c r="AD292" s="43" t="n">
        <f aca="false">LEN(TEXT(B292, "YYYY-MM-DD"))</f>
        <v>10</v>
      </c>
      <c r="AE292" s="45" t="str">
        <f aca="false">LEFT(TEXT(B292, "YYYY-MM-DD"), 4)</f>
        <v>2011</v>
      </c>
      <c r="AF292" s="45" t="str">
        <f aca="false">RIGHT(TEXT(B292, "YYYY-MM-DD"), 2)</f>
        <v>13</v>
      </c>
    </row>
    <row r="293" customFormat="false" ht="15" hidden="false" customHeight="false" outlineLevel="0" collapsed="false">
      <c r="A293" s="37" t="n">
        <v>289</v>
      </c>
      <c r="B293" s="38" t="s">
        <v>89</v>
      </c>
      <c r="C293" s="37" t="n">
        <v>1</v>
      </c>
      <c r="D293" s="35" t="str">
        <f aca="false">VLOOKUP(C293, Lookups_Metadata!$A$4:$B$7, 2, FALSE())</f>
        <v>Spring</v>
      </c>
      <c r="E293" s="37" t="n">
        <v>0</v>
      </c>
      <c r="F293" s="37" t="n">
        <v>1</v>
      </c>
      <c r="G293" s="37" t="n">
        <v>11</v>
      </c>
      <c r="H293" s="39" t="b">
        <f aca="false">FALSE()</f>
        <v>0</v>
      </c>
      <c r="I293" s="37" t="n">
        <v>4</v>
      </c>
      <c r="J293" s="35" t="str">
        <f aca="false">INDEX(Lookups_Metadata!$E$4:$E$10, MATCH(I293, Lookups_Metadata!$D$4:$D$10, 0))</f>
        <v>Thursday</v>
      </c>
      <c r="K293" s="35" t="str">
        <f aca="false">IF(H293=TRUE(), "Holiday", IF(OR(I293=0, I293=6), "Weekend", "Weekday"))</f>
        <v>Weekday</v>
      </c>
      <c r="L293" s="35" t="str">
        <f aca="false">IF(AND(K293="Weekday", OR(AND(G293&gt;=7, G293&lt;=9), AND(G293&gt;=17, G293&lt;=19))), "Peak Commute", "Off-Peak")</f>
        <v>Off-Peak</v>
      </c>
      <c r="M293" s="37" t="n">
        <v>2</v>
      </c>
      <c r="N293" s="35" t="str">
        <f aca="false">VLOOKUP(M293, Lookups_Metadata!$G$4:$H$7, 2, FALSE())</f>
        <v>Mist / Cloudy</v>
      </c>
      <c r="O293" s="40" t="n">
        <v>0.2</v>
      </c>
      <c r="P293" s="40" t="n">
        <v>0.1667</v>
      </c>
      <c r="Q293" s="40" t="n">
        <f aca="false">IF(OR(P293="", ISBLANK(P293)), ROUND(0.9367*O293+0.0175, 4), P293)</f>
        <v>0.1667</v>
      </c>
      <c r="R293" s="35" t="str">
        <f aca="false">IF(OR(P293="", ISBLANK(P293)), "Imputed (Regression/Trend)", "Original")</f>
        <v>Original</v>
      </c>
      <c r="S293" s="40" t="n">
        <v>0.44</v>
      </c>
      <c r="T293" s="40" t="n">
        <v>0.4478</v>
      </c>
      <c r="U293" s="41" t="n">
        <v>4</v>
      </c>
      <c r="V293" s="41" t="n">
        <v>33</v>
      </c>
      <c r="W293" s="41" t="n">
        <f aca="false">U293+V293</f>
        <v>37</v>
      </c>
      <c r="X293" s="42" t="n">
        <f aca="false">U293/W293</f>
        <v>0.108108108108108</v>
      </c>
      <c r="Y293" s="42" t="n">
        <f aca="false">V293/W293</f>
        <v>0.891891891891892</v>
      </c>
      <c r="Z293" s="35" t="str">
        <f aca="false">IF(W293&gt;=150, "High Demand", IF(W293&gt;=50, "Moderate Demand", "Low Demand"))</f>
        <v>Low Demand</v>
      </c>
      <c r="AA293" s="39" t="str">
        <f aca="false">TEXT(G293, "00") &amp; ":00"</f>
        <v>11:00</v>
      </c>
      <c r="AB293" s="37" t="n">
        <f aca="false">YEAR(B293)</f>
        <v>2011</v>
      </c>
      <c r="AC293" s="35" t="str">
        <f aca="false">TEXT(B293, "mmmm")</f>
        <v>January</v>
      </c>
      <c r="AD293" s="37" t="n">
        <f aca="false">LEN(TEXT(B293, "YYYY-MM-DD"))</f>
        <v>10</v>
      </c>
      <c r="AE293" s="39" t="str">
        <f aca="false">LEFT(TEXT(B293, "YYYY-MM-DD"), 4)</f>
        <v>2011</v>
      </c>
      <c r="AF293" s="39" t="str">
        <f aca="false">RIGHT(TEXT(B293, "YYYY-MM-DD"), 2)</f>
        <v>13</v>
      </c>
    </row>
    <row r="294" customFormat="false" ht="15" hidden="false" customHeight="false" outlineLevel="0" collapsed="false">
      <c r="A294" s="43" t="n">
        <v>290</v>
      </c>
      <c r="B294" s="44" t="s">
        <v>89</v>
      </c>
      <c r="C294" s="43" t="n">
        <v>1</v>
      </c>
      <c r="D294" s="33" t="str">
        <f aca="false">VLOOKUP(C294, Lookups_Metadata!$A$4:$B$7, 2, FALSE())</f>
        <v>Spring</v>
      </c>
      <c r="E294" s="43" t="n">
        <v>0</v>
      </c>
      <c r="F294" s="43" t="n">
        <v>1</v>
      </c>
      <c r="G294" s="43" t="n">
        <v>12</v>
      </c>
      <c r="H294" s="45" t="b">
        <f aca="false">FALSE()</f>
        <v>0</v>
      </c>
      <c r="I294" s="43" t="n">
        <v>4</v>
      </c>
      <c r="J294" s="33" t="str">
        <f aca="false">INDEX(Lookups_Metadata!$E$4:$E$10, MATCH(I294, Lookups_Metadata!$D$4:$D$10, 0))</f>
        <v>Thursday</v>
      </c>
      <c r="K294" s="33" t="str">
        <f aca="false">IF(H294=TRUE(), "Holiday", IF(OR(I294=0, I294=6), "Weekend", "Weekday"))</f>
        <v>Weekday</v>
      </c>
      <c r="L294" s="33" t="str">
        <f aca="false">IF(AND(K294="Weekday", OR(AND(G294&gt;=7, G294&lt;=9), AND(G294&gt;=17, G294&lt;=19))), "Peak Commute", "Off-Peak")</f>
        <v>Off-Peak</v>
      </c>
      <c r="M294" s="43" t="n">
        <v>1</v>
      </c>
      <c r="N294" s="33" t="str">
        <f aca="false">VLOOKUP(M294, Lookups_Metadata!$G$4:$H$7, 2, FALSE())</f>
        <v>Clear / Few Clouds</v>
      </c>
      <c r="O294" s="46" t="n">
        <v>0.2</v>
      </c>
      <c r="P294" s="46" t="n">
        <v>0.1667</v>
      </c>
      <c r="Q294" s="46" t="n">
        <f aca="false">IF(OR(P294="", ISBLANK(P294)), ROUND(0.9367*O294+0.0175, 4), P294)</f>
        <v>0.1667</v>
      </c>
      <c r="R294" s="33" t="str">
        <f aca="false">IF(OR(P294="", ISBLANK(P294)), "Imputed (Regression/Trend)", "Original")</f>
        <v>Original</v>
      </c>
      <c r="S294" s="46" t="n">
        <v>0.44</v>
      </c>
      <c r="T294" s="46" t="n">
        <v>0.4179</v>
      </c>
      <c r="U294" s="18" t="n">
        <v>3</v>
      </c>
      <c r="V294" s="18" t="n">
        <v>49</v>
      </c>
      <c r="W294" s="18" t="n">
        <f aca="false">U294+V294</f>
        <v>52</v>
      </c>
      <c r="X294" s="47" t="n">
        <f aca="false">U294/W294</f>
        <v>0.0576923076923077</v>
      </c>
      <c r="Y294" s="47" t="n">
        <f aca="false">V294/W294</f>
        <v>0.942307692307692</v>
      </c>
      <c r="Z294" s="33" t="str">
        <f aca="false">IF(W294&gt;=150, "High Demand", IF(W294&gt;=50, "Moderate Demand", "Low Demand"))</f>
        <v>Moderate Demand</v>
      </c>
      <c r="AA294" s="45" t="str">
        <f aca="false">TEXT(G294, "00") &amp; ":00"</f>
        <v>12:00</v>
      </c>
      <c r="AB294" s="43" t="n">
        <f aca="false">YEAR(B294)</f>
        <v>2011</v>
      </c>
      <c r="AC294" s="33" t="str">
        <f aca="false">TEXT(B294, "mmmm")</f>
        <v>January</v>
      </c>
      <c r="AD294" s="43" t="n">
        <f aca="false">LEN(TEXT(B294, "YYYY-MM-DD"))</f>
        <v>10</v>
      </c>
      <c r="AE294" s="45" t="str">
        <f aca="false">LEFT(TEXT(B294, "YYYY-MM-DD"), 4)</f>
        <v>2011</v>
      </c>
      <c r="AF294" s="45" t="str">
        <f aca="false">RIGHT(TEXT(B294, "YYYY-MM-DD"), 2)</f>
        <v>13</v>
      </c>
    </row>
    <row r="295" customFormat="false" ht="15" hidden="false" customHeight="false" outlineLevel="0" collapsed="false">
      <c r="A295" s="37" t="n">
        <v>291</v>
      </c>
      <c r="B295" s="38" t="s">
        <v>89</v>
      </c>
      <c r="C295" s="37" t="n">
        <v>1</v>
      </c>
      <c r="D295" s="35" t="str">
        <f aca="false">VLOOKUP(C295, Lookups_Metadata!$A$4:$B$7, 2, FALSE())</f>
        <v>Spring</v>
      </c>
      <c r="E295" s="37" t="n">
        <v>0</v>
      </c>
      <c r="F295" s="37" t="n">
        <v>1</v>
      </c>
      <c r="G295" s="37" t="n">
        <v>13</v>
      </c>
      <c r="H295" s="39" t="b">
        <f aca="false">FALSE()</f>
        <v>0</v>
      </c>
      <c r="I295" s="37" t="n">
        <v>4</v>
      </c>
      <c r="J295" s="35" t="str">
        <f aca="false">INDEX(Lookups_Metadata!$E$4:$E$10, MATCH(I295, Lookups_Metadata!$D$4:$D$10, 0))</f>
        <v>Thursday</v>
      </c>
      <c r="K295" s="35" t="str">
        <f aca="false">IF(H295=TRUE(), "Holiday", IF(OR(I295=0, I295=6), "Weekend", "Weekday"))</f>
        <v>Weekday</v>
      </c>
      <c r="L295" s="35" t="str">
        <f aca="false">IF(AND(K295="Weekday", OR(AND(G295&gt;=7, G295&lt;=9), AND(G295&gt;=17, G295&lt;=19))), "Peak Commute", "Off-Peak")</f>
        <v>Off-Peak</v>
      </c>
      <c r="M295" s="37" t="n">
        <v>1</v>
      </c>
      <c r="N295" s="35" t="str">
        <f aca="false">VLOOKUP(M295, Lookups_Metadata!$G$4:$H$7, 2, FALSE())</f>
        <v>Clear / Few Clouds</v>
      </c>
      <c r="O295" s="40" t="n">
        <v>0.22</v>
      </c>
      <c r="P295" s="40" t="n">
        <v>0.197</v>
      </c>
      <c r="Q295" s="40" t="n">
        <f aca="false">IF(OR(P295="", ISBLANK(P295)), ROUND(0.9367*O295+0.0175, 4), P295)</f>
        <v>0.197</v>
      </c>
      <c r="R295" s="35" t="str">
        <f aca="false">IF(OR(P295="", ISBLANK(P295)), "Imputed (Regression/Trend)", "Original")</f>
        <v>Original</v>
      </c>
      <c r="S295" s="40" t="n">
        <v>0.41</v>
      </c>
      <c r="T295" s="40" t="n">
        <v>0.4478</v>
      </c>
      <c r="U295" s="41" t="n">
        <v>2</v>
      </c>
      <c r="V295" s="41" t="n">
        <v>81</v>
      </c>
      <c r="W295" s="41" t="n">
        <f aca="false">U295+V295</f>
        <v>83</v>
      </c>
      <c r="X295" s="42" t="n">
        <f aca="false">U295/W295</f>
        <v>0.0240963855421687</v>
      </c>
      <c r="Y295" s="42" t="n">
        <f aca="false">V295/W295</f>
        <v>0.975903614457831</v>
      </c>
      <c r="Z295" s="35" t="str">
        <f aca="false">IF(W295&gt;=150, "High Demand", IF(W295&gt;=50, "Moderate Demand", "Low Demand"))</f>
        <v>Moderate Demand</v>
      </c>
      <c r="AA295" s="39" t="str">
        <f aca="false">TEXT(G295, "00") &amp; ":00"</f>
        <v>13:00</v>
      </c>
      <c r="AB295" s="37" t="n">
        <f aca="false">YEAR(B295)</f>
        <v>2011</v>
      </c>
      <c r="AC295" s="35" t="str">
        <f aca="false">TEXT(B295, "mmmm")</f>
        <v>January</v>
      </c>
      <c r="AD295" s="37" t="n">
        <f aca="false">LEN(TEXT(B295, "YYYY-MM-DD"))</f>
        <v>10</v>
      </c>
      <c r="AE295" s="39" t="str">
        <f aca="false">LEFT(TEXT(B295, "YYYY-MM-DD"), 4)</f>
        <v>2011</v>
      </c>
      <c r="AF295" s="39" t="str">
        <f aca="false">RIGHT(TEXT(B295, "YYYY-MM-DD"), 2)</f>
        <v>13</v>
      </c>
    </row>
    <row r="296" customFormat="false" ht="15" hidden="false" customHeight="false" outlineLevel="0" collapsed="false">
      <c r="A296" s="43" t="n">
        <v>292</v>
      </c>
      <c r="B296" s="44" t="s">
        <v>89</v>
      </c>
      <c r="C296" s="43" t="n">
        <v>1</v>
      </c>
      <c r="D296" s="33" t="str">
        <f aca="false">VLOOKUP(C296, Lookups_Metadata!$A$4:$B$7, 2, FALSE())</f>
        <v>Spring</v>
      </c>
      <c r="E296" s="43" t="n">
        <v>0</v>
      </c>
      <c r="F296" s="43" t="n">
        <v>1</v>
      </c>
      <c r="G296" s="43" t="n">
        <v>14</v>
      </c>
      <c r="H296" s="45" t="b">
        <f aca="false">FALSE()</f>
        <v>0</v>
      </c>
      <c r="I296" s="43" t="n">
        <v>4</v>
      </c>
      <c r="J296" s="33" t="str">
        <f aca="false">INDEX(Lookups_Metadata!$E$4:$E$10, MATCH(I296, Lookups_Metadata!$D$4:$D$10, 0))</f>
        <v>Thursday</v>
      </c>
      <c r="K296" s="33" t="str">
        <f aca="false">IF(H296=TRUE(), "Holiday", IF(OR(I296=0, I296=6), "Weekend", "Weekday"))</f>
        <v>Weekday</v>
      </c>
      <c r="L296" s="33" t="str">
        <f aca="false">IF(AND(K296="Weekday", OR(AND(G296&gt;=7, G296&lt;=9), AND(G296&gt;=17, G296&lt;=19))), "Peak Commute", "Off-Peak")</f>
        <v>Off-Peak</v>
      </c>
      <c r="M296" s="43" t="n">
        <v>1</v>
      </c>
      <c r="N296" s="33" t="str">
        <f aca="false">VLOOKUP(M296, Lookups_Metadata!$G$4:$H$7, 2, FALSE())</f>
        <v>Clear / Few Clouds</v>
      </c>
      <c r="O296" s="46" t="n">
        <v>0.22</v>
      </c>
      <c r="P296" s="46" t="n">
        <v>0.197</v>
      </c>
      <c r="Q296" s="46" t="n">
        <f aca="false">IF(OR(P296="", ISBLANK(P296)), ROUND(0.9367*O296+0.0175, 4), P296)</f>
        <v>0.197</v>
      </c>
      <c r="R296" s="33" t="str">
        <f aca="false">IF(OR(P296="", ISBLANK(P296)), "Imputed (Regression/Trend)", "Original")</f>
        <v>Original</v>
      </c>
      <c r="S296" s="46" t="n">
        <v>0.41</v>
      </c>
      <c r="T296" s="46" t="n">
        <v>0.3881</v>
      </c>
      <c r="U296" s="18" t="n">
        <v>3</v>
      </c>
      <c r="V296" s="18" t="n">
        <v>39</v>
      </c>
      <c r="W296" s="18" t="n">
        <f aca="false">U296+V296</f>
        <v>42</v>
      </c>
      <c r="X296" s="47" t="n">
        <f aca="false">U296/W296</f>
        <v>0.0714285714285714</v>
      </c>
      <c r="Y296" s="47" t="n">
        <f aca="false">V296/W296</f>
        <v>0.928571428571429</v>
      </c>
      <c r="Z296" s="33" t="str">
        <f aca="false">IF(W296&gt;=150, "High Demand", IF(W296&gt;=50, "Moderate Demand", "Low Demand"))</f>
        <v>Low Demand</v>
      </c>
      <c r="AA296" s="45" t="str">
        <f aca="false">TEXT(G296, "00") &amp; ":00"</f>
        <v>14:00</v>
      </c>
      <c r="AB296" s="43" t="n">
        <f aca="false">YEAR(B296)</f>
        <v>2011</v>
      </c>
      <c r="AC296" s="33" t="str">
        <f aca="false">TEXT(B296, "mmmm")</f>
        <v>January</v>
      </c>
      <c r="AD296" s="43" t="n">
        <f aca="false">LEN(TEXT(B296, "YYYY-MM-DD"))</f>
        <v>10</v>
      </c>
      <c r="AE296" s="45" t="str">
        <f aca="false">LEFT(TEXT(B296, "YYYY-MM-DD"), 4)</f>
        <v>2011</v>
      </c>
      <c r="AF296" s="45" t="str">
        <f aca="false">RIGHT(TEXT(B296, "YYYY-MM-DD"), 2)</f>
        <v>13</v>
      </c>
    </row>
    <row r="297" customFormat="false" ht="15" hidden="false" customHeight="false" outlineLevel="0" collapsed="false">
      <c r="A297" s="37" t="n">
        <v>293</v>
      </c>
      <c r="B297" s="38" t="s">
        <v>89</v>
      </c>
      <c r="C297" s="37" t="n">
        <v>1</v>
      </c>
      <c r="D297" s="35" t="str">
        <f aca="false">VLOOKUP(C297, Lookups_Metadata!$A$4:$B$7, 2, FALSE())</f>
        <v>Spring</v>
      </c>
      <c r="E297" s="37" t="n">
        <v>0</v>
      </c>
      <c r="F297" s="37" t="n">
        <v>1</v>
      </c>
      <c r="G297" s="37" t="n">
        <v>15</v>
      </c>
      <c r="H297" s="39" t="b">
        <f aca="false">FALSE()</f>
        <v>0</v>
      </c>
      <c r="I297" s="37" t="n">
        <v>4</v>
      </c>
      <c r="J297" s="35" t="str">
        <f aca="false">INDEX(Lookups_Metadata!$E$4:$E$10, MATCH(I297, Lookups_Metadata!$D$4:$D$10, 0))</f>
        <v>Thursday</v>
      </c>
      <c r="K297" s="35" t="str">
        <f aca="false">IF(H297=TRUE(), "Holiday", IF(OR(I297=0, I297=6), "Weekend", "Weekday"))</f>
        <v>Weekday</v>
      </c>
      <c r="L297" s="35" t="str">
        <f aca="false">IF(AND(K297="Weekday", OR(AND(G297&gt;=7, G297&lt;=9), AND(G297&gt;=17, G297&lt;=19))), "Peak Commute", "Off-Peak")</f>
        <v>Off-Peak</v>
      </c>
      <c r="M297" s="37" t="n">
        <v>1</v>
      </c>
      <c r="N297" s="35" t="str">
        <f aca="false">VLOOKUP(M297, Lookups_Metadata!$G$4:$H$7, 2, FALSE())</f>
        <v>Clear / Few Clouds</v>
      </c>
      <c r="O297" s="40" t="n">
        <v>0.24</v>
      </c>
      <c r="P297" s="40" t="n">
        <v>0.2121</v>
      </c>
      <c r="Q297" s="40" t="n">
        <f aca="false">IF(OR(P297="", ISBLANK(P297)), ROUND(0.9367*O297+0.0175, 4), P297)</f>
        <v>0.2121</v>
      </c>
      <c r="R297" s="35" t="str">
        <f aca="false">IF(OR(P297="", ISBLANK(P297)), "Imputed (Regression/Trend)", "Original")</f>
        <v>Original</v>
      </c>
      <c r="S297" s="40" t="n">
        <v>0.38</v>
      </c>
      <c r="T297" s="40" t="n">
        <v>0.2985</v>
      </c>
      <c r="U297" s="41" t="n">
        <v>5</v>
      </c>
      <c r="V297" s="41" t="n">
        <v>55</v>
      </c>
      <c r="W297" s="41" t="n">
        <f aca="false">U297+V297</f>
        <v>60</v>
      </c>
      <c r="X297" s="42" t="n">
        <f aca="false">U297/W297</f>
        <v>0.0833333333333333</v>
      </c>
      <c r="Y297" s="42" t="n">
        <f aca="false">V297/W297</f>
        <v>0.916666666666667</v>
      </c>
      <c r="Z297" s="35" t="str">
        <f aca="false">IF(W297&gt;=150, "High Demand", IF(W297&gt;=50, "Moderate Demand", "Low Demand"))</f>
        <v>Moderate Demand</v>
      </c>
      <c r="AA297" s="39" t="str">
        <f aca="false">TEXT(G297, "00") &amp; ":00"</f>
        <v>15:00</v>
      </c>
      <c r="AB297" s="37" t="n">
        <f aca="false">YEAR(B297)</f>
        <v>2011</v>
      </c>
      <c r="AC297" s="35" t="str">
        <f aca="false">TEXT(B297, "mmmm")</f>
        <v>January</v>
      </c>
      <c r="AD297" s="37" t="n">
        <f aca="false">LEN(TEXT(B297, "YYYY-MM-DD"))</f>
        <v>10</v>
      </c>
      <c r="AE297" s="39" t="str">
        <f aca="false">LEFT(TEXT(B297, "YYYY-MM-DD"), 4)</f>
        <v>2011</v>
      </c>
      <c r="AF297" s="39" t="str">
        <f aca="false">RIGHT(TEXT(B297, "YYYY-MM-DD"), 2)</f>
        <v>13</v>
      </c>
    </row>
    <row r="298" customFormat="false" ht="15" hidden="false" customHeight="false" outlineLevel="0" collapsed="false">
      <c r="A298" s="43" t="n">
        <v>294</v>
      </c>
      <c r="B298" s="44" t="s">
        <v>89</v>
      </c>
      <c r="C298" s="43" t="n">
        <v>1</v>
      </c>
      <c r="D298" s="33" t="str">
        <f aca="false">VLOOKUP(C298, Lookups_Metadata!$A$4:$B$7, 2, FALSE())</f>
        <v>Spring</v>
      </c>
      <c r="E298" s="43" t="n">
        <v>0</v>
      </c>
      <c r="F298" s="43" t="n">
        <v>1</v>
      </c>
      <c r="G298" s="43" t="n">
        <v>16</v>
      </c>
      <c r="H298" s="45" t="b">
        <f aca="false">FALSE()</f>
        <v>0</v>
      </c>
      <c r="I298" s="43" t="n">
        <v>4</v>
      </c>
      <c r="J298" s="33" t="str">
        <f aca="false">INDEX(Lookups_Metadata!$E$4:$E$10, MATCH(I298, Lookups_Metadata!$D$4:$D$10, 0))</f>
        <v>Thursday</v>
      </c>
      <c r="K298" s="33" t="str">
        <f aca="false">IF(H298=TRUE(), "Holiday", IF(OR(I298=0, I298=6), "Weekend", "Weekday"))</f>
        <v>Weekday</v>
      </c>
      <c r="L298" s="33" t="str">
        <f aca="false">IF(AND(K298="Weekday", OR(AND(G298&gt;=7, G298&lt;=9), AND(G298&gt;=17, G298&lt;=19))), "Peak Commute", "Off-Peak")</f>
        <v>Off-Peak</v>
      </c>
      <c r="M298" s="43" t="n">
        <v>1</v>
      </c>
      <c r="N298" s="33" t="str">
        <f aca="false">VLOOKUP(M298, Lookups_Metadata!$G$4:$H$7, 2, FALSE())</f>
        <v>Clear / Few Clouds</v>
      </c>
      <c r="O298" s="46" t="n">
        <v>0.24</v>
      </c>
      <c r="P298" s="46" t="n">
        <v>0.2121</v>
      </c>
      <c r="Q298" s="46" t="n">
        <f aca="false">IF(OR(P298="", ISBLANK(P298)), ROUND(0.9367*O298+0.0175, 4), P298)</f>
        <v>0.2121</v>
      </c>
      <c r="R298" s="33" t="str">
        <f aca="false">IF(OR(P298="", ISBLANK(P298)), "Imputed (Regression/Trend)", "Original")</f>
        <v>Original</v>
      </c>
      <c r="S298" s="46" t="n">
        <v>0.38</v>
      </c>
      <c r="T298" s="46" t="n">
        <v>0.3582</v>
      </c>
      <c r="U298" s="18" t="n">
        <v>2</v>
      </c>
      <c r="V298" s="18" t="n">
        <v>76</v>
      </c>
      <c r="W298" s="18" t="n">
        <f aca="false">U298+V298</f>
        <v>78</v>
      </c>
      <c r="X298" s="47" t="n">
        <f aca="false">U298/W298</f>
        <v>0.0256410256410256</v>
      </c>
      <c r="Y298" s="47" t="n">
        <f aca="false">V298/W298</f>
        <v>0.974358974358974</v>
      </c>
      <c r="Z298" s="33" t="str">
        <f aca="false">IF(W298&gt;=150, "High Demand", IF(W298&gt;=50, "Moderate Demand", "Low Demand"))</f>
        <v>Moderate Demand</v>
      </c>
      <c r="AA298" s="45" t="str">
        <f aca="false">TEXT(G298, "00") &amp; ":00"</f>
        <v>16:00</v>
      </c>
      <c r="AB298" s="43" t="n">
        <f aca="false">YEAR(B298)</f>
        <v>2011</v>
      </c>
      <c r="AC298" s="33" t="str">
        <f aca="false">TEXT(B298, "mmmm")</f>
        <v>January</v>
      </c>
      <c r="AD298" s="43" t="n">
        <f aca="false">LEN(TEXT(B298, "YYYY-MM-DD"))</f>
        <v>10</v>
      </c>
      <c r="AE298" s="45" t="str">
        <f aca="false">LEFT(TEXT(B298, "YYYY-MM-DD"), 4)</f>
        <v>2011</v>
      </c>
      <c r="AF298" s="45" t="str">
        <f aca="false">RIGHT(TEXT(B298, "YYYY-MM-DD"), 2)</f>
        <v>13</v>
      </c>
    </row>
    <row r="299" customFormat="false" ht="15" hidden="false" customHeight="false" outlineLevel="0" collapsed="false">
      <c r="A299" s="37" t="n">
        <v>295</v>
      </c>
      <c r="B299" s="38" t="s">
        <v>89</v>
      </c>
      <c r="C299" s="37" t="n">
        <v>1</v>
      </c>
      <c r="D299" s="35" t="str">
        <f aca="false">VLOOKUP(C299, Lookups_Metadata!$A$4:$B$7, 2, FALSE())</f>
        <v>Spring</v>
      </c>
      <c r="E299" s="37" t="n">
        <v>0</v>
      </c>
      <c r="F299" s="37" t="n">
        <v>1</v>
      </c>
      <c r="G299" s="37" t="n">
        <v>17</v>
      </c>
      <c r="H299" s="39" t="b">
        <f aca="false">FALSE()</f>
        <v>0</v>
      </c>
      <c r="I299" s="37" t="n">
        <v>4</v>
      </c>
      <c r="J299" s="35" t="str">
        <f aca="false">INDEX(Lookups_Metadata!$E$4:$E$10, MATCH(I299, Lookups_Metadata!$D$4:$D$10, 0))</f>
        <v>Thursday</v>
      </c>
      <c r="K299" s="35" t="str">
        <f aca="false">IF(H299=TRUE(), "Holiday", IF(OR(I299=0, I299=6), "Weekend", "Weekday"))</f>
        <v>Weekday</v>
      </c>
      <c r="L299" s="35" t="str">
        <f aca="false">IF(AND(K299="Weekday", OR(AND(G299&gt;=7, G299&lt;=9), AND(G299&gt;=17, G299&lt;=19))), "Peak Commute", "Off-Peak")</f>
        <v>Peak Commute</v>
      </c>
      <c r="M299" s="37" t="n">
        <v>1</v>
      </c>
      <c r="N299" s="35" t="str">
        <f aca="false">VLOOKUP(M299, Lookups_Metadata!$G$4:$H$7, 2, FALSE())</f>
        <v>Clear / Few Clouds</v>
      </c>
      <c r="O299" s="40" t="n">
        <v>0.2</v>
      </c>
      <c r="P299" s="40" t="n">
        <v>0.1818</v>
      </c>
      <c r="Q299" s="40" t="n">
        <f aca="false">IF(OR(P299="", ISBLANK(P299)), ROUND(0.9367*O299+0.0175, 4), P299)</f>
        <v>0.1818</v>
      </c>
      <c r="R299" s="35" t="str">
        <f aca="false">IF(OR(P299="", ISBLANK(P299)), "Imputed (Regression/Trend)", "Original")</f>
        <v>Original</v>
      </c>
      <c r="S299" s="40" t="n">
        <v>0.4</v>
      </c>
      <c r="T299" s="40" t="n">
        <v>0.2836</v>
      </c>
      <c r="U299" s="41" t="n">
        <v>4</v>
      </c>
      <c r="V299" s="41" t="n">
        <v>158</v>
      </c>
      <c r="W299" s="41" t="n">
        <f aca="false">U299+V299</f>
        <v>162</v>
      </c>
      <c r="X299" s="42" t="n">
        <f aca="false">U299/W299</f>
        <v>0.0246913580246914</v>
      </c>
      <c r="Y299" s="42" t="n">
        <f aca="false">V299/W299</f>
        <v>0.975308641975309</v>
      </c>
      <c r="Z299" s="35" t="str">
        <f aca="false">IF(W299&gt;=150, "High Demand", IF(W299&gt;=50, "Moderate Demand", "Low Demand"))</f>
        <v>High Demand</v>
      </c>
      <c r="AA299" s="39" t="str">
        <f aca="false">TEXT(G299, "00") &amp; ":00"</f>
        <v>17:00</v>
      </c>
      <c r="AB299" s="37" t="n">
        <f aca="false">YEAR(B299)</f>
        <v>2011</v>
      </c>
      <c r="AC299" s="35" t="str">
        <f aca="false">TEXT(B299, "mmmm")</f>
        <v>January</v>
      </c>
      <c r="AD299" s="37" t="n">
        <f aca="false">LEN(TEXT(B299, "YYYY-MM-DD"))</f>
        <v>10</v>
      </c>
      <c r="AE299" s="39" t="str">
        <f aca="false">LEFT(TEXT(B299, "YYYY-MM-DD"), 4)</f>
        <v>2011</v>
      </c>
      <c r="AF299" s="39" t="str">
        <f aca="false">RIGHT(TEXT(B299, "YYYY-MM-DD"), 2)</f>
        <v>13</v>
      </c>
    </row>
    <row r="300" customFormat="false" ht="15" hidden="false" customHeight="false" outlineLevel="0" collapsed="false">
      <c r="A300" s="43" t="n">
        <v>296</v>
      </c>
      <c r="B300" s="44" t="s">
        <v>89</v>
      </c>
      <c r="C300" s="43" t="n">
        <v>1</v>
      </c>
      <c r="D300" s="33" t="str">
        <f aca="false">VLOOKUP(C300, Lookups_Metadata!$A$4:$B$7, 2, FALSE())</f>
        <v>Spring</v>
      </c>
      <c r="E300" s="43" t="n">
        <v>0</v>
      </c>
      <c r="F300" s="43" t="n">
        <v>1</v>
      </c>
      <c r="G300" s="43" t="n">
        <v>18</v>
      </c>
      <c r="H300" s="45" t="b">
        <f aca="false">FALSE()</f>
        <v>0</v>
      </c>
      <c r="I300" s="43" t="n">
        <v>4</v>
      </c>
      <c r="J300" s="33" t="str">
        <f aca="false">INDEX(Lookups_Metadata!$E$4:$E$10, MATCH(I300, Lookups_Metadata!$D$4:$D$10, 0))</f>
        <v>Thursday</v>
      </c>
      <c r="K300" s="33" t="str">
        <f aca="false">IF(H300=TRUE(), "Holiday", IF(OR(I300=0, I300=6), "Weekend", "Weekday"))</f>
        <v>Weekday</v>
      </c>
      <c r="L300" s="33" t="str">
        <f aca="false">IF(AND(K300="Weekday", OR(AND(G300&gt;=7, G300&lt;=9), AND(G300&gt;=17, G300&lt;=19))), "Peak Commute", "Off-Peak")</f>
        <v>Peak Commute</v>
      </c>
      <c r="M300" s="43" t="n">
        <v>1</v>
      </c>
      <c r="N300" s="33" t="str">
        <f aca="false">VLOOKUP(M300, Lookups_Metadata!$G$4:$H$7, 2, FALSE())</f>
        <v>Clear / Few Clouds</v>
      </c>
      <c r="O300" s="46" t="n">
        <v>0.2</v>
      </c>
      <c r="P300" s="46" t="n">
        <v>0.1818</v>
      </c>
      <c r="Q300" s="46" t="n">
        <f aca="false">IF(OR(P300="", ISBLANK(P300)), ROUND(0.9367*O300+0.0175, 4), P300)</f>
        <v>0.1818</v>
      </c>
      <c r="R300" s="33" t="str">
        <f aca="false">IF(OR(P300="", ISBLANK(P300)), "Imputed (Regression/Trend)", "Original")</f>
        <v>Original</v>
      </c>
      <c r="S300" s="46" t="n">
        <v>0.4</v>
      </c>
      <c r="T300" s="46" t="n">
        <v>0.3284</v>
      </c>
      <c r="U300" s="18" t="n">
        <v>3</v>
      </c>
      <c r="V300" s="18" t="n">
        <v>141</v>
      </c>
      <c r="W300" s="18" t="n">
        <f aca="false">U300+V300</f>
        <v>144</v>
      </c>
      <c r="X300" s="47" t="n">
        <f aca="false">U300/W300</f>
        <v>0.0208333333333333</v>
      </c>
      <c r="Y300" s="47" t="n">
        <f aca="false">V300/W300</f>
        <v>0.979166666666667</v>
      </c>
      <c r="Z300" s="33" t="str">
        <f aca="false">IF(W300&gt;=150, "High Demand", IF(W300&gt;=50, "Moderate Demand", "Low Demand"))</f>
        <v>Moderate Demand</v>
      </c>
      <c r="AA300" s="45" t="str">
        <f aca="false">TEXT(G300, "00") &amp; ":00"</f>
        <v>18:00</v>
      </c>
      <c r="AB300" s="43" t="n">
        <f aca="false">YEAR(B300)</f>
        <v>2011</v>
      </c>
      <c r="AC300" s="33" t="str">
        <f aca="false">TEXT(B300, "mmmm")</f>
        <v>January</v>
      </c>
      <c r="AD300" s="43" t="n">
        <f aca="false">LEN(TEXT(B300, "YYYY-MM-DD"))</f>
        <v>10</v>
      </c>
      <c r="AE300" s="45" t="str">
        <f aca="false">LEFT(TEXT(B300, "YYYY-MM-DD"), 4)</f>
        <v>2011</v>
      </c>
      <c r="AF300" s="45" t="str">
        <f aca="false">RIGHT(TEXT(B300, "YYYY-MM-DD"), 2)</f>
        <v>13</v>
      </c>
    </row>
    <row r="301" customFormat="false" ht="15" hidden="false" customHeight="false" outlineLevel="0" collapsed="false">
      <c r="A301" s="37" t="n">
        <v>297</v>
      </c>
      <c r="B301" s="38" t="s">
        <v>89</v>
      </c>
      <c r="C301" s="37" t="n">
        <v>1</v>
      </c>
      <c r="D301" s="35" t="str">
        <f aca="false">VLOOKUP(C301, Lookups_Metadata!$A$4:$B$7, 2, FALSE())</f>
        <v>Spring</v>
      </c>
      <c r="E301" s="37" t="n">
        <v>0</v>
      </c>
      <c r="F301" s="37" t="n">
        <v>1</v>
      </c>
      <c r="G301" s="37" t="n">
        <v>19</v>
      </c>
      <c r="H301" s="39" t="b">
        <f aca="false">FALSE()</f>
        <v>0</v>
      </c>
      <c r="I301" s="37" t="n">
        <v>4</v>
      </c>
      <c r="J301" s="35" t="str">
        <f aca="false">INDEX(Lookups_Metadata!$E$4:$E$10, MATCH(I301, Lookups_Metadata!$D$4:$D$10, 0))</f>
        <v>Thursday</v>
      </c>
      <c r="K301" s="35" t="str">
        <f aca="false">IF(H301=TRUE(), "Holiday", IF(OR(I301=0, I301=6), "Weekend", "Weekday"))</f>
        <v>Weekday</v>
      </c>
      <c r="L301" s="35" t="str">
        <f aca="false">IF(AND(K301="Weekday", OR(AND(G301&gt;=7, G301&lt;=9), AND(G301&gt;=17, G301&lt;=19))), "Peak Commute", "Off-Peak")</f>
        <v>Peak Commute</v>
      </c>
      <c r="M301" s="37" t="n">
        <v>1</v>
      </c>
      <c r="N301" s="35" t="str">
        <f aca="false">VLOOKUP(M301, Lookups_Metadata!$G$4:$H$7, 2, FALSE())</f>
        <v>Clear / Few Clouds</v>
      </c>
      <c r="O301" s="40" t="n">
        <v>0.16</v>
      </c>
      <c r="P301" s="40" t="n">
        <v>0.1515</v>
      </c>
      <c r="Q301" s="40" t="n">
        <f aca="false">IF(OR(P301="", ISBLANK(P301)), ROUND(0.9367*O301+0.0175, 4), P301)</f>
        <v>0.1515</v>
      </c>
      <c r="R301" s="35" t="str">
        <f aca="false">IF(OR(P301="", ISBLANK(P301)), "Imputed (Regression/Trend)", "Original")</f>
        <v>Original</v>
      </c>
      <c r="S301" s="40" t="n">
        <v>0.47</v>
      </c>
      <c r="T301" s="40" t="n">
        <v>0.2537</v>
      </c>
      <c r="U301" s="41" t="n">
        <v>1</v>
      </c>
      <c r="V301" s="41" t="n">
        <v>98</v>
      </c>
      <c r="W301" s="41" t="n">
        <f aca="false">U301+V301</f>
        <v>99</v>
      </c>
      <c r="X301" s="42" t="n">
        <f aca="false">U301/W301</f>
        <v>0.0101010101010101</v>
      </c>
      <c r="Y301" s="42" t="n">
        <f aca="false">V301/W301</f>
        <v>0.98989898989899</v>
      </c>
      <c r="Z301" s="35" t="str">
        <f aca="false">IF(W301&gt;=150, "High Demand", IF(W301&gt;=50, "Moderate Demand", "Low Demand"))</f>
        <v>Moderate Demand</v>
      </c>
      <c r="AA301" s="39" t="str">
        <f aca="false">TEXT(G301, "00") &amp; ":00"</f>
        <v>19:00</v>
      </c>
      <c r="AB301" s="37" t="n">
        <f aca="false">YEAR(B301)</f>
        <v>2011</v>
      </c>
      <c r="AC301" s="35" t="str">
        <f aca="false">TEXT(B301, "mmmm")</f>
        <v>January</v>
      </c>
      <c r="AD301" s="37" t="n">
        <f aca="false">LEN(TEXT(B301, "YYYY-MM-DD"))</f>
        <v>10</v>
      </c>
      <c r="AE301" s="39" t="str">
        <f aca="false">LEFT(TEXT(B301, "YYYY-MM-DD"), 4)</f>
        <v>2011</v>
      </c>
      <c r="AF301" s="39" t="str">
        <f aca="false">RIGHT(TEXT(B301, "YYYY-MM-DD"), 2)</f>
        <v>13</v>
      </c>
    </row>
    <row r="302" customFormat="false" ht="15" hidden="false" customHeight="false" outlineLevel="0" collapsed="false">
      <c r="A302" s="43" t="n">
        <v>298</v>
      </c>
      <c r="B302" s="44" t="s">
        <v>89</v>
      </c>
      <c r="C302" s="43" t="n">
        <v>1</v>
      </c>
      <c r="D302" s="33" t="str">
        <f aca="false">VLOOKUP(C302, Lookups_Metadata!$A$4:$B$7, 2, FALSE())</f>
        <v>Spring</v>
      </c>
      <c r="E302" s="43" t="n">
        <v>0</v>
      </c>
      <c r="F302" s="43" t="n">
        <v>1</v>
      </c>
      <c r="G302" s="43" t="n">
        <v>20</v>
      </c>
      <c r="H302" s="45" t="b">
        <f aca="false">FALSE()</f>
        <v>0</v>
      </c>
      <c r="I302" s="43" t="n">
        <v>4</v>
      </c>
      <c r="J302" s="33" t="str">
        <f aca="false">INDEX(Lookups_Metadata!$E$4:$E$10, MATCH(I302, Lookups_Metadata!$D$4:$D$10, 0))</f>
        <v>Thursday</v>
      </c>
      <c r="K302" s="33" t="str">
        <f aca="false">IF(H302=TRUE(), "Holiday", IF(OR(I302=0, I302=6), "Weekend", "Weekday"))</f>
        <v>Weekday</v>
      </c>
      <c r="L302" s="33" t="str">
        <f aca="false">IF(AND(K302="Weekday", OR(AND(G302&gt;=7, G302&lt;=9), AND(G302&gt;=17, G302&lt;=19))), "Peak Commute", "Off-Peak")</f>
        <v>Off-Peak</v>
      </c>
      <c r="M302" s="43" t="n">
        <v>1</v>
      </c>
      <c r="N302" s="33" t="str">
        <f aca="false">VLOOKUP(M302, Lookups_Metadata!$G$4:$H$7, 2, FALSE())</f>
        <v>Clear / Few Clouds</v>
      </c>
      <c r="O302" s="46" t="n">
        <v>0.16</v>
      </c>
      <c r="P302" s="46" t="n">
        <v>0.1515</v>
      </c>
      <c r="Q302" s="46" t="n">
        <f aca="false">IF(OR(P302="", ISBLANK(P302)), ROUND(0.9367*O302+0.0175, 4), P302)</f>
        <v>0.1515</v>
      </c>
      <c r="R302" s="33" t="str">
        <f aca="false">IF(OR(P302="", ISBLANK(P302)), "Imputed (Regression/Trend)", "Original")</f>
        <v>Original</v>
      </c>
      <c r="S302" s="46" t="n">
        <v>0.47</v>
      </c>
      <c r="T302" s="46" t="n">
        <v>0.2239</v>
      </c>
      <c r="U302" s="18" t="n">
        <v>0</v>
      </c>
      <c r="V302" s="18" t="n">
        <v>64</v>
      </c>
      <c r="W302" s="18" t="n">
        <f aca="false">U302+V302</f>
        <v>64</v>
      </c>
      <c r="X302" s="47" t="n">
        <f aca="false">U302/W302</f>
        <v>0</v>
      </c>
      <c r="Y302" s="47" t="n">
        <f aca="false">V302/W302</f>
        <v>1</v>
      </c>
      <c r="Z302" s="33" t="str">
        <f aca="false">IF(W302&gt;=150, "High Demand", IF(W302&gt;=50, "Moderate Demand", "Low Demand"))</f>
        <v>Moderate Demand</v>
      </c>
      <c r="AA302" s="45" t="str">
        <f aca="false">TEXT(G302, "00") &amp; ":00"</f>
        <v>20:00</v>
      </c>
      <c r="AB302" s="43" t="n">
        <f aca="false">YEAR(B302)</f>
        <v>2011</v>
      </c>
      <c r="AC302" s="33" t="str">
        <f aca="false">TEXT(B302, "mmmm")</f>
        <v>January</v>
      </c>
      <c r="AD302" s="43" t="n">
        <f aca="false">LEN(TEXT(B302, "YYYY-MM-DD"))</f>
        <v>10</v>
      </c>
      <c r="AE302" s="45" t="str">
        <f aca="false">LEFT(TEXT(B302, "YYYY-MM-DD"), 4)</f>
        <v>2011</v>
      </c>
      <c r="AF302" s="45" t="str">
        <f aca="false">RIGHT(TEXT(B302, "YYYY-MM-DD"), 2)</f>
        <v>13</v>
      </c>
    </row>
    <row r="303" customFormat="false" ht="15" hidden="false" customHeight="false" outlineLevel="0" collapsed="false">
      <c r="A303" s="37" t="n">
        <v>299</v>
      </c>
      <c r="B303" s="38" t="s">
        <v>89</v>
      </c>
      <c r="C303" s="37" t="n">
        <v>1</v>
      </c>
      <c r="D303" s="35" t="str">
        <f aca="false">VLOOKUP(C303, Lookups_Metadata!$A$4:$B$7, 2, FALSE())</f>
        <v>Spring</v>
      </c>
      <c r="E303" s="37" t="n">
        <v>0</v>
      </c>
      <c r="F303" s="37" t="n">
        <v>1</v>
      </c>
      <c r="G303" s="37" t="n">
        <v>21</v>
      </c>
      <c r="H303" s="39" t="b">
        <f aca="false">FALSE()</f>
        <v>0</v>
      </c>
      <c r="I303" s="37" t="n">
        <v>4</v>
      </c>
      <c r="J303" s="35" t="str">
        <f aca="false">INDEX(Lookups_Metadata!$E$4:$E$10, MATCH(I303, Lookups_Metadata!$D$4:$D$10, 0))</f>
        <v>Thursday</v>
      </c>
      <c r="K303" s="35" t="str">
        <f aca="false">IF(H303=TRUE(), "Holiday", IF(OR(I303=0, I303=6), "Weekend", "Weekday"))</f>
        <v>Weekday</v>
      </c>
      <c r="L303" s="35" t="str">
        <f aca="false">IF(AND(K303="Weekday", OR(AND(G303&gt;=7, G303&lt;=9), AND(G303&gt;=17, G303&lt;=19))), "Peak Commute", "Off-Peak")</f>
        <v>Off-Peak</v>
      </c>
      <c r="M303" s="37" t="n">
        <v>1</v>
      </c>
      <c r="N303" s="35" t="str">
        <f aca="false">VLOOKUP(M303, Lookups_Metadata!$G$4:$H$7, 2, FALSE())</f>
        <v>Clear / Few Clouds</v>
      </c>
      <c r="O303" s="40" t="n">
        <v>0.14</v>
      </c>
      <c r="P303" s="40" t="n">
        <v>0.1212</v>
      </c>
      <c r="Q303" s="40" t="n">
        <f aca="false">IF(OR(P303="", ISBLANK(P303)), ROUND(0.9367*O303+0.0175, 4), P303)</f>
        <v>0.1212</v>
      </c>
      <c r="R303" s="35" t="str">
        <f aca="false">IF(OR(P303="", ISBLANK(P303)), "Imputed (Regression/Trend)", "Original")</f>
        <v>Original</v>
      </c>
      <c r="S303" s="40" t="n">
        <v>0.46</v>
      </c>
      <c r="T303" s="40" t="n">
        <v>0.2985</v>
      </c>
      <c r="U303" s="41" t="n">
        <v>0</v>
      </c>
      <c r="V303" s="41" t="n">
        <v>40</v>
      </c>
      <c r="W303" s="41" t="n">
        <f aca="false">U303+V303</f>
        <v>40</v>
      </c>
      <c r="X303" s="42" t="n">
        <f aca="false">U303/W303</f>
        <v>0</v>
      </c>
      <c r="Y303" s="42" t="n">
        <f aca="false">V303/W303</f>
        <v>1</v>
      </c>
      <c r="Z303" s="35" t="str">
        <f aca="false">IF(W303&gt;=150, "High Demand", IF(W303&gt;=50, "Moderate Demand", "Low Demand"))</f>
        <v>Low Demand</v>
      </c>
      <c r="AA303" s="39" t="str">
        <f aca="false">TEXT(G303, "00") &amp; ":00"</f>
        <v>21:00</v>
      </c>
      <c r="AB303" s="37" t="n">
        <f aca="false">YEAR(B303)</f>
        <v>2011</v>
      </c>
      <c r="AC303" s="35" t="str">
        <f aca="false">TEXT(B303, "mmmm")</f>
        <v>January</v>
      </c>
      <c r="AD303" s="37" t="n">
        <f aca="false">LEN(TEXT(B303, "YYYY-MM-DD"))</f>
        <v>10</v>
      </c>
      <c r="AE303" s="39" t="str">
        <f aca="false">LEFT(TEXT(B303, "YYYY-MM-DD"), 4)</f>
        <v>2011</v>
      </c>
      <c r="AF303" s="39" t="str">
        <f aca="false">RIGHT(TEXT(B303, "YYYY-MM-DD"), 2)</f>
        <v>13</v>
      </c>
    </row>
    <row r="304" customFormat="false" ht="15" hidden="false" customHeight="false" outlineLevel="0" collapsed="false">
      <c r="A304" s="43" t="n">
        <v>300</v>
      </c>
      <c r="B304" s="44" t="s">
        <v>89</v>
      </c>
      <c r="C304" s="43" t="n">
        <v>1</v>
      </c>
      <c r="D304" s="33" t="str">
        <f aca="false">VLOOKUP(C304, Lookups_Metadata!$A$4:$B$7, 2, FALSE())</f>
        <v>Spring</v>
      </c>
      <c r="E304" s="43" t="n">
        <v>0</v>
      </c>
      <c r="F304" s="43" t="n">
        <v>1</v>
      </c>
      <c r="G304" s="43" t="n">
        <v>22</v>
      </c>
      <c r="H304" s="45" t="b">
        <f aca="false">FALSE()</f>
        <v>0</v>
      </c>
      <c r="I304" s="43" t="n">
        <v>4</v>
      </c>
      <c r="J304" s="33" t="str">
        <f aca="false">INDEX(Lookups_Metadata!$E$4:$E$10, MATCH(I304, Lookups_Metadata!$D$4:$D$10, 0))</f>
        <v>Thursday</v>
      </c>
      <c r="K304" s="33" t="str">
        <f aca="false">IF(H304=TRUE(), "Holiday", IF(OR(I304=0, I304=6), "Weekend", "Weekday"))</f>
        <v>Weekday</v>
      </c>
      <c r="L304" s="33" t="str">
        <f aca="false">IF(AND(K304="Weekday", OR(AND(G304&gt;=7, G304&lt;=9), AND(G304&gt;=17, G304&lt;=19))), "Peak Commute", "Off-Peak")</f>
        <v>Off-Peak</v>
      </c>
      <c r="M304" s="43" t="n">
        <v>1</v>
      </c>
      <c r="N304" s="33" t="str">
        <f aca="false">VLOOKUP(M304, Lookups_Metadata!$G$4:$H$7, 2, FALSE())</f>
        <v>Clear / Few Clouds</v>
      </c>
      <c r="O304" s="46" t="n">
        <v>0.14</v>
      </c>
      <c r="P304" s="46" t="n">
        <v>0.1212</v>
      </c>
      <c r="Q304" s="46" t="n">
        <f aca="false">IF(OR(P304="", ISBLANK(P304)), ROUND(0.9367*O304+0.0175, 4), P304)</f>
        <v>0.1212</v>
      </c>
      <c r="R304" s="33" t="str">
        <f aca="false">IF(OR(P304="", ISBLANK(P304)), "Imputed (Regression/Trend)", "Original")</f>
        <v>Original</v>
      </c>
      <c r="S304" s="46" t="n">
        <v>0.46</v>
      </c>
      <c r="T304" s="46" t="n">
        <v>0.3284</v>
      </c>
      <c r="U304" s="18" t="n">
        <v>0</v>
      </c>
      <c r="V304" s="18" t="n">
        <v>30</v>
      </c>
      <c r="W304" s="18" t="n">
        <f aca="false">U304+V304</f>
        <v>30</v>
      </c>
      <c r="X304" s="47" t="n">
        <f aca="false">U304/W304</f>
        <v>0</v>
      </c>
      <c r="Y304" s="47" t="n">
        <f aca="false">V304/W304</f>
        <v>1</v>
      </c>
      <c r="Z304" s="33" t="str">
        <f aca="false">IF(W304&gt;=150, "High Demand", IF(W304&gt;=50, "Moderate Demand", "Low Demand"))</f>
        <v>Low Demand</v>
      </c>
      <c r="AA304" s="45" t="str">
        <f aca="false">TEXT(G304, "00") &amp; ":00"</f>
        <v>22:00</v>
      </c>
      <c r="AB304" s="43" t="n">
        <f aca="false">YEAR(B304)</f>
        <v>2011</v>
      </c>
      <c r="AC304" s="33" t="str">
        <f aca="false">TEXT(B304, "mmmm")</f>
        <v>January</v>
      </c>
      <c r="AD304" s="43" t="n">
        <f aca="false">LEN(TEXT(B304, "YYYY-MM-DD"))</f>
        <v>10</v>
      </c>
      <c r="AE304" s="45" t="str">
        <f aca="false">LEFT(TEXT(B304, "YYYY-MM-DD"), 4)</f>
        <v>2011</v>
      </c>
      <c r="AF304" s="45" t="str">
        <f aca="false">RIGHT(TEXT(B304, "YYYY-MM-DD"), 2)</f>
        <v>13</v>
      </c>
    </row>
    <row r="305" customFormat="false" ht="15" hidden="false" customHeight="false" outlineLevel="0" collapsed="false">
      <c r="A305" s="37" t="n">
        <v>301</v>
      </c>
      <c r="B305" s="38" t="s">
        <v>89</v>
      </c>
      <c r="C305" s="37" t="n">
        <v>1</v>
      </c>
      <c r="D305" s="35" t="str">
        <f aca="false">VLOOKUP(C305, Lookups_Metadata!$A$4:$B$7, 2, FALSE())</f>
        <v>Spring</v>
      </c>
      <c r="E305" s="37" t="n">
        <v>0</v>
      </c>
      <c r="F305" s="37" t="n">
        <v>1</v>
      </c>
      <c r="G305" s="37" t="n">
        <v>23</v>
      </c>
      <c r="H305" s="39" t="b">
        <f aca="false">FALSE()</f>
        <v>0</v>
      </c>
      <c r="I305" s="37" t="n">
        <v>4</v>
      </c>
      <c r="J305" s="35" t="str">
        <f aca="false">INDEX(Lookups_Metadata!$E$4:$E$10, MATCH(I305, Lookups_Metadata!$D$4:$D$10, 0))</f>
        <v>Thursday</v>
      </c>
      <c r="K305" s="35" t="str">
        <f aca="false">IF(H305=TRUE(), "Holiday", IF(OR(I305=0, I305=6), "Weekend", "Weekday"))</f>
        <v>Weekday</v>
      </c>
      <c r="L305" s="35" t="str">
        <f aca="false">IF(AND(K305="Weekday", OR(AND(G305&gt;=7, G305&lt;=9), AND(G305&gt;=17, G305&lt;=19))), "Peak Commute", "Off-Peak")</f>
        <v>Off-Peak</v>
      </c>
      <c r="M305" s="37" t="n">
        <v>1</v>
      </c>
      <c r="N305" s="35" t="str">
        <f aca="false">VLOOKUP(M305, Lookups_Metadata!$G$4:$H$7, 2, FALSE())</f>
        <v>Clear / Few Clouds</v>
      </c>
      <c r="O305" s="40" t="n">
        <v>0.12</v>
      </c>
      <c r="P305" s="40" t="n">
        <v>0.1364</v>
      </c>
      <c r="Q305" s="40" t="n">
        <f aca="false">IF(OR(P305="", ISBLANK(P305)), ROUND(0.9367*O305+0.0175, 4), P305)</f>
        <v>0.1364</v>
      </c>
      <c r="R305" s="35" t="str">
        <f aca="false">IF(OR(P305="", ISBLANK(P305)), "Imputed (Regression/Trend)", "Original")</f>
        <v>Original</v>
      </c>
      <c r="S305" s="40" t="n">
        <v>0.5</v>
      </c>
      <c r="T305" s="40" t="n">
        <v>0.194</v>
      </c>
      <c r="U305" s="41" t="n">
        <v>1</v>
      </c>
      <c r="V305" s="41" t="n">
        <v>14</v>
      </c>
      <c r="W305" s="41" t="n">
        <f aca="false">U305+V305</f>
        <v>15</v>
      </c>
      <c r="X305" s="42" t="n">
        <f aca="false">U305/W305</f>
        <v>0.0666666666666667</v>
      </c>
      <c r="Y305" s="42" t="n">
        <f aca="false">V305/W305</f>
        <v>0.933333333333333</v>
      </c>
      <c r="Z305" s="35" t="str">
        <f aca="false">IF(W305&gt;=150, "High Demand", IF(W305&gt;=50, "Moderate Demand", "Low Demand"))</f>
        <v>Low Demand</v>
      </c>
      <c r="AA305" s="39" t="str">
        <f aca="false">TEXT(G305, "00") &amp; ":00"</f>
        <v>23:00</v>
      </c>
      <c r="AB305" s="37" t="n">
        <f aca="false">YEAR(B305)</f>
        <v>2011</v>
      </c>
      <c r="AC305" s="35" t="str">
        <f aca="false">TEXT(B305, "mmmm")</f>
        <v>January</v>
      </c>
      <c r="AD305" s="37" t="n">
        <f aca="false">LEN(TEXT(B305, "YYYY-MM-DD"))</f>
        <v>10</v>
      </c>
      <c r="AE305" s="39" t="str">
        <f aca="false">LEFT(TEXT(B305, "YYYY-MM-DD"), 4)</f>
        <v>2011</v>
      </c>
      <c r="AF305" s="39" t="str">
        <f aca="false">RIGHT(TEXT(B305, "YYYY-MM-DD"), 2)</f>
        <v>13</v>
      </c>
    </row>
    <row r="306" customFormat="false" ht="15" hidden="false" customHeight="false" outlineLevel="0" collapsed="false">
      <c r="A306" s="43" t="n">
        <v>302</v>
      </c>
      <c r="B306" s="44" t="s">
        <v>90</v>
      </c>
      <c r="C306" s="43" t="n">
        <v>1</v>
      </c>
      <c r="D306" s="33" t="str">
        <f aca="false">VLOOKUP(C306, Lookups_Metadata!$A$4:$B$7, 2, FALSE())</f>
        <v>Spring</v>
      </c>
      <c r="E306" s="43" t="n">
        <v>0</v>
      </c>
      <c r="F306" s="43" t="n">
        <v>1</v>
      </c>
      <c r="G306" s="43" t="n">
        <v>0</v>
      </c>
      <c r="H306" s="45" t="b">
        <f aca="false">FALSE()</f>
        <v>0</v>
      </c>
      <c r="I306" s="43" t="n">
        <v>5</v>
      </c>
      <c r="J306" s="33" t="str">
        <f aca="false">INDEX(Lookups_Metadata!$E$4:$E$10, MATCH(I306, Lookups_Metadata!$D$4:$D$10, 0))</f>
        <v>Friday</v>
      </c>
      <c r="K306" s="33" t="str">
        <f aca="false">IF(H306=TRUE(), "Holiday", IF(OR(I306=0, I306=6), "Weekend", "Weekday"))</f>
        <v>Weekday</v>
      </c>
      <c r="L306" s="33" t="str">
        <f aca="false">IF(AND(K306="Weekday", OR(AND(G306&gt;=7, G306&lt;=9), AND(G306&gt;=17, G306&lt;=19))), "Peak Commute", "Off-Peak")</f>
        <v>Off-Peak</v>
      </c>
      <c r="M306" s="43" t="n">
        <v>1</v>
      </c>
      <c r="N306" s="33" t="str">
        <f aca="false">VLOOKUP(M306, Lookups_Metadata!$G$4:$H$7, 2, FALSE())</f>
        <v>Clear / Few Clouds</v>
      </c>
      <c r="O306" s="46" t="n">
        <v>0.12</v>
      </c>
      <c r="P306" s="46" t="n">
        <v>0.1364</v>
      </c>
      <c r="Q306" s="46" t="n">
        <f aca="false">IF(OR(P306="", ISBLANK(P306)), ROUND(0.9367*O306+0.0175, 4), P306)</f>
        <v>0.1364</v>
      </c>
      <c r="R306" s="33" t="str">
        <f aca="false">IF(OR(P306="", ISBLANK(P306)), "Imputed (Regression/Trend)", "Original")</f>
        <v>Original</v>
      </c>
      <c r="S306" s="46" t="n">
        <v>0.5</v>
      </c>
      <c r="T306" s="46" t="n">
        <v>0.194</v>
      </c>
      <c r="U306" s="18" t="n">
        <v>0</v>
      </c>
      <c r="V306" s="18" t="n">
        <v>14</v>
      </c>
      <c r="W306" s="18" t="n">
        <f aca="false">U306+V306</f>
        <v>14</v>
      </c>
      <c r="X306" s="47" t="n">
        <f aca="false">U306/W306</f>
        <v>0</v>
      </c>
      <c r="Y306" s="47" t="n">
        <f aca="false">V306/W306</f>
        <v>1</v>
      </c>
      <c r="Z306" s="33" t="str">
        <f aca="false">IF(W306&gt;=150, "High Demand", IF(W306&gt;=50, "Moderate Demand", "Low Demand"))</f>
        <v>Low Demand</v>
      </c>
      <c r="AA306" s="45" t="str">
        <f aca="false">TEXT(G306, "00") &amp; ":00"</f>
        <v>00:00</v>
      </c>
      <c r="AB306" s="43" t="n">
        <f aca="false">YEAR(B306)</f>
        <v>2011</v>
      </c>
      <c r="AC306" s="33" t="str">
        <f aca="false">TEXT(B306, "mmmm")</f>
        <v>January</v>
      </c>
      <c r="AD306" s="43" t="n">
        <f aca="false">LEN(TEXT(B306, "YYYY-MM-DD"))</f>
        <v>10</v>
      </c>
      <c r="AE306" s="45" t="str">
        <f aca="false">LEFT(TEXT(B306, "YYYY-MM-DD"), 4)</f>
        <v>2011</v>
      </c>
      <c r="AF306" s="45" t="str">
        <f aca="false">RIGHT(TEXT(B306, "YYYY-MM-DD"), 2)</f>
        <v>14</v>
      </c>
    </row>
    <row r="307" customFormat="false" ht="15" hidden="false" customHeight="false" outlineLevel="0" collapsed="false">
      <c r="A307" s="37" t="n">
        <v>303</v>
      </c>
      <c r="B307" s="38" t="s">
        <v>90</v>
      </c>
      <c r="C307" s="37" t="n">
        <v>1</v>
      </c>
      <c r="D307" s="35" t="str">
        <f aca="false">VLOOKUP(C307, Lookups_Metadata!$A$4:$B$7, 2, FALSE())</f>
        <v>Spring</v>
      </c>
      <c r="E307" s="37" t="n">
        <v>0</v>
      </c>
      <c r="F307" s="37" t="n">
        <v>1</v>
      </c>
      <c r="G307" s="37" t="n">
        <v>1</v>
      </c>
      <c r="H307" s="39" t="b">
        <f aca="false">FALSE()</f>
        <v>0</v>
      </c>
      <c r="I307" s="37" t="n">
        <v>5</v>
      </c>
      <c r="J307" s="35" t="str">
        <f aca="false">INDEX(Lookups_Metadata!$E$4:$E$10, MATCH(I307, Lookups_Metadata!$D$4:$D$10, 0))</f>
        <v>Friday</v>
      </c>
      <c r="K307" s="35" t="str">
        <f aca="false">IF(H307=TRUE(), "Holiday", IF(OR(I307=0, I307=6), "Weekend", "Weekday"))</f>
        <v>Weekday</v>
      </c>
      <c r="L307" s="35" t="str">
        <f aca="false">IF(AND(K307="Weekday", OR(AND(G307&gt;=7, G307&lt;=9), AND(G307&gt;=17, G307&lt;=19))), "Peak Commute", "Off-Peak")</f>
        <v>Off-Peak</v>
      </c>
      <c r="M307" s="37" t="n">
        <v>1</v>
      </c>
      <c r="N307" s="35" t="str">
        <f aca="false">VLOOKUP(M307, Lookups_Metadata!$G$4:$H$7, 2, FALSE())</f>
        <v>Clear / Few Clouds</v>
      </c>
      <c r="O307" s="40" t="n">
        <v>0.1</v>
      </c>
      <c r="P307" s="40" t="n">
        <v>0.1212</v>
      </c>
      <c r="Q307" s="40" t="n">
        <f aca="false">IF(OR(P307="", ISBLANK(P307)), ROUND(0.9367*O307+0.0175, 4), P307)</f>
        <v>0.1212</v>
      </c>
      <c r="R307" s="35" t="str">
        <f aca="false">IF(OR(P307="", ISBLANK(P307)), "Imputed (Regression/Trend)", "Original")</f>
        <v>Original</v>
      </c>
      <c r="S307" s="40" t="n">
        <v>0.54</v>
      </c>
      <c r="T307" s="40" t="n">
        <v>0.1642</v>
      </c>
      <c r="U307" s="41" t="n">
        <v>0</v>
      </c>
      <c r="V307" s="41" t="n">
        <v>5</v>
      </c>
      <c r="W307" s="41" t="n">
        <f aca="false">U307+V307</f>
        <v>5</v>
      </c>
      <c r="X307" s="42" t="n">
        <f aca="false">U307/W307</f>
        <v>0</v>
      </c>
      <c r="Y307" s="42" t="n">
        <f aca="false">V307/W307</f>
        <v>1</v>
      </c>
      <c r="Z307" s="35" t="str">
        <f aca="false">IF(W307&gt;=150, "High Demand", IF(W307&gt;=50, "Moderate Demand", "Low Demand"))</f>
        <v>Low Demand</v>
      </c>
      <c r="AA307" s="39" t="str">
        <f aca="false">TEXT(G307, "00") &amp; ":00"</f>
        <v>01:00</v>
      </c>
      <c r="AB307" s="37" t="n">
        <f aca="false">YEAR(B307)</f>
        <v>2011</v>
      </c>
      <c r="AC307" s="35" t="str">
        <f aca="false">TEXT(B307, "mmmm")</f>
        <v>January</v>
      </c>
      <c r="AD307" s="37" t="n">
        <f aca="false">LEN(TEXT(B307, "YYYY-MM-DD"))</f>
        <v>10</v>
      </c>
      <c r="AE307" s="39" t="str">
        <f aca="false">LEFT(TEXT(B307, "YYYY-MM-DD"), 4)</f>
        <v>2011</v>
      </c>
      <c r="AF307" s="39" t="str">
        <f aca="false">RIGHT(TEXT(B307, "YYYY-MM-DD"), 2)</f>
        <v>14</v>
      </c>
    </row>
    <row r="308" customFormat="false" ht="15" hidden="false" customHeight="false" outlineLevel="0" collapsed="false">
      <c r="A308" s="43" t="n">
        <v>304</v>
      </c>
      <c r="B308" s="44" t="s">
        <v>90</v>
      </c>
      <c r="C308" s="43" t="n">
        <v>1</v>
      </c>
      <c r="D308" s="33" t="str">
        <f aca="false">VLOOKUP(C308, Lookups_Metadata!$A$4:$B$7, 2, FALSE())</f>
        <v>Spring</v>
      </c>
      <c r="E308" s="43" t="n">
        <v>0</v>
      </c>
      <c r="F308" s="43" t="n">
        <v>1</v>
      </c>
      <c r="G308" s="43" t="n">
        <v>2</v>
      </c>
      <c r="H308" s="45" t="b">
        <f aca="false">FALSE()</f>
        <v>0</v>
      </c>
      <c r="I308" s="43" t="n">
        <v>5</v>
      </c>
      <c r="J308" s="33" t="str">
        <f aca="false">INDEX(Lookups_Metadata!$E$4:$E$10, MATCH(I308, Lookups_Metadata!$D$4:$D$10, 0))</f>
        <v>Friday</v>
      </c>
      <c r="K308" s="33" t="str">
        <f aca="false">IF(H308=TRUE(), "Holiday", IF(OR(I308=0, I308=6), "Weekend", "Weekday"))</f>
        <v>Weekday</v>
      </c>
      <c r="L308" s="33" t="str">
        <f aca="false">IF(AND(K308="Weekday", OR(AND(G308&gt;=7, G308&lt;=9), AND(G308&gt;=17, G308&lt;=19))), "Peak Commute", "Off-Peak")</f>
        <v>Off-Peak</v>
      </c>
      <c r="M308" s="43" t="n">
        <v>1</v>
      </c>
      <c r="N308" s="33" t="str">
        <f aca="false">VLOOKUP(M308, Lookups_Metadata!$G$4:$H$7, 2, FALSE())</f>
        <v>Clear / Few Clouds</v>
      </c>
      <c r="O308" s="46" t="n">
        <v>0.1</v>
      </c>
      <c r="P308" s="46" t="n">
        <v>0.1212</v>
      </c>
      <c r="Q308" s="46" t="n">
        <f aca="false">IF(OR(P308="", ISBLANK(P308)), ROUND(0.9367*O308+0.0175, 4), P308)</f>
        <v>0.1212</v>
      </c>
      <c r="R308" s="33" t="str">
        <f aca="false">IF(OR(P308="", ISBLANK(P308)), "Imputed (Regression/Trend)", "Original")</f>
        <v>Original</v>
      </c>
      <c r="S308" s="46" t="n">
        <v>0.54</v>
      </c>
      <c r="T308" s="46" t="n">
        <v>0.1343</v>
      </c>
      <c r="U308" s="18" t="n">
        <v>0</v>
      </c>
      <c r="V308" s="18" t="n">
        <v>1</v>
      </c>
      <c r="W308" s="18" t="n">
        <f aca="false">U308+V308</f>
        <v>1</v>
      </c>
      <c r="X308" s="47" t="n">
        <f aca="false">U308/W308</f>
        <v>0</v>
      </c>
      <c r="Y308" s="47" t="n">
        <f aca="false">V308/W308</f>
        <v>1</v>
      </c>
      <c r="Z308" s="33" t="str">
        <f aca="false">IF(W308&gt;=150, "High Demand", IF(W308&gt;=50, "Moderate Demand", "Low Demand"))</f>
        <v>Low Demand</v>
      </c>
      <c r="AA308" s="45" t="str">
        <f aca="false">TEXT(G308, "00") &amp; ":00"</f>
        <v>02:00</v>
      </c>
      <c r="AB308" s="43" t="n">
        <f aca="false">YEAR(B308)</f>
        <v>2011</v>
      </c>
      <c r="AC308" s="33" t="str">
        <f aca="false">TEXT(B308, "mmmm")</f>
        <v>January</v>
      </c>
      <c r="AD308" s="43" t="n">
        <f aca="false">LEN(TEXT(B308, "YYYY-MM-DD"))</f>
        <v>10</v>
      </c>
      <c r="AE308" s="45" t="str">
        <f aca="false">LEFT(TEXT(B308, "YYYY-MM-DD"), 4)</f>
        <v>2011</v>
      </c>
      <c r="AF308" s="45" t="str">
        <f aca="false">RIGHT(TEXT(B308, "YYYY-MM-DD"), 2)</f>
        <v>14</v>
      </c>
    </row>
    <row r="309" customFormat="false" ht="15" hidden="false" customHeight="false" outlineLevel="0" collapsed="false">
      <c r="A309" s="37" t="n">
        <v>305</v>
      </c>
      <c r="B309" s="38" t="s">
        <v>90</v>
      </c>
      <c r="C309" s="37" t="n">
        <v>1</v>
      </c>
      <c r="D309" s="35" t="str">
        <f aca="false">VLOOKUP(C309, Lookups_Metadata!$A$4:$B$7, 2, FALSE())</f>
        <v>Spring</v>
      </c>
      <c r="E309" s="37" t="n">
        <v>0</v>
      </c>
      <c r="F309" s="37" t="n">
        <v>1</v>
      </c>
      <c r="G309" s="37" t="n">
        <v>3</v>
      </c>
      <c r="H309" s="39" t="b">
        <f aca="false">FALSE()</f>
        <v>0</v>
      </c>
      <c r="I309" s="37" t="n">
        <v>5</v>
      </c>
      <c r="J309" s="35" t="str">
        <f aca="false">INDEX(Lookups_Metadata!$E$4:$E$10, MATCH(I309, Lookups_Metadata!$D$4:$D$10, 0))</f>
        <v>Friday</v>
      </c>
      <c r="K309" s="35" t="str">
        <f aca="false">IF(H309=TRUE(), "Holiday", IF(OR(I309=0, I309=6), "Weekend", "Weekday"))</f>
        <v>Weekday</v>
      </c>
      <c r="L309" s="35" t="str">
        <f aca="false">IF(AND(K309="Weekday", OR(AND(G309&gt;=7, G309&lt;=9), AND(G309&gt;=17, G309&lt;=19))), "Peak Commute", "Off-Peak")</f>
        <v>Off-Peak</v>
      </c>
      <c r="M309" s="37" t="n">
        <v>1</v>
      </c>
      <c r="N309" s="35" t="str">
        <f aca="false">VLOOKUP(M309, Lookups_Metadata!$G$4:$H$7, 2, FALSE())</f>
        <v>Clear / Few Clouds</v>
      </c>
      <c r="O309" s="40" t="n">
        <v>0.1</v>
      </c>
      <c r="P309" s="40" t="n">
        <v>0.1364</v>
      </c>
      <c r="Q309" s="40" t="n">
        <f aca="false">IF(OR(P309="", ISBLANK(P309)), ROUND(0.9367*O309+0.0175, 4), P309)</f>
        <v>0.1364</v>
      </c>
      <c r="R309" s="35" t="str">
        <f aca="false">IF(OR(P309="", ISBLANK(P309)), "Imputed (Regression/Trend)", "Original")</f>
        <v>Original</v>
      </c>
      <c r="S309" s="40" t="n">
        <v>0.54</v>
      </c>
      <c r="T309" s="40" t="n">
        <v>0.1045</v>
      </c>
      <c r="U309" s="41" t="n">
        <v>0</v>
      </c>
      <c r="V309" s="41" t="n">
        <v>1</v>
      </c>
      <c r="W309" s="41" t="n">
        <f aca="false">U309+V309</f>
        <v>1</v>
      </c>
      <c r="X309" s="42" t="n">
        <f aca="false">U309/W309</f>
        <v>0</v>
      </c>
      <c r="Y309" s="42" t="n">
        <f aca="false">V309/W309</f>
        <v>1</v>
      </c>
      <c r="Z309" s="35" t="str">
        <f aca="false">IF(W309&gt;=150, "High Demand", IF(W309&gt;=50, "Moderate Demand", "Low Demand"))</f>
        <v>Low Demand</v>
      </c>
      <c r="AA309" s="39" t="str">
        <f aca="false">TEXT(G309, "00") &amp; ":00"</f>
        <v>03:00</v>
      </c>
      <c r="AB309" s="37" t="n">
        <f aca="false">YEAR(B309)</f>
        <v>2011</v>
      </c>
      <c r="AC309" s="35" t="str">
        <f aca="false">TEXT(B309, "mmmm")</f>
        <v>January</v>
      </c>
      <c r="AD309" s="37" t="n">
        <f aca="false">LEN(TEXT(B309, "YYYY-MM-DD"))</f>
        <v>10</v>
      </c>
      <c r="AE309" s="39" t="str">
        <f aca="false">LEFT(TEXT(B309, "YYYY-MM-DD"), 4)</f>
        <v>2011</v>
      </c>
      <c r="AF309" s="39" t="str">
        <f aca="false">RIGHT(TEXT(B309, "YYYY-MM-DD"), 2)</f>
        <v>14</v>
      </c>
    </row>
    <row r="310" customFormat="false" ht="15" hidden="false" customHeight="false" outlineLevel="0" collapsed="false">
      <c r="A310" s="43" t="n">
        <v>306</v>
      </c>
      <c r="B310" s="44" t="s">
        <v>90</v>
      </c>
      <c r="C310" s="43" t="n">
        <v>1</v>
      </c>
      <c r="D310" s="33" t="str">
        <f aca="false">VLOOKUP(C310, Lookups_Metadata!$A$4:$B$7, 2, FALSE())</f>
        <v>Spring</v>
      </c>
      <c r="E310" s="43" t="n">
        <v>0</v>
      </c>
      <c r="F310" s="43" t="n">
        <v>1</v>
      </c>
      <c r="G310" s="43" t="n">
        <v>5</v>
      </c>
      <c r="H310" s="45" t="b">
        <f aca="false">FALSE()</f>
        <v>0</v>
      </c>
      <c r="I310" s="43" t="n">
        <v>5</v>
      </c>
      <c r="J310" s="33" t="str">
        <f aca="false">INDEX(Lookups_Metadata!$E$4:$E$10, MATCH(I310, Lookups_Metadata!$D$4:$D$10, 0))</f>
        <v>Friday</v>
      </c>
      <c r="K310" s="33" t="str">
        <f aca="false">IF(H310=TRUE(), "Holiday", IF(OR(I310=0, I310=6), "Weekend", "Weekday"))</f>
        <v>Weekday</v>
      </c>
      <c r="L310" s="33" t="str">
        <f aca="false">IF(AND(K310="Weekday", OR(AND(G310&gt;=7, G310&lt;=9), AND(G310&gt;=17, G310&lt;=19))), "Peak Commute", "Off-Peak")</f>
        <v>Off-Peak</v>
      </c>
      <c r="M310" s="43" t="n">
        <v>1</v>
      </c>
      <c r="N310" s="33" t="str">
        <f aca="false">VLOOKUP(M310, Lookups_Metadata!$G$4:$H$7, 2, FALSE())</f>
        <v>Clear / Few Clouds</v>
      </c>
      <c r="O310" s="46" t="n">
        <v>0.1</v>
      </c>
      <c r="P310" s="46" t="n">
        <v>0.1364</v>
      </c>
      <c r="Q310" s="46" t="n">
        <f aca="false">IF(OR(P310="", ISBLANK(P310)), ROUND(0.9367*O310+0.0175, 4), P310)</f>
        <v>0.1364</v>
      </c>
      <c r="R310" s="33" t="str">
        <f aca="false">IF(OR(P310="", ISBLANK(P310)), "Imputed (Regression/Trend)", "Original")</f>
        <v>Original</v>
      </c>
      <c r="S310" s="46" t="n">
        <v>0.54</v>
      </c>
      <c r="T310" s="46" t="n">
        <v>0.0896</v>
      </c>
      <c r="U310" s="18" t="n">
        <v>0</v>
      </c>
      <c r="V310" s="18" t="n">
        <v>8</v>
      </c>
      <c r="W310" s="18" t="n">
        <f aca="false">U310+V310</f>
        <v>8</v>
      </c>
      <c r="X310" s="47" t="n">
        <f aca="false">U310/W310</f>
        <v>0</v>
      </c>
      <c r="Y310" s="47" t="n">
        <f aca="false">V310/W310</f>
        <v>1</v>
      </c>
      <c r="Z310" s="33" t="str">
        <f aca="false">IF(W310&gt;=150, "High Demand", IF(W310&gt;=50, "Moderate Demand", "Low Demand"))</f>
        <v>Low Demand</v>
      </c>
      <c r="AA310" s="45" t="str">
        <f aca="false">TEXT(G310, "00") &amp; ":00"</f>
        <v>05:00</v>
      </c>
      <c r="AB310" s="43" t="n">
        <f aca="false">YEAR(B310)</f>
        <v>2011</v>
      </c>
      <c r="AC310" s="33" t="str">
        <f aca="false">TEXT(B310, "mmmm")</f>
        <v>January</v>
      </c>
      <c r="AD310" s="43" t="n">
        <f aca="false">LEN(TEXT(B310, "YYYY-MM-DD"))</f>
        <v>10</v>
      </c>
      <c r="AE310" s="45" t="str">
        <f aca="false">LEFT(TEXT(B310, "YYYY-MM-DD"), 4)</f>
        <v>2011</v>
      </c>
      <c r="AF310" s="45" t="str">
        <f aca="false">RIGHT(TEXT(B310, "YYYY-MM-DD"), 2)</f>
        <v>14</v>
      </c>
    </row>
    <row r="311" customFormat="false" ht="15" hidden="false" customHeight="false" outlineLevel="0" collapsed="false">
      <c r="A311" s="37" t="n">
        <v>307</v>
      </c>
      <c r="B311" s="38" t="s">
        <v>90</v>
      </c>
      <c r="C311" s="37" t="n">
        <v>1</v>
      </c>
      <c r="D311" s="35" t="str">
        <f aca="false">VLOOKUP(C311, Lookups_Metadata!$A$4:$B$7, 2, FALSE())</f>
        <v>Spring</v>
      </c>
      <c r="E311" s="37" t="n">
        <v>0</v>
      </c>
      <c r="F311" s="37" t="n">
        <v>1</v>
      </c>
      <c r="G311" s="37" t="n">
        <v>6</v>
      </c>
      <c r="H311" s="39" t="b">
        <f aca="false">FALSE()</f>
        <v>0</v>
      </c>
      <c r="I311" s="37" t="n">
        <v>5</v>
      </c>
      <c r="J311" s="35" t="str">
        <f aca="false">INDEX(Lookups_Metadata!$E$4:$E$10, MATCH(I311, Lookups_Metadata!$D$4:$D$10, 0))</f>
        <v>Friday</v>
      </c>
      <c r="K311" s="35" t="str">
        <f aca="false">IF(H311=TRUE(), "Holiday", IF(OR(I311=0, I311=6), "Weekend", "Weekday"))</f>
        <v>Weekday</v>
      </c>
      <c r="L311" s="35" t="str">
        <f aca="false">IF(AND(K311="Weekday", OR(AND(G311&gt;=7, G311&lt;=9), AND(G311&gt;=17, G311&lt;=19))), "Peak Commute", "Off-Peak")</f>
        <v>Off-Peak</v>
      </c>
      <c r="M311" s="37" t="n">
        <v>1</v>
      </c>
      <c r="N311" s="35" t="str">
        <f aca="false">VLOOKUP(M311, Lookups_Metadata!$G$4:$H$7, 2, FALSE())</f>
        <v>Clear / Few Clouds</v>
      </c>
      <c r="O311" s="40" t="n">
        <v>0.1</v>
      </c>
      <c r="P311" s="40" t="n">
        <v>0.1818</v>
      </c>
      <c r="Q311" s="40" t="n">
        <f aca="false">IF(OR(P311="", ISBLANK(P311)), ROUND(0.9367*O311+0.0175, 4), P311)</f>
        <v>0.1818</v>
      </c>
      <c r="R311" s="35" t="str">
        <f aca="false">IF(OR(P311="", ISBLANK(P311)), "Imputed (Regression/Trend)", "Original")</f>
        <v>Original</v>
      </c>
      <c r="S311" s="40" t="n">
        <v>0.54</v>
      </c>
      <c r="T311" s="40" t="n">
        <v>0</v>
      </c>
      <c r="U311" s="41" t="n">
        <v>0</v>
      </c>
      <c r="V311" s="41" t="n">
        <v>17</v>
      </c>
      <c r="W311" s="41" t="n">
        <f aca="false">U311+V311</f>
        <v>17</v>
      </c>
      <c r="X311" s="42" t="n">
        <f aca="false">U311/W311</f>
        <v>0</v>
      </c>
      <c r="Y311" s="42" t="n">
        <f aca="false">V311/W311</f>
        <v>1</v>
      </c>
      <c r="Z311" s="35" t="str">
        <f aca="false">IF(W311&gt;=150, "High Demand", IF(W311&gt;=50, "Moderate Demand", "Low Demand"))</f>
        <v>Low Demand</v>
      </c>
      <c r="AA311" s="39" t="str">
        <f aca="false">TEXT(G311, "00") &amp; ":00"</f>
        <v>06:00</v>
      </c>
      <c r="AB311" s="37" t="n">
        <f aca="false">YEAR(B311)</f>
        <v>2011</v>
      </c>
      <c r="AC311" s="35" t="str">
        <f aca="false">TEXT(B311, "mmmm")</f>
        <v>January</v>
      </c>
      <c r="AD311" s="37" t="n">
        <f aca="false">LEN(TEXT(B311, "YYYY-MM-DD"))</f>
        <v>10</v>
      </c>
      <c r="AE311" s="39" t="str">
        <f aca="false">LEFT(TEXT(B311, "YYYY-MM-DD"), 4)</f>
        <v>2011</v>
      </c>
      <c r="AF311" s="39" t="str">
        <f aca="false">RIGHT(TEXT(B311, "YYYY-MM-DD"), 2)</f>
        <v>14</v>
      </c>
    </row>
    <row r="312" customFormat="false" ht="15" hidden="false" customHeight="false" outlineLevel="0" collapsed="false">
      <c r="A312" s="43" t="n">
        <v>308</v>
      </c>
      <c r="B312" s="44" t="s">
        <v>90</v>
      </c>
      <c r="C312" s="43" t="n">
        <v>1</v>
      </c>
      <c r="D312" s="33" t="str">
        <f aca="false">VLOOKUP(C312, Lookups_Metadata!$A$4:$B$7, 2, FALSE())</f>
        <v>Spring</v>
      </c>
      <c r="E312" s="43" t="n">
        <v>0</v>
      </c>
      <c r="F312" s="43" t="n">
        <v>1</v>
      </c>
      <c r="G312" s="43" t="n">
        <v>7</v>
      </c>
      <c r="H312" s="45" t="b">
        <f aca="false">FALSE()</f>
        <v>0</v>
      </c>
      <c r="I312" s="43" t="n">
        <v>5</v>
      </c>
      <c r="J312" s="33" t="str">
        <f aca="false">INDEX(Lookups_Metadata!$E$4:$E$10, MATCH(I312, Lookups_Metadata!$D$4:$D$10, 0))</f>
        <v>Friday</v>
      </c>
      <c r="K312" s="33" t="str">
        <f aca="false">IF(H312=TRUE(), "Holiday", IF(OR(I312=0, I312=6), "Weekend", "Weekday"))</f>
        <v>Weekday</v>
      </c>
      <c r="L312" s="33" t="str">
        <f aca="false">IF(AND(K312="Weekday", OR(AND(G312&gt;=7, G312&lt;=9), AND(G312&gt;=17, G312&lt;=19))), "Peak Commute", "Off-Peak")</f>
        <v>Peak Commute</v>
      </c>
      <c r="M312" s="43" t="n">
        <v>1</v>
      </c>
      <c r="N312" s="33" t="str">
        <f aca="false">VLOOKUP(M312, Lookups_Metadata!$G$4:$H$7, 2, FALSE())</f>
        <v>Clear / Few Clouds</v>
      </c>
      <c r="O312" s="46" t="n">
        <v>0.1</v>
      </c>
      <c r="P312" s="46" t="n">
        <v>0.1212</v>
      </c>
      <c r="Q312" s="46" t="n">
        <f aca="false">IF(OR(P312="", ISBLANK(P312)), ROUND(0.9367*O312+0.0175, 4), P312)</f>
        <v>0.1212</v>
      </c>
      <c r="R312" s="33" t="str">
        <f aca="false">IF(OR(P312="", ISBLANK(P312)), "Imputed (Regression/Trend)", "Original")</f>
        <v>Original</v>
      </c>
      <c r="S312" s="46" t="n">
        <v>0.74</v>
      </c>
      <c r="T312" s="46" t="n">
        <v>0.1642</v>
      </c>
      <c r="U312" s="18" t="n">
        <v>0</v>
      </c>
      <c r="V312" s="18" t="n">
        <v>70</v>
      </c>
      <c r="W312" s="18" t="n">
        <f aca="false">U312+V312</f>
        <v>70</v>
      </c>
      <c r="X312" s="47" t="n">
        <f aca="false">U312/W312</f>
        <v>0</v>
      </c>
      <c r="Y312" s="47" t="n">
        <f aca="false">V312/W312</f>
        <v>1</v>
      </c>
      <c r="Z312" s="33" t="str">
        <f aca="false">IF(W312&gt;=150, "High Demand", IF(W312&gt;=50, "Moderate Demand", "Low Demand"))</f>
        <v>Moderate Demand</v>
      </c>
      <c r="AA312" s="45" t="str">
        <f aca="false">TEXT(G312, "00") &amp; ":00"</f>
        <v>07:00</v>
      </c>
      <c r="AB312" s="43" t="n">
        <f aca="false">YEAR(B312)</f>
        <v>2011</v>
      </c>
      <c r="AC312" s="33" t="str">
        <f aca="false">TEXT(B312, "mmmm")</f>
        <v>January</v>
      </c>
      <c r="AD312" s="43" t="n">
        <f aca="false">LEN(TEXT(B312, "YYYY-MM-DD"))</f>
        <v>10</v>
      </c>
      <c r="AE312" s="45" t="str">
        <f aca="false">LEFT(TEXT(B312, "YYYY-MM-DD"), 4)</f>
        <v>2011</v>
      </c>
      <c r="AF312" s="45" t="str">
        <f aca="false">RIGHT(TEXT(B312, "YYYY-MM-DD"), 2)</f>
        <v>14</v>
      </c>
    </row>
    <row r="313" customFormat="false" ht="15" hidden="false" customHeight="false" outlineLevel="0" collapsed="false">
      <c r="A313" s="37" t="n">
        <v>309</v>
      </c>
      <c r="B313" s="38" t="s">
        <v>90</v>
      </c>
      <c r="C313" s="37" t="n">
        <v>1</v>
      </c>
      <c r="D313" s="35" t="str">
        <f aca="false">VLOOKUP(C313, Lookups_Metadata!$A$4:$B$7, 2, FALSE())</f>
        <v>Spring</v>
      </c>
      <c r="E313" s="37" t="n">
        <v>0</v>
      </c>
      <c r="F313" s="37" t="n">
        <v>1</v>
      </c>
      <c r="G313" s="37" t="n">
        <v>8</v>
      </c>
      <c r="H313" s="39" t="b">
        <f aca="false">FALSE()</f>
        <v>0</v>
      </c>
      <c r="I313" s="37" t="n">
        <v>5</v>
      </c>
      <c r="J313" s="35" t="str">
        <f aca="false">INDEX(Lookups_Metadata!$E$4:$E$10, MATCH(I313, Lookups_Metadata!$D$4:$D$10, 0))</f>
        <v>Friday</v>
      </c>
      <c r="K313" s="35" t="str">
        <f aca="false">IF(H313=TRUE(), "Holiday", IF(OR(I313=0, I313=6), "Weekend", "Weekday"))</f>
        <v>Weekday</v>
      </c>
      <c r="L313" s="35" t="str">
        <f aca="false">IF(AND(K313="Weekday", OR(AND(G313&gt;=7, G313&lt;=9), AND(G313&gt;=17, G313&lt;=19))), "Peak Commute", "Off-Peak")</f>
        <v>Peak Commute</v>
      </c>
      <c r="M313" s="37" t="n">
        <v>1</v>
      </c>
      <c r="N313" s="35" t="str">
        <f aca="false">VLOOKUP(M313, Lookups_Metadata!$G$4:$H$7, 2, FALSE())</f>
        <v>Clear / Few Clouds</v>
      </c>
      <c r="O313" s="40" t="n">
        <v>0.12</v>
      </c>
      <c r="P313" s="40" t="n">
        <v>0.1667</v>
      </c>
      <c r="Q313" s="40" t="n">
        <f aca="false">IF(OR(P313="", ISBLANK(P313)), ROUND(0.9367*O313+0.0175, 4), P313)</f>
        <v>0.1667</v>
      </c>
      <c r="R313" s="35" t="str">
        <f aca="false">IF(OR(P313="", ISBLANK(P313)), "Imputed (Regression/Trend)", "Original")</f>
        <v>Original</v>
      </c>
      <c r="S313" s="40" t="n">
        <v>0.68</v>
      </c>
      <c r="T313" s="40" t="n">
        <v>0</v>
      </c>
      <c r="U313" s="41" t="n">
        <v>2</v>
      </c>
      <c r="V313" s="41" t="n">
        <v>156</v>
      </c>
      <c r="W313" s="41" t="n">
        <f aca="false">U313+V313</f>
        <v>158</v>
      </c>
      <c r="X313" s="42" t="n">
        <f aca="false">U313/W313</f>
        <v>0.0126582278481013</v>
      </c>
      <c r="Y313" s="42" t="n">
        <f aca="false">V313/W313</f>
        <v>0.987341772151899</v>
      </c>
      <c r="Z313" s="35" t="str">
        <f aca="false">IF(W313&gt;=150, "High Demand", IF(W313&gt;=50, "Moderate Demand", "Low Demand"))</f>
        <v>High Demand</v>
      </c>
      <c r="AA313" s="39" t="str">
        <f aca="false">TEXT(G313, "00") &amp; ":00"</f>
        <v>08:00</v>
      </c>
      <c r="AB313" s="37" t="n">
        <f aca="false">YEAR(B313)</f>
        <v>2011</v>
      </c>
      <c r="AC313" s="35" t="str">
        <f aca="false">TEXT(B313, "mmmm")</f>
        <v>January</v>
      </c>
      <c r="AD313" s="37" t="n">
        <f aca="false">LEN(TEXT(B313, "YYYY-MM-DD"))</f>
        <v>10</v>
      </c>
      <c r="AE313" s="39" t="str">
        <f aca="false">LEFT(TEXT(B313, "YYYY-MM-DD"), 4)</f>
        <v>2011</v>
      </c>
      <c r="AF313" s="39" t="str">
        <f aca="false">RIGHT(TEXT(B313, "YYYY-MM-DD"), 2)</f>
        <v>14</v>
      </c>
    </row>
    <row r="314" customFormat="false" ht="15" hidden="false" customHeight="false" outlineLevel="0" collapsed="false">
      <c r="A314" s="43" t="n">
        <v>310</v>
      </c>
      <c r="B314" s="44" t="s">
        <v>90</v>
      </c>
      <c r="C314" s="43" t="n">
        <v>1</v>
      </c>
      <c r="D314" s="33" t="str">
        <f aca="false">VLOOKUP(C314, Lookups_Metadata!$A$4:$B$7, 2, FALSE())</f>
        <v>Spring</v>
      </c>
      <c r="E314" s="43" t="n">
        <v>0</v>
      </c>
      <c r="F314" s="43" t="n">
        <v>1</v>
      </c>
      <c r="G314" s="43" t="n">
        <v>9</v>
      </c>
      <c r="H314" s="45" t="b">
        <f aca="false">FALSE()</f>
        <v>0</v>
      </c>
      <c r="I314" s="43" t="n">
        <v>5</v>
      </c>
      <c r="J314" s="33" t="str">
        <f aca="false">INDEX(Lookups_Metadata!$E$4:$E$10, MATCH(I314, Lookups_Metadata!$D$4:$D$10, 0))</f>
        <v>Friday</v>
      </c>
      <c r="K314" s="33" t="str">
        <f aca="false">IF(H314=TRUE(), "Holiday", IF(OR(I314=0, I314=6), "Weekend", "Weekday"))</f>
        <v>Weekday</v>
      </c>
      <c r="L314" s="33" t="str">
        <f aca="false">IF(AND(K314="Weekday", OR(AND(G314&gt;=7, G314&lt;=9), AND(G314&gt;=17, G314&lt;=19))), "Peak Commute", "Off-Peak")</f>
        <v>Peak Commute</v>
      </c>
      <c r="M314" s="43" t="n">
        <v>1</v>
      </c>
      <c r="N314" s="33" t="str">
        <f aca="false">VLOOKUP(M314, Lookups_Metadata!$G$4:$H$7, 2, FALSE())</f>
        <v>Clear / Few Clouds</v>
      </c>
      <c r="O314" s="46" t="n">
        <v>0.14</v>
      </c>
      <c r="P314" s="46" t="n">
        <v>0.1515</v>
      </c>
      <c r="Q314" s="46" t="n">
        <f aca="false">IF(OR(P314="", ISBLANK(P314)), ROUND(0.9367*O314+0.0175, 4), P314)</f>
        <v>0.1515</v>
      </c>
      <c r="R314" s="33" t="str">
        <f aca="false">IF(OR(P314="", ISBLANK(P314)), "Imputed (Regression/Trend)", "Original")</f>
        <v>Original</v>
      </c>
      <c r="S314" s="46" t="n">
        <v>0.69</v>
      </c>
      <c r="T314" s="46" t="n">
        <v>0.1343</v>
      </c>
      <c r="U314" s="18" t="n">
        <v>0</v>
      </c>
      <c r="V314" s="18" t="n">
        <v>117</v>
      </c>
      <c r="W314" s="18" t="n">
        <f aca="false">U314+V314</f>
        <v>117</v>
      </c>
      <c r="X314" s="47" t="n">
        <f aca="false">U314/W314</f>
        <v>0</v>
      </c>
      <c r="Y314" s="47" t="n">
        <f aca="false">V314/W314</f>
        <v>1</v>
      </c>
      <c r="Z314" s="33" t="str">
        <f aca="false">IF(W314&gt;=150, "High Demand", IF(W314&gt;=50, "Moderate Demand", "Low Demand"))</f>
        <v>Moderate Demand</v>
      </c>
      <c r="AA314" s="45" t="str">
        <f aca="false">TEXT(G314, "00") &amp; ":00"</f>
        <v>09:00</v>
      </c>
      <c r="AB314" s="43" t="n">
        <f aca="false">YEAR(B314)</f>
        <v>2011</v>
      </c>
      <c r="AC314" s="33" t="str">
        <f aca="false">TEXT(B314, "mmmm")</f>
        <v>January</v>
      </c>
      <c r="AD314" s="43" t="n">
        <f aca="false">LEN(TEXT(B314, "YYYY-MM-DD"))</f>
        <v>10</v>
      </c>
      <c r="AE314" s="45" t="str">
        <f aca="false">LEFT(TEXT(B314, "YYYY-MM-DD"), 4)</f>
        <v>2011</v>
      </c>
      <c r="AF314" s="45" t="str">
        <f aca="false">RIGHT(TEXT(B314, "YYYY-MM-DD"), 2)</f>
        <v>14</v>
      </c>
    </row>
    <row r="315" customFormat="false" ht="15" hidden="false" customHeight="false" outlineLevel="0" collapsed="false">
      <c r="A315" s="37" t="n">
        <v>311</v>
      </c>
      <c r="B315" s="38" t="s">
        <v>90</v>
      </c>
      <c r="C315" s="37" t="n">
        <v>1</v>
      </c>
      <c r="D315" s="35" t="str">
        <f aca="false">VLOOKUP(C315, Lookups_Metadata!$A$4:$B$7, 2, FALSE())</f>
        <v>Spring</v>
      </c>
      <c r="E315" s="37" t="n">
        <v>0</v>
      </c>
      <c r="F315" s="37" t="n">
        <v>1</v>
      </c>
      <c r="G315" s="37" t="n">
        <v>10</v>
      </c>
      <c r="H315" s="39" t="b">
        <f aca="false">FALSE()</f>
        <v>0</v>
      </c>
      <c r="I315" s="37" t="n">
        <v>5</v>
      </c>
      <c r="J315" s="35" t="str">
        <f aca="false">INDEX(Lookups_Metadata!$E$4:$E$10, MATCH(I315, Lookups_Metadata!$D$4:$D$10, 0))</f>
        <v>Friday</v>
      </c>
      <c r="K315" s="35" t="str">
        <f aca="false">IF(H315=TRUE(), "Holiday", IF(OR(I315=0, I315=6), "Weekend", "Weekday"))</f>
        <v>Weekday</v>
      </c>
      <c r="L315" s="35" t="str">
        <f aca="false">IF(AND(K315="Weekday", OR(AND(G315&gt;=7, G315&lt;=9), AND(G315&gt;=17, G315&lt;=19))), "Peak Commute", "Off-Peak")</f>
        <v>Off-Peak</v>
      </c>
      <c r="M315" s="37" t="n">
        <v>1</v>
      </c>
      <c r="N315" s="35" t="str">
        <f aca="false">VLOOKUP(M315, Lookups_Metadata!$G$4:$H$7, 2, FALSE())</f>
        <v>Clear / Few Clouds</v>
      </c>
      <c r="O315" s="40" t="n">
        <v>0.18</v>
      </c>
      <c r="P315" s="40" t="n">
        <v>0.1818</v>
      </c>
      <c r="Q315" s="40" t="n">
        <f aca="false">IF(OR(P315="", ISBLANK(P315)), ROUND(0.9367*O315+0.0175, 4), P315)</f>
        <v>0.1818</v>
      </c>
      <c r="R315" s="35" t="str">
        <f aca="false">IF(OR(P315="", ISBLANK(P315)), "Imputed (Regression/Trend)", "Original")</f>
        <v>Original</v>
      </c>
      <c r="S315" s="40" t="n">
        <v>0.55</v>
      </c>
      <c r="T315" s="40" t="n">
        <v>0.194</v>
      </c>
      <c r="U315" s="41" t="n">
        <v>4</v>
      </c>
      <c r="V315" s="41" t="n">
        <v>40</v>
      </c>
      <c r="W315" s="41" t="n">
        <f aca="false">U315+V315</f>
        <v>44</v>
      </c>
      <c r="X315" s="42" t="n">
        <f aca="false">U315/W315</f>
        <v>0.0909090909090909</v>
      </c>
      <c r="Y315" s="42" t="n">
        <f aca="false">V315/W315</f>
        <v>0.909090909090909</v>
      </c>
      <c r="Z315" s="35" t="str">
        <f aca="false">IF(W315&gt;=150, "High Demand", IF(W315&gt;=50, "Moderate Demand", "Low Demand"))</f>
        <v>Low Demand</v>
      </c>
      <c r="AA315" s="39" t="str">
        <f aca="false">TEXT(G315, "00") &amp; ":00"</f>
        <v>10:00</v>
      </c>
      <c r="AB315" s="37" t="n">
        <f aca="false">YEAR(B315)</f>
        <v>2011</v>
      </c>
      <c r="AC315" s="35" t="str">
        <f aca="false">TEXT(B315, "mmmm")</f>
        <v>January</v>
      </c>
      <c r="AD315" s="37" t="n">
        <f aca="false">LEN(TEXT(B315, "YYYY-MM-DD"))</f>
        <v>10</v>
      </c>
      <c r="AE315" s="39" t="str">
        <f aca="false">LEFT(TEXT(B315, "YYYY-MM-DD"), 4)</f>
        <v>2011</v>
      </c>
      <c r="AF315" s="39" t="str">
        <f aca="false">RIGHT(TEXT(B315, "YYYY-MM-DD"), 2)</f>
        <v>14</v>
      </c>
    </row>
    <row r="316" customFormat="false" ht="15" hidden="false" customHeight="false" outlineLevel="0" collapsed="false">
      <c r="A316" s="43" t="n">
        <v>312</v>
      </c>
      <c r="B316" s="44" t="s">
        <v>90</v>
      </c>
      <c r="C316" s="43" t="n">
        <v>1</v>
      </c>
      <c r="D316" s="33" t="str">
        <f aca="false">VLOOKUP(C316, Lookups_Metadata!$A$4:$B$7, 2, FALSE())</f>
        <v>Spring</v>
      </c>
      <c r="E316" s="43" t="n">
        <v>0</v>
      </c>
      <c r="F316" s="43" t="n">
        <v>1</v>
      </c>
      <c r="G316" s="43" t="n">
        <v>11</v>
      </c>
      <c r="H316" s="45" t="b">
        <f aca="false">FALSE()</f>
        <v>0</v>
      </c>
      <c r="I316" s="43" t="n">
        <v>5</v>
      </c>
      <c r="J316" s="33" t="str">
        <f aca="false">INDEX(Lookups_Metadata!$E$4:$E$10, MATCH(I316, Lookups_Metadata!$D$4:$D$10, 0))</f>
        <v>Friday</v>
      </c>
      <c r="K316" s="33" t="str">
        <f aca="false">IF(H316=TRUE(), "Holiday", IF(OR(I316=0, I316=6), "Weekend", "Weekday"))</f>
        <v>Weekday</v>
      </c>
      <c r="L316" s="33" t="str">
        <f aca="false">IF(AND(K316="Weekday", OR(AND(G316&gt;=7, G316&lt;=9), AND(G316&gt;=17, G316&lt;=19))), "Peak Commute", "Off-Peak")</f>
        <v>Off-Peak</v>
      </c>
      <c r="M316" s="43" t="n">
        <v>1</v>
      </c>
      <c r="N316" s="33" t="str">
        <f aca="false">VLOOKUP(M316, Lookups_Metadata!$G$4:$H$7, 2, FALSE())</f>
        <v>Clear / Few Clouds</v>
      </c>
      <c r="O316" s="46" t="n">
        <v>0.18</v>
      </c>
      <c r="P316" s="46" t="n">
        <v>0.1667</v>
      </c>
      <c r="Q316" s="46" t="n">
        <f aca="false">IF(OR(P316="", ISBLANK(P316)), ROUND(0.9367*O316+0.0175, 4), P316)</f>
        <v>0.1667</v>
      </c>
      <c r="R316" s="33" t="str">
        <f aca="false">IF(OR(P316="", ISBLANK(P316)), "Imputed (Regression/Trend)", "Original")</f>
        <v>Original</v>
      </c>
      <c r="S316" s="46" t="n">
        <v>0.51</v>
      </c>
      <c r="T316" s="46" t="n">
        <v>0.2836</v>
      </c>
      <c r="U316" s="18" t="n">
        <v>6</v>
      </c>
      <c r="V316" s="18" t="n">
        <v>47</v>
      </c>
      <c r="W316" s="18" t="n">
        <f aca="false">U316+V316</f>
        <v>53</v>
      </c>
      <c r="X316" s="47" t="n">
        <f aca="false">U316/W316</f>
        <v>0.113207547169811</v>
      </c>
      <c r="Y316" s="47" t="n">
        <f aca="false">V316/W316</f>
        <v>0.886792452830189</v>
      </c>
      <c r="Z316" s="33" t="str">
        <f aca="false">IF(W316&gt;=150, "High Demand", IF(W316&gt;=50, "Moderate Demand", "Low Demand"))</f>
        <v>Moderate Demand</v>
      </c>
      <c r="AA316" s="45" t="str">
        <f aca="false">TEXT(G316, "00") &amp; ":00"</f>
        <v>11:00</v>
      </c>
      <c r="AB316" s="43" t="n">
        <f aca="false">YEAR(B316)</f>
        <v>2011</v>
      </c>
      <c r="AC316" s="33" t="str">
        <f aca="false">TEXT(B316, "mmmm")</f>
        <v>January</v>
      </c>
      <c r="AD316" s="43" t="n">
        <f aca="false">LEN(TEXT(B316, "YYYY-MM-DD"))</f>
        <v>10</v>
      </c>
      <c r="AE316" s="45" t="str">
        <f aca="false">LEFT(TEXT(B316, "YYYY-MM-DD"), 4)</f>
        <v>2011</v>
      </c>
      <c r="AF316" s="45" t="str">
        <f aca="false">RIGHT(TEXT(B316, "YYYY-MM-DD"), 2)</f>
        <v>14</v>
      </c>
    </row>
    <row r="317" customFormat="false" ht="15" hidden="false" customHeight="false" outlineLevel="0" collapsed="false">
      <c r="A317" s="37" t="n">
        <v>313</v>
      </c>
      <c r="B317" s="38" t="s">
        <v>90</v>
      </c>
      <c r="C317" s="37" t="n">
        <v>1</v>
      </c>
      <c r="D317" s="35" t="str">
        <f aca="false">VLOOKUP(C317, Lookups_Metadata!$A$4:$B$7, 2, FALSE())</f>
        <v>Spring</v>
      </c>
      <c r="E317" s="37" t="n">
        <v>0</v>
      </c>
      <c r="F317" s="37" t="n">
        <v>1</v>
      </c>
      <c r="G317" s="37" t="n">
        <v>12</v>
      </c>
      <c r="H317" s="39" t="b">
        <f aca="false">FALSE()</f>
        <v>0</v>
      </c>
      <c r="I317" s="37" t="n">
        <v>5</v>
      </c>
      <c r="J317" s="35" t="str">
        <f aca="false">INDEX(Lookups_Metadata!$E$4:$E$10, MATCH(I317, Lookups_Metadata!$D$4:$D$10, 0))</f>
        <v>Friday</v>
      </c>
      <c r="K317" s="35" t="str">
        <f aca="false">IF(H317=TRUE(), "Holiday", IF(OR(I317=0, I317=6), "Weekend", "Weekday"))</f>
        <v>Weekday</v>
      </c>
      <c r="L317" s="35" t="str">
        <f aca="false">IF(AND(K317="Weekday", OR(AND(G317&gt;=7, G317&lt;=9), AND(G317&gt;=17, G317&lt;=19))), "Peak Commute", "Off-Peak")</f>
        <v>Off-Peak</v>
      </c>
      <c r="M317" s="37" t="n">
        <v>1</v>
      </c>
      <c r="N317" s="35" t="str">
        <f aca="false">VLOOKUP(M317, Lookups_Metadata!$G$4:$H$7, 2, FALSE())</f>
        <v>Clear / Few Clouds</v>
      </c>
      <c r="O317" s="40" t="n">
        <v>0.2</v>
      </c>
      <c r="P317" s="40" t="n">
        <v>0.197</v>
      </c>
      <c r="Q317" s="40" t="n">
        <f aca="false">IF(OR(P317="", ISBLANK(P317)), ROUND(0.9367*O317+0.0175, 4), P317)</f>
        <v>0.197</v>
      </c>
      <c r="R317" s="35" t="str">
        <f aca="false">IF(OR(P317="", ISBLANK(P317)), "Imputed (Regression/Trend)", "Original")</f>
        <v>Original</v>
      </c>
      <c r="S317" s="40" t="n">
        <v>0.44</v>
      </c>
      <c r="T317" s="40" t="n">
        <v>0.2537</v>
      </c>
      <c r="U317" s="41" t="n">
        <v>2</v>
      </c>
      <c r="V317" s="41" t="n">
        <v>59</v>
      </c>
      <c r="W317" s="41" t="n">
        <f aca="false">U317+V317</f>
        <v>61</v>
      </c>
      <c r="X317" s="42" t="n">
        <f aca="false">U317/W317</f>
        <v>0.0327868852459016</v>
      </c>
      <c r="Y317" s="42" t="n">
        <f aca="false">V317/W317</f>
        <v>0.967213114754098</v>
      </c>
      <c r="Z317" s="35" t="str">
        <f aca="false">IF(W317&gt;=150, "High Demand", IF(W317&gt;=50, "Moderate Demand", "Low Demand"))</f>
        <v>Moderate Demand</v>
      </c>
      <c r="AA317" s="39" t="str">
        <f aca="false">TEXT(G317, "00") &amp; ":00"</f>
        <v>12:00</v>
      </c>
      <c r="AB317" s="37" t="n">
        <f aca="false">YEAR(B317)</f>
        <v>2011</v>
      </c>
      <c r="AC317" s="35" t="str">
        <f aca="false">TEXT(B317, "mmmm")</f>
        <v>January</v>
      </c>
      <c r="AD317" s="37" t="n">
        <f aca="false">LEN(TEXT(B317, "YYYY-MM-DD"))</f>
        <v>10</v>
      </c>
      <c r="AE317" s="39" t="str">
        <f aca="false">LEFT(TEXT(B317, "YYYY-MM-DD"), 4)</f>
        <v>2011</v>
      </c>
      <c r="AF317" s="39" t="str">
        <f aca="false">RIGHT(TEXT(B317, "YYYY-MM-DD"), 2)</f>
        <v>14</v>
      </c>
    </row>
    <row r="318" customFormat="false" ht="15" hidden="false" customHeight="false" outlineLevel="0" collapsed="false">
      <c r="A318" s="43" t="n">
        <v>314</v>
      </c>
      <c r="B318" s="44" t="s">
        <v>90</v>
      </c>
      <c r="C318" s="43" t="n">
        <v>1</v>
      </c>
      <c r="D318" s="33" t="str">
        <f aca="false">VLOOKUP(C318, Lookups_Metadata!$A$4:$B$7, 2, FALSE())</f>
        <v>Spring</v>
      </c>
      <c r="E318" s="43" t="n">
        <v>0</v>
      </c>
      <c r="F318" s="43" t="n">
        <v>1</v>
      </c>
      <c r="G318" s="43" t="n">
        <v>13</v>
      </c>
      <c r="H318" s="45" t="b">
        <f aca="false">FALSE()</f>
        <v>0</v>
      </c>
      <c r="I318" s="43" t="n">
        <v>5</v>
      </c>
      <c r="J318" s="33" t="str">
        <f aca="false">INDEX(Lookups_Metadata!$E$4:$E$10, MATCH(I318, Lookups_Metadata!$D$4:$D$10, 0))</f>
        <v>Friday</v>
      </c>
      <c r="K318" s="33" t="str">
        <f aca="false">IF(H318=TRUE(), "Holiday", IF(OR(I318=0, I318=6), "Weekend", "Weekday"))</f>
        <v>Weekday</v>
      </c>
      <c r="L318" s="33" t="str">
        <f aca="false">IF(AND(K318="Weekday", OR(AND(G318&gt;=7, G318&lt;=9), AND(G318&gt;=17, G318&lt;=19))), "Peak Commute", "Off-Peak")</f>
        <v>Off-Peak</v>
      </c>
      <c r="M318" s="43" t="n">
        <v>1</v>
      </c>
      <c r="N318" s="33" t="str">
        <f aca="false">VLOOKUP(M318, Lookups_Metadata!$G$4:$H$7, 2, FALSE())</f>
        <v>Clear / Few Clouds</v>
      </c>
      <c r="O318" s="46" t="n">
        <v>0.22</v>
      </c>
      <c r="P318" s="46" t="n">
        <v>0.197</v>
      </c>
      <c r="Q318" s="46" t="n">
        <f aca="false">IF(OR(P318="", ISBLANK(P318)), ROUND(0.9367*O318+0.0175, 4), P318)</f>
        <v>0.197</v>
      </c>
      <c r="R318" s="33" t="str">
        <f aca="false">IF(OR(P318="", ISBLANK(P318)), "Imputed (Regression/Trend)", "Original")</f>
        <v>Original</v>
      </c>
      <c r="S318" s="46" t="n">
        <v>0.37</v>
      </c>
      <c r="T318" s="46" t="n">
        <v>0.3881</v>
      </c>
      <c r="U318" s="18" t="n">
        <v>4</v>
      </c>
      <c r="V318" s="18" t="n">
        <v>73</v>
      </c>
      <c r="W318" s="18" t="n">
        <f aca="false">U318+V318</f>
        <v>77</v>
      </c>
      <c r="X318" s="47" t="n">
        <f aca="false">U318/W318</f>
        <v>0.051948051948052</v>
      </c>
      <c r="Y318" s="47" t="n">
        <f aca="false">V318/W318</f>
        <v>0.948051948051948</v>
      </c>
      <c r="Z318" s="33" t="str">
        <f aca="false">IF(W318&gt;=150, "High Demand", IF(W318&gt;=50, "Moderate Demand", "Low Demand"))</f>
        <v>Moderate Demand</v>
      </c>
      <c r="AA318" s="45" t="str">
        <f aca="false">TEXT(G318, "00") &amp; ":00"</f>
        <v>13:00</v>
      </c>
      <c r="AB318" s="43" t="n">
        <f aca="false">YEAR(B318)</f>
        <v>2011</v>
      </c>
      <c r="AC318" s="33" t="str">
        <f aca="false">TEXT(B318, "mmmm")</f>
        <v>January</v>
      </c>
      <c r="AD318" s="43" t="n">
        <f aca="false">LEN(TEXT(B318, "YYYY-MM-DD"))</f>
        <v>10</v>
      </c>
      <c r="AE318" s="45" t="str">
        <f aca="false">LEFT(TEXT(B318, "YYYY-MM-DD"), 4)</f>
        <v>2011</v>
      </c>
      <c r="AF318" s="45" t="str">
        <f aca="false">RIGHT(TEXT(B318, "YYYY-MM-DD"), 2)</f>
        <v>14</v>
      </c>
    </row>
    <row r="319" customFormat="false" ht="15" hidden="false" customHeight="false" outlineLevel="0" collapsed="false">
      <c r="A319" s="37" t="n">
        <v>315</v>
      </c>
      <c r="B319" s="38" t="s">
        <v>90</v>
      </c>
      <c r="C319" s="37" t="n">
        <v>1</v>
      </c>
      <c r="D319" s="35" t="str">
        <f aca="false">VLOOKUP(C319, Lookups_Metadata!$A$4:$B$7, 2, FALSE())</f>
        <v>Spring</v>
      </c>
      <c r="E319" s="37" t="n">
        <v>0</v>
      </c>
      <c r="F319" s="37" t="n">
        <v>1</v>
      </c>
      <c r="G319" s="37" t="n">
        <v>14</v>
      </c>
      <c r="H319" s="39" t="b">
        <f aca="false">FALSE()</f>
        <v>0</v>
      </c>
      <c r="I319" s="37" t="n">
        <v>5</v>
      </c>
      <c r="J319" s="35" t="str">
        <f aca="false">INDEX(Lookups_Metadata!$E$4:$E$10, MATCH(I319, Lookups_Metadata!$D$4:$D$10, 0))</f>
        <v>Friday</v>
      </c>
      <c r="K319" s="35" t="str">
        <f aca="false">IF(H319=TRUE(), "Holiday", IF(OR(I319=0, I319=6), "Weekend", "Weekday"))</f>
        <v>Weekday</v>
      </c>
      <c r="L319" s="35" t="str">
        <f aca="false">IF(AND(K319="Weekday", OR(AND(G319&gt;=7, G319&lt;=9), AND(G319&gt;=17, G319&lt;=19))), "Peak Commute", "Off-Peak")</f>
        <v>Off-Peak</v>
      </c>
      <c r="M319" s="37" t="n">
        <v>1</v>
      </c>
      <c r="N319" s="35" t="str">
        <f aca="false">VLOOKUP(M319, Lookups_Metadata!$G$4:$H$7, 2, FALSE())</f>
        <v>Clear / Few Clouds</v>
      </c>
      <c r="O319" s="40" t="n">
        <v>0.22</v>
      </c>
      <c r="P319" s="40" t="n">
        <v>0.2121</v>
      </c>
      <c r="Q319" s="40" t="n">
        <f aca="false">IF(OR(P319="", ISBLANK(P319)), ROUND(0.9367*O319+0.0175, 4), P319)</f>
        <v>0.2121</v>
      </c>
      <c r="R319" s="35" t="str">
        <f aca="false">IF(OR(P319="", ISBLANK(P319)), "Imputed (Regression/Trend)", "Original")</f>
        <v>Original</v>
      </c>
      <c r="S319" s="40" t="n">
        <v>0.41</v>
      </c>
      <c r="T319" s="40" t="n">
        <v>0.2836</v>
      </c>
      <c r="U319" s="41" t="n">
        <v>5</v>
      </c>
      <c r="V319" s="41" t="n">
        <v>59</v>
      </c>
      <c r="W319" s="41" t="n">
        <f aca="false">U319+V319</f>
        <v>64</v>
      </c>
      <c r="X319" s="42" t="n">
        <f aca="false">U319/W319</f>
        <v>0.078125</v>
      </c>
      <c r="Y319" s="42" t="n">
        <f aca="false">V319/W319</f>
        <v>0.921875</v>
      </c>
      <c r="Z319" s="35" t="str">
        <f aca="false">IF(W319&gt;=150, "High Demand", IF(W319&gt;=50, "Moderate Demand", "Low Demand"))</f>
        <v>Moderate Demand</v>
      </c>
      <c r="AA319" s="39" t="str">
        <f aca="false">TEXT(G319, "00") &amp; ":00"</f>
        <v>14:00</v>
      </c>
      <c r="AB319" s="37" t="n">
        <f aca="false">YEAR(B319)</f>
        <v>2011</v>
      </c>
      <c r="AC319" s="35" t="str">
        <f aca="false">TEXT(B319, "mmmm")</f>
        <v>January</v>
      </c>
      <c r="AD319" s="37" t="n">
        <f aca="false">LEN(TEXT(B319, "YYYY-MM-DD"))</f>
        <v>10</v>
      </c>
      <c r="AE319" s="39" t="str">
        <f aca="false">LEFT(TEXT(B319, "YYYY-MM-DD"), 4)</f>
        <v>2011</v>
      </c>
      <c r="AF319" s="39" t="str">
        <f aca="false">RIGHT(TEXT(B319, "YYYY-MM-DD"), 2)</f>
        <v>14</v>
      </c>
    </row>
    <row r="320" customFormat="false" ht="15" hidden="false" customHeight="false" outlineLevel="0" collapsed="false">
      <c r="A320" s="43" t="n">
        <v>316</v>
      </c>
      <c r="B320" s="44" t="s">
        <v>90</v>
      </c>
      <c r="C320" s="43" t="n">
        <v>1</v>
      </c>
      <c r="D320" s="33" t="str">
        <f aca="false">VLOOKUP(C320, Lookups_Metadata!$A$4:$B$7, 2, FALSE())</f>
        <v>Spring</v>
      </c>
      <c r="E320" s="43" t="n">
        <v>0</v>
      </c>
      <c r="F320" s="43" t="n">
        <v>1</v>
      </c>
      <c r="G320" s="43" t="n">
        <v>15</v>
      </c>
      <c r="H320" s="45" t="b">
        <f aca="false">FALSE()</f>
        <v>0</v>
      </c>
      <c r="I320" s="43" t="n">
        <v>5</v>
      </c>
      <c r="J320" s="33" t="str">
        <f aca="false">INDEX(Lookups_Metadata!$E$4:$E$10, MATCH(I320, Lookups_Metadata!$D$4:$D$10, 0))</f>
        <v>Friday</v>
      </c>
      <c r="K320" s="33" t="str">
        <f aca="false">IF(H320=TRUE(), "Holiday", IF(OR(I320=0, I320=6), "Weekend", "Weekday"))</f>
        <v>Weekday</v>
      </c>
      <c r="L320" s="33" t="str">
        <f aca="false">IF(AND(K320="Weekday", OR(AND(G320&gt;=7, G320&lt;=9), AND(G320&gt;=17, G320&lt;=19))), "Peak Commute", "Off-Peak")</f>
        <v>Off-Peak</v>
      </c>
      <c r="M320" s="43" t="n">
        <v>1</v>
      </c>
      <c r="N320" s="33" t="str">
        <f aca="false">VLOOKUP(M320, Lookups_Metadata!$G$4:$H$7, 2, FALSE())</f>
        <v>Clear / Few Clouds</v>
      </c>
      <c r="O320" s="46" t="n">
        <v>0.24</v>
      </c>
      <c r="P320" s="46" t="n">
        <v>0.2424</v>
      </c>
      <c r="Q320" s="46" t="n">
        <f aca="false">IF(OR(P320="", ISBLANK(P320)), ROUND(0.9367*O320+0.0175, 4), P320)</f>
        <v>0.2424</v>
      </c>
      <c r="R320" s="33" t="str">
        <f aca="false">IF(OR(P320="", ISBLANK(P320)), "Imputed (Regression/Trend)", "Original")</f>
        <v>Original</v>
      </c>
      <c r="S320" s="46" t="n">
        <v>0.38</v>
      </c>
      <c r="T320" s="46" t="n">
        <v>0.1642</v>
      </c>
      <c r="U320" s="18" t="n">
        <v>9</v>
      </c>
      <c r="V320" s="18" t="n">
        <v>59</v>
      </c>
      <c r="W320" s="18" t="n">
        <f aca="false">U320+V320</f>
        <v>68</v>
      </c>
      <c r="X320" s="47" t="n">
        <f aca="false">U320/W320</f>
        <v>0.132352941176471</v>
      </c>
      <c r="Y320" s="47" t="n">
        <f aca="false">V320/W320</f>
        <v>0.867647058823529</v>
      </c>
      <c r="Z320" s="33" t="str">
        <f aca="false">IF(W320&gt;=150, "High Demand", IF(W320&gt;=50, "Moderate Demand", "Low Demand"))</f>
        <v>Moderate Demand</v>
      </c>
      <c r="AA320" s="45" t="str">
        <f aca="false">TEXT(G320, "00") &amp; ":00"</f>
        <v>15:00</v>
      </c>
      <c r="AB320" s="43" t="n">
        <f aca="false">YEAR(B320)</f>
        <v>2011</v>
      </c>
      <c r="AC320" s="33" t="str">
        <f aca="false">TEXT(B320, "mmmm")</f>
        <v>January</v>
      </c>
      <c r="AD320" s="43" t="n">
        <f aca="false">LEN(TEXT(B320, "YYYY-MM-DD"))</f>
        <v>10</v>
      </c>
      <c r="AE320" s="45" t="str">
        <f aca="false">LEFT(TEXT(B320, "YYYY-MM-DD"), 4)</f>
        <v>2011</v>
      </c>
      <c r="AF320" s="45" t="str">
        <f aca="false">RIGHT(TEXT(B320, "YYYY-MM-DD"), 2)</f>
        <v>14</v>
      </c>
    </row>
    <row r="321" customFormat="false" ht="15" hidden="false" customHeight="false" outlineLevel="0" collapsed="false">
      <c r="A321" s="37" t="n">
        <v>317</v>
      </c>
      <c r="B321" s="38" t="s">
        <v>90</v>
      </c>
      <c r="C321" s="37" t="n">
        <v>1</v>
      </c>
      <c r="D321" s="35" t="str">
        <f aca="false">VLOOKUP(C321, Lookups_Metadata!$A$4:$B$7, 2, FALSE())</f>
        <v>Spring</v>
      </c>
      <c r="E321" s="37" t="n">
        <v>0</v>
      </c>
      <c r="F321" s="37" t="n">
        <v>1</v>
      </c>
      <c r="G321" s="37" t="n">
        <v>16</v>
      </c>
      <c r="H321" s="39" t="b">
        <f aca="false">FALSE()</f>
        <v>0</v>
      </c>
      <c r="I321" s="37" t="n">
        <v>5</v>
      </c>
      <c r="J321" s="35" t="str">
        <f aca="false">INDEX(Lookups_Metadata!$E$4:$E$10, MATCH(I321, Lookups_Metadata!$D$4:$D$10, 0))</f>
        <v>Friday</v>
      </c>
      <c r="K321" s="35" t="str">
        <f aca="false">IF(H321=TRUE(), "Holiday", IF(OR(I321=0, I321=6), "Weekend", "Weekday"))</f>
        <v>Weekday</v>
      </c>
      <c r="L321" s="35" t="str">
        <f aca="false">IF(AND(K321="Weekday", OR(AND(G321&gt;=7, G321&lt;=9), AND(G321&gt;=17, G321&lt;=19))), "Peak Commute", "Off-Peak")</f>
        <v>Off-Peak</v>
      </c>
      <c r="M321" s="37" t="n">
        <v>1</v>
      </c>
      <c r="N321" s="35" t="str">
        <f aca="false">VLOOKUP(M321, Lookups_Metadata!$G$4:$H$7, 2, FALSE())</f>
        <v>Clear / Few Clouds</v>
      </c>
      <c r="O321" s="40" t="n">
        <v>0.22</v>
      </c>
      <c r="P321" s="40" t="n">
        <v>0.2424</v>
      </c>
      <c r="Q321" s="40" t="n">
        <f aca="false">IF(OR(P321="", ISBLANK(P321)), ROUND(0.9367*O321+0.0175, 4), P321)</f>
        <v>0.2424</v>
      </c>
      <c r="R321" s="35" t="str">
        <f aca="false">IF(OR(P321="", ISBLANK(P321)), "Imputed (Regression/Trend)", "Original")</f>
        <v>Original</v>
      </c>
      <c r="S321" s="40" t="n">
        <v>0.41</v>
      </c>
      <c r="T321" s="40" t="n">
        <v>0.1045</v>
      </c>
      <c r="U321" s="41" t="n">
        <v>3</v>
      </c>
      <c r="V321" s="41" t="n">
        <v>87</v>
      </c>
      <c r="W321" s="41" t="n">
        <f aca="false">U321+V321</f>
        <v>90</v>
      </c>
      <c r="X321" s="42" t="n">
        <f aca="false">U321/W321</f>
        <v>0.0333333333333333</v>
      </c>
      <c r="Y321" s="42" t="n">
        <f aca="false">V321/W321</f>
        <v>0.966666666666667</v>
      </c>
      <c r="Z321" s="35" t="str">
        <f aca="false">IF(W321&gt;=150, "High Demand", IF(W321&gt;=50, "Moderate Demand", "Low Demand"))</f>
        <v>Moderate Demand</v>
      </c>
      <c r="AA321" s="39" t="str">
        <f aca="false">TEXT(G321, "00") &amp; ":00"</f>
        <v>16:00</v>
      </c>
      <c r="AB321" s="37" t="n">
        <f aca="false">YEAR(B321)</f>
        <v>2011</v>
      </c>
      <c r="AC321" s="35" t="str">
        <f aca="false">TEXT(B321, "mmmm")</f>
        <v>January</v>
      </c>
      <c r="AD321" s="37" t="n">
        <f aca="false">LEN(TEXT(B321, "YYYY-MM-DD"))</f>
        <v>10</v>
      </c>
      <c r="AE321" s="39" t="str">
        <f aca="false">LEFT(TEXT(B321, "YYYY-MM-DD"), 4)</f>
        <v>2011</v>
      </c>
      <c r="AF321" s="39" t="str">
        <f aca="false">RIGHT(TEXT(B321, "YYYY-MM-DD"), 2)</f>
        <v>14</v>
      </c>
    </row>
    <row r="322" customFormat="false" ht="15" hidden="false" customHeight="false" outlineLevel="0" collapsed="false">
      <c r="A322" s="43" t="n">
        <v>318</v>
      </c>
      <c r="B322" s="44" t="s">
        <v>90</v>
      </c>
      <c r="C322" s="43" t="n">
        <v>1</v>
      </c>
      <c r="D322" s="33" t="str">
        <f aca="false">VLOOKUP(C322, Lookups_Metadata!$A$4:$B$7, 2, FALSE())</f>
        <v>Spring</v>
      </c>
      <c r="E322" s="43" t="n">
        <v>0</v>
      </c>
      <c r="F322" s="43" t="n">
        <v>1</v>
      </c>
      <c r="G322" s="43" t="n">
        <v>17</v>
      </c>
      <c r="H322" s="45" t="b">
        <f aca="false">FALSE()</f>
        <v>0</v>
      </c>
      <c r="I322" s="43" t="n">
        <v>5</v>
      </c>
      <c r="J322" s="33" t="str">
        <f aca="false">INDEX(Lookups_Metadata!$E$4:$E$10, MATCH(I322, Lookups_Metadata!$D$4:$D$10, 0))</f>
        <v>Friday</v>
      </c>
      <c r="K322" s="33" t="str">
        <f aca="false">IF(H322=TRUE(), "Holiday", IF(OR(I322=0, I322=6), "Weekend", "Weekday"))</f>
        <v>Weekday</v>
      </c>
      <c r="L322" s="33" t="str">
        <f aca="false">IF(AND(K322="Weekday", OR(AND(G322&gt;=7, G322&lt;=9), AND(G322&gt;=17, G322&lt;=19))), "Peak Commute", "Off-Peak")</f>
        <v>Peak Commute</v>
      </c>
      <c r="M322" s="43" t="n">
        <v>1</v>
      </c>
      <c r="N322" s="33" t="str">
        <f aca="false">VLOOKUP(M322, Lookups_Metadata!$G$4:$H$7, 2, FALSE())</f>
        <v>Clear / Few Clouds</v>
      </c>
      <c r="O322" s="46" t="n">
        <v>0.22</v>
      </c>
      <c r="P322" s="46" t="n">
        <v>0.2273</v>
      </c>
      <c r="Q322" s="46" t="n">
        <f aca="false">IF(OR(P322="", ISBLANK(P322)), ROUND(0.9367*O322+0.0175, 4), P322)</f>
        <v>0.2273</v>
      </c>
      <c r="R322" s="33" t="str">
        <f aca="false">IF(OR(P322="", ISBLANK(P322)), "Imputed (Regression/Trend)", "Original")</f>
        <v>Original</v>
      </c>
      <c r="S322" s="46" t="n">
        <v>0.41</v>
      </c>
      <c r="T322" s="46" t="n">
        <v>0.1642</v>
      </c>
      <c r="U322" s="18" t="n">
        <v>4</v>
      </c>
      <c r="V322" s="18" t="n">
        <v>155</v>
      </c>
      <c r="W322" s="18" t="n">
        <f aca="false">U322+V322</f>
        <v>159</v>
      </c>
      <c r="X322" s="47" t="n">
        <f aca="false">U322/W322</f>
        <v>0.0251572327044025</v>
      </c>
      <c r="Y322" s="47" t="n">
        <f aca="false">V322/W322</f>
        <v>0.974842767295598</v>
      </c>
      <c r="Z322" s="33" t="str">
        <f aca="false">IF(W322&gt;=150, "High Demand", IF(W322&gt;=50, "Moderate Demand", "Low Demand"))</f>
        <v>High Demand</v>
      </c>
      <c r="AA322" s="45" t="str">
        <f aca="false">TEXT(G322, "00") &amp; ":00"</f>
        <v>17:00</v>
      </c>
      <c r="AB322" s="43" t="n">
        <f aca="false">YEAR(B322)</f>
        <v>2011</v>
      </c>
      <c r="AC322" s="33" t="str">
        <f aca="false">TEXT(B322, "mmmm")</f>
        <v>January</v>
      </c>
      <c r="AD322" s="43" t="n">
        <f aca="false">LEN(TEXT(B322, "YYYY-MM-DD"))</f>
        <v>10</v>
      </c>
      <c r="AE322" s="45" t="str">
        <f aca="false">LEFT(TEXT(B322, "YYYY-MM-DD"), 4)</f>
        <v>2011</v>
      </c>
      <c r="AF322" s="45" t="str">
        <f aca="false">RIGHT(TEXT(B322, "YYYY-MM-DD"), 2)</f>
        <v>14</v>
      </c>
    </row>
    <row r="323" customFormat="false" ht="15" hidden="false" customHeight="false" outlineLevel="0" collapsed="false">
      <c r="A323" s="37" t="n">
        <v>319</v>
      </c>
      <c r="B323" s="38" t="s">
        <v>90</v>
      </c>
      <c r="C323" s="37" t="n">
        <v>1</v>
      </c>
      <c r="D323" s="35" t="str">
        <f aca="false">VLOOKUP(C323, Lookups_Metadata!$A$4:$B$7, 2, FALSE())</f>
        <v>Spring</v>
      </c>
      <c r="E323" s="37" t="n">
        <v>0</v>
      </c>
      <c r="F323" s="37" t="n">
        <v>1</v>
      </c>
      <c r="G323" s="37" t="n">
        <v>18</v>
      </c>
      <c r="H323" s="39" t="b">
        <f aca="false">FALSE()</f>
        <v>0</v>
      </c>
      <c r="I323" s="37" t="n">
        <v>5</v>
      </c>
      <c r="J323" s="35" t="str">
        <f aca="false">INDEX(Lookups_Metadata!$E$4:$E$10, MATCH(I323, Lookups_Metadata!$D$4:$D$10, 0))</f>
        <v>Friday</v>
      </c>
      <c r="K323" s="35" t="str">
        <f aca="false">IF(H323=TRUE(), "Holiday", IF(OR(I323=0, I323=6), "Weekend", "Weekday"))</f>
        <v>Weekday</v>
      </c>
      <c r="L323" s="35" t="str">
        <f aca="false">IF(AND(K323="Weekday", OR(AND(G323&gt;=7, G323&lt;=9), AND(G323&gt;=17, G323&lt;=19))), "Peak Commute", "Off-Peak")</f>
        <v>Peak Commute</v>
      </c>
      <c r="M323" s="37" t="n">
        <v>1</v>
      </c>
      <c r="N323" s="35" t="str">
        <f aca="false">VLOOKUP(M323, Lookups_Metadata!$G$4:$H$7, 2, FALSE())</f>
        <v>Clear / Few Clouds</v>
      </c>
      <c r="O323" s="40" t="n">
        <v>0.2</v>
      </c>
      <c r="P323" s="40" t="n">
        <v>0.2576</v>
      </c>
      <c r="Q323" s="40" t="n">
        <f aca="false">IF(OR(P323="", ISBLANK(P323)), ROUND(0.9367*O323+0.0175, 4), P323)</f>
        <v>0.2576</v>
      </c>
      <c r="R323" s="35" t="str">
        <f aca="false">IF(OR(P323="", ISBLANK(P323)), "Imputed (Regression/Trend)", "Original")</f>
        <v>Original</v>
      </c>
      <c r="S323" s="40" t="n">
        <v>0.47</v>
      </c>
      <c r="T323" s="40" t="n">
        <v>0</v>
      </c>
      <c r="U323" s="41" t="n">
        <v>5</v>
      </c>
      <c r="V323" s="41" t="n">
        <v>134</v>
      </c>
      <c r="W323" s="41" t="n">
        <f aca="false">U323+V323</f>
        <v>139</v>
      </c>
      <c r="X323" s="42" t="n">
        <f aca="false">U323/W323</f>
        <v>0.0359712230215827</v>
      </c>
      <c r="Y323" s="42" t="n">
        <f aca="false">V323/W323</f>
        <v>0.964028776978417</v>
      </c>
      <c r="Z323" s="35" t="str">
        <f aca="false">IF(W323&gt;=150, "High Demand", IF(W323&gt;=50, "Moderate Demand", "Low Demand"))</f>
        <v>Moderate Demand</v>
      </c>
      <c r="AA323" s="39" t="str">
        <f aca="false">TEXT(G323, "00") &amp; ":00"</f>
        <v>18:00</v>
      </c>
      <c r="AB323" s="37" t="n">
        <f aca="false">YEAR(B323)</f>
        <v>2011</v>
      </c>
      <c r="AC323" s="35" t="str">
        <f aca="false">TEXT(B323, "mmmm")</f>
        <v>January</v>
      </c>
      <c r="AD323" s="37" t="n">
        <f aca="false">LEN(TEXT(B323, "YYYY-MM-DD"))</f>
        <v>10</v>
      </c>
      <c r="AE323" s="39" t="str">
        <f aca="false">LEFT(TEXT(B323, "YYYY-MM-DD"), 4)</f>
        <v>2011</v>
      </c>
      <c r="AF323" s="39" t="str">
        <f aca="false">RIGHT(TEXT(B323, "YYYY-MM-DD"), 2)</f>
        <v>14</v>
      </c>
    </row>
    <row r="324" customFormat="false" ht="15" hidden="false" customHeight="false" outlineLevel="0" collapsed="false">
      <c r="A324" s="43" t="n">
        <v>320</v>
      </c>
      <c r="B324" s="44" t="s">
        <v>90</v>
      </c>
      <c r="C324" s="43" t="n">
        <v>1</v>
      </c>
      <c r="D324" s="33" t="str">
        <f aca="false">VLOOKUP(C324, Lookups_Metadata!$A$4:$B$7, 2, FALSE())</f>
        <v>Spring</v>
      </c>
      <c r="E324" s="43" t="n">
        <v>0</v>
      </c>
      <c r="F324" s="43" t="n">
        <v>1</v>
      </c>
      <c r="G324" s="43" t="n">
        <v>19</v>
      </c>
      <c r="H324" s="45" t="b">
        <f aca="false">FALSE()</f>
        <v>0</v>
      </c>
      <c r="I324" s="43" t="n">
        <v>5</v>
      </c>
      <c r="J324" s="33" t="str">
        <f aca="false">INDEX(Lookups_Metadata!$E$4:$E$10, MATCH(I324, Lookups_Metadata!$D$4:$D$10, 0))</f>
        <v>Friday</v>
      </c>
      <c r="K324" s="33" t="str">
        <f aca="false">IF(H324=TRUE(), "Holiday", IF(OR(I324=0, I324=6), "Weekend", "Weekday"))</f>
        <v>Weekday</v>
      </c>
      <c r="L324" s="33" t="str">
        <f aca="false">IF(AND(K324="Weekday", OR(AND(G324&gt;=7, G324&lt;=9), AND(G324&gt;=17, G324&lt;=19))), "Peak Commute", "Off-Peak")</f>
        <v>Peak Commute</v>
      </c>
      <c r="M324" s="43" t="n">
        <v>1</v>
      </c>
      <c r="N324" s="33" t="str">
        <f aca="false">VLOOKUP(M324, Lookups_Metadata!$G$4:$H$7, 2, FALSE())</f>
        <v>Clear / Few Clouds</v>
      </c>
      <c r="O324" s="46" t="n">
        <v>0.16</v>
      </c>
      <c r="P324" s="46" t="n">
        <v>0.197</v>
      </c>
      <c r="Q324" s="46" t="n">
        <f aca="false">IF(OR(P324="", ISBLANK(P324)), ROUND(0.9367*O324+0.0175, 4), P324)</f>
        <v>0.197</v>
      </c>
      <c r="R324" s="33" t="str">
        <f aca="false">IF(OR(P324="", ISBLANK(P324)), "Imputed (Regression/Trend)", "Original")</f>
        <v>Original</v>
      </c>
      <c r="S324" s="46" t="n">
        <v>0.59</v>
      </c>
      <c r="T324" s="46" t="n">
        <v>0.0896</v>
      </c>
      <c r="U324" s="18" t="n">
        <v>3</v>
      </c>
      <c r="V324" s="18" t="n">
        <v>89</v>
      </c>
      <c r="W324" s="18" t="n">
        <f aca="false">U324+V324</f>
        <v>92</v>
      </c>
      <c r="X324" s="47" t="n">
        <f aca="false">U324/W324</f>
        <v>0.0326086956521739</v>
      </c>
      <c r="Y324" s="47" t="n">
        <f aca="false">V324/W324</f>
        <v>0.967391304347826</v>
      </c>
      <c r="Z324" s="33" t="str">
        <f aca="false">IF(W324&gt;=150, "High Demand", IF(W324&gt;=50, "Moderate Demand", "Low Demand"))</f>
        <v>Moderate Demand</v>
      </c>
      <c r="AA324" s="45" t="str">
        <f aca="false">TEXT(G324, "00") &amp; ":00"</f>
        <v>19:00</v>
      </c>
      <c r="AB324" s="43" t="n">
        <f aca="false">YEAR(B324)</f>
        <v>2011</v>
      </c>
      <c r="AC324" s="33" t="str">
        <f aca="false">TEXT(B324, "mmmm")</f>
        <v>January</v>
      </c>
      <c r="AD324" s="43" t="n">
        <f aca="false">LEN(TEXT(B324, "YYYY-MM-DD"))</f>
        <v>10</v>
      </c>
      <c r="AE324" s="45" t="str">
        <f aca="false">LEFT(TEXT(B324, "YYYY-MM-DD"), 4)</f>
        <v>2011</v>
      </c>
      <c r="AF324" s="45" t="str">
        <f aca="false">RIGHT(TEXT(B324, "YYYY-MM-DD"), 2)</f>
        <v>14</v>
      </c>
    </row>
    <row r="325" customFormat="false" ht="15" hidden="false" customHeight="false" outlineLevel="0" collapsed="false">
      <c r="A325" s="37" t="n">
        <v>321</v>
      </c>
      <c r="B325" s="38" t="s">
        <v>90</v>
      </c>
      <c r="C325" s="37" t="n">
        <v>1</v>
      </c>
      <c r="D325" s="35" t="str">
        <f aca="false">VLOOKUP(C325, Lookups_Metadata!$A$4:$B$7, 2, FALSE())</f>
        <v>Spring</v>
      </c>
      <c r="E325" s="37" t="n">
        <v>0</v>
      </c>
      <c r="F325" s="37" t="n">
        <v>1</v>
      </c>
      <c r="G325" s="37" t="n">
        <v>20</v>
      </c>
      <c r="H325" s="39" t="b">
        <f aca="false">FALSE()</f>
        <v>0</v>
      </c>
      <c r="I325" s="37" t="n">
        <v>5</v>
      </c>
      <c r="J325" s="35" t="str">
        <f aca="false">INDEX(Lookups_Metadata!$E$4:$E$10, MATCH(I325, Lookups_Metadata!$D$4:$D$10, 0))</f>
        <v>Friday</v>
      </c>
      <c r="K325" s="35" t="str">
        <f aca="false">IF(H325=TRUE(), "Holiday", IF(OR(I325=0, I325=6), "Weekend", "Weekday"))</f>
        <v>Weekday</v>
      </c>
      <c r="L325" s="35" t="str">
        <f aca="false">IF(AND(K325="Weekday", OR(AND(G325&gt;=7, G325&lt;=9), AND(G325&gt;=17, G325&lt;=19))), "Peak Commute", "Off-Peak")</f>
        <v>Off-Peak</v>
      </c>
      <c r="M325" s="37" t="n">
        <v>1</v>
      </c>
      <c r="N325" s="35" t="str">
        <f aca="false">VLOOKUP(M325, Lookups_Metadata!$G$4:$H$7, 2, FALSE())</f>
        <v>Clear / Few Clouds</v>
      </c>
      <c r="O325" s="40" t="n">
        <v>0.18</v>
      </c>
      <c r="P325" s="40" t="n">
        <v>0.2424</v>
      </c>
      <c r="Q325" s="40" t="n">
        <f aca="false">IF(OR(P325="", ISBLANK(P325)), ROUND(0.9367*O325+0.0175, 4), P325)</f>
        <v>0.2424</v>
      </c>
      <c r="R325" s="35" t="str">
        <f aca="false">IF(OR(P325="", ISBLANK(P325)), "Imputed (Regression/Trend)", "Original")</f>
        <v>Original</v>
      </c>
      <c r="S325" s="40" t="n">
        <v>0.59</v>
      </c>
      <c r="T325" s="40" t="n">
        <v>0</v>
      </c>
      <c r="U325" s="41" t="n">
        <v>0</v>
      </c>
      <c r="V325" s="41" t="n">
        <v>68</v>
      </c>
      <c r="W325" s="41" t="n">
        <f aca="false">U325+V325</f>
        <v>68</v>
      </c>
      <c r="X325" s="42" t="n">
        <f aca="false">U325/W325</f>
        <v>0</v>
      </c>
      <c r="Y325" s="42" t="n">
        <f aca="false">V325/W325</f>
        <v>1</v>
      </c>
      <c r="Z325" s="35" t="str">
        <f aca="false">IF(W325&gt;=150, "High Demand", IF(W325&gt;=50, "Moderate Demand", "Low Demand"))</f>
        <v>Moderate Demand</v>
      </c>
      <c r="AA325" s="39" t="str">
        <f aca="false">TEXT(G325, "00") &amp; ":00"</f>
        <v>20:00</v>
      </c>
      <c r="AB325" s="37" t="n">
        <f aca="false">YEAR(B325)</f>
        <v>2011</v>
      </c>
      <c r="AC325" s="35" t="str">
        <f aca="false">TEXT(B325, "mmmm")</f>
        <v>January</v>
      </c>
      <c r="AD325" s="37" t="n">
        <f aca="false">LEN(TEXT(B325, "YYYY-MM-DD"))</f>
        <v>10</v>
      </c>
      <c r="AE325" s="39" t="str">
        <f aca="false">LEFT(TEXT(B325, "YYYY-MM-DD"), 4)</f>
        <v>2011</v>
      </c>
      <c r="AF325" s="39" t="str">
        <f aca="false">RIGHT(TEXT(B325, "YYYY-MM-DD"), 2)</f>
        <v>14</v>
      </c>
    </row>
    <row r="326" customFormat="false" ht="15" hidden="false" customHeight="false" outlineLevel="0" collapsed="false">
      <c r="A326" s="43" t="n">
        <v>322</v>
      </c>
      <c r="B326" s="44" t="s">
        <v>90</v>
      </c>
      <c r="C326" s="43" t="n">
        <v>1</v>
      </c>
      <c r="D326" s="33" t="str">
        <f aca="false">VLOOKUP(C326, Lookups_Metadata!$A$4:$B$7, 2, FALSE())</f>
        <v>Spring</v>
      </c>
      <c r="E326" s="43" t="n">
        <v>0</v>
      </c>
      <c r="F326" s="43" t="n">
        <v>1</v>
      </c>
      <c r="G326" s="43" t="n">
        <v>21</v>
      </c>
      <c r="H326" s="45" t="b">
        <f aca="false">FALSE()</f>
        <v>0</v>
      </c>
      <c r="I326" s="43" t="n">
        <v>5</v>
      </c>
      <c r="J326" s="33" t="str">
        <f aca="false">INDEX(Lookups_Metadata!$E$4:$E$10, MATCH(I326, Lookups_Metadata!$D$4:$D$10, 0))</f>
        <v>Friday</v>
      </c>
      <c r="K326" s="33" t="str">
        <f aca="false">IF(H326=TRUE(), "Holiday", IF(OR(I326=0, I326=6), "Weekend", "Weekday"))</f>
        <v>Weekday</v>
      </c>
      <c r="L326" s="33" t="str">
        <f aca="false">IF(AND(K326="Weekday", OR(AND(G326&gt;=7, G326&lt;=9), AND(G326&gt;=17, G326&lt;=19))), "Peak Commute", "Off-Peak")</f>
        <v>Off-Peak</v>
      </c>
      <c r="M326" s="43" t="n">
        <v>1</v>
      </c>
      <c r="N326" s="33" t="str">
        <f aca="false">VLOOKUP(M326, Lookups_Metadata!$G$4:$H$7, 2, FALSE())</f>
        <v>Clear / Few Clouds</v>
      </c>
      <c r="O326" s="46" t="n">
        <v>0.16</v>
      </c>
      <c r="P326" s="46" t="n">
        <v>0.2273</v>
      </c>
      <c r="Q326" s="46" t="n">
        <f aca="false">IF(OR(P326="", ISBLANK(P326)), ROUND(0.9367*O326+0.0175, 4), P326)</f>
        <v>0.2273</v>
      </c>
      <c r="R326" s="33" t="str">
        <f aca="false">IF(OR(P326="", ISBLANK(P326)), "Imputed (Regression/Trend)", "Original")</f>
        <v>Original</v>
      </c>
      <c r="S326" s="46" t="n">
        <v>0.69</v>
      </c>
      <c r="T326" s="46" t="n">
        <v>0</v>
      </c>
      <c r="U326" s="18" t="n">
        <v>4</v>
      </c>
      <c r="V326" s="18" t="n">
        <v>48</v>
      </c>
      <c r="W326" s="18" t="n">
        <f aca="false">U326+V326</f>
        <v>52</v>
      </c>
      <c r="X326" s="47" t="n">
        <f aca="false">U326/W326</f>
        <v>0.0769230769230769</v>
      </c>
      <c r="Y326" s="47" t="n">
        <f aca="false">V326/W326</f>
        <v>0.923076923076923</v>
      </c>
      <c r="Z326" s="33" t="str">
        <f aca="false">IF(W326&gt;=150, "High Demand", IF(W326&gt;=50, "Moderate Demand", "Low Demand"))</f>
        <v>Moderate Demand</v>
      </c>
      <c r="AA326" s="45" t="str">
        <f aca="false">TEXT(G326, "00") &amp; ":00"</f>
        <v>21:00</v>
      </c>
      <c r="AB326" s="43" t="n">
        <f aca="false">YEAR(B326)</f>
        <v>2011</v>
      </c>
      <c r="AC326" s="33" t="str">
        <f aca="false">TEXT(B326, "mmmm")</f>
        <v>January</v>
      </c>
      <c r="AD326" s="43" t="n">
        <f aca="false">LEN(TEXT(B326, "YYYY-MM-DD"))</f>
        <v>10</v>
      </c>
      <c r="AE326" s="45" t="str">
        <f aca="false">LEFT(TEXT(B326, "YYYY-MM-DD"), 4)</f>
        <v>2011</v>
      </c>
      <c r="AF326" s="45" t="str">
        <f aca="false">RIGHT(TEXT(B326, "YYYY-MM-DD"), 2)</f>
        <v>14</v>
      </c>
    </row>
    <row r="327" customFormat="false" ht="15" hidden="false" customHeight="false" outlineLevel="0" collapsed="false">
      <c r="A327" s="37" t="n">
        <v>323</v>
      </c>
      <c r="B327" s="38" t="s">
        <v>90</v>
      </c>
      <c r="C327" s="37" t="n">
        <v>1</v>
      </c>
      <c r="D327" s="35" t="str">
        <f aca="false">VLOOKUP(C327, Lookups_Metadata!$A$4:$B$7, 2, FALSE())</f>
        <v>Spring</v>
      </c>
      <c r="E327" s="37" t="n">
        <v>0</v>
      </c>
      <c r="F327" s="37" t="n">
        <v>1</v>
      </c>
      <c r="G327" s="37" t="n">
        <v>22</v>
      </c>
      <c r="H327" s="39" t="b">
        <f aca="false">FALSE()</f>
        <v>0</v>
      </c>
      <c r="I327" s="37" t="n">
        <v>5</v>
      </c>
      <c r="J327" s="35" t="str">
        <f aca="false">INDEX(Lookups_Metadata!$E$4:$E$10, MATCH(I327, Lookups_Metadata!$D$4:$D$10, 0))</f>
        <v>Friday</v>
      </c>
      <c r="K327" s="35" t="str">
        <f aca="false">IF(H327=TRUE(), "Holiday", IF(OR(I327=0, I327=6), "Weekend", "Weekday"))</f>
        <v>Weekday</v>
      </c>
      <c r="L327" s="35" t="str">
        <f aca="false">IF(AND(K327="Weekday", OR(AND(G327&gt;=7, G327&lt;=9), AND(G327&gt;=17, G327&lt;=19))), "Peak Commute", "Off-Peak")</f>
        <v>Off-Peak</v>
      </c>
      <c r="M327" s="37" t="n">
        <v>2</v>
      </c>
      <c r="N327" s="35" t="str">
        <f aca="false">VLOOKUP(M327, Lookups_Metadata!$G$4:$H$7, 2, FALSE())</f>
        <v>Mist / Cloudy</v>
      </c>
      <c r="O327" s="40" t="n">
        <v>0.16</v>
      </c>
      <c r="P327" s="40" t="n">
        <v>0.2273</v>
      </c>
      <c r="Q327" s="40" t="n">
        <f aca="false">IF(OR(P327="", ISBLANK(P327)), ROUND(0.9367*O327+0.0175, 4), P327)</f>
        <v>0.2273</v>
      </c>
      <c r="R327" s="35" t="str">
        <f aca="false">IF(OR(P327="", ISBLANK(P327)), "Imputed (Regression/Trend)", "Original")</f>
        <v>Original</v>
      </c>
      <c r="S327" s="40" t="n">
        <v>0.69</v>
      </c>
      <c r="T327" s="40" t="n">
        <v>0</v>
      </c>
      <c r="U327" s="41" t="n">
        <v>2</v>
      </c>
      <c r="V327" s="41" t="n">
        <v>34</v>
      </c>
      <c r="W327" s="41" t="n">
        <f aca="false">U327+V327</f>
        <v>36</v>
      </c>
      <c r="X327" s="42" t="n">
        <f aca="false">U327/W327</f>
        <v>0.0555555555555556</v>
      </c>
      <c r="Y327" s="42" t="n">
        <f aca="false">V327/W327</f>
        <v>0.944444444444444</v>
      </c>
      <c r="Z327" s="35" t="str">
        <f aca="false">IF(W327&gt;=150, "High Demand", IF(W327&gt;=50, "Moderate Demand", "Low Demand"))</f>
        <v>Low Demand</v>
      </c>
      <c r="AA327" s="39" t="str">
        <f aca="false">TEXT(G327, "00") &amp; ":00"</f>
        <v>22:00</v>
      </c>
      <c r="AB327" s="37" t="n">
        <f aca="false">YEAR(B327)</f>
        <v>2011</v>
      </c>
      <c r="AC327" s="35" t="str">
        <f aca="false">TEXT(B327, "mmmm")</f>
        <v>January</v>
      </c>
      <c r="AD327" s="37" t="n">
        <f aca="false">LEN(TEXT(B327, "YYYY-MM-DD"))</f>
        <v>10</v>
      </c>
      <c r="AE327" s="39" t="str">
        <f aca="false">LEFT(TEXT(B327, "YYYY-MM-DD"), 4)</f>
        <v>2011</v>
      </c>
      <c r="AF327" s="39" t="str">
        <f aca="false">RIGHT(TEXT(B327, "YYYY-MM-DD"), 2)</f>
        <v>14</v>
      </c>
    </row>
    <row r="328" customFormat="false" ht="15" hidden="false" customHeight="false" outlineLevel="0" collapsed="false">
      <c r="A328" s="43" t="n">
        <v>324</v>
      </c>
      <c r="B328" s="44" t="s">
        <v>90</v>
      </c>
      <c r="C328" s="43" t="n">
        <v>1</v>
      </c>
      <c r="D328" s="33" t="str">
        <f aca="false">VLOOKUP(C328, Lookups_Metadata!$A$4:$B$7, 2, FALSE())</f>
        <v>Spring</v>
      </c>
      <c r="E328" s="43" t="n">
        <v>0</v>
      </c>
      <c r="F328" s="43" t="n">
        <v>1</v>
      </c>
      <c r="G328" s="43" t="n">
        <v>23</v>
      </c>
      <c r="H328" s="45" t="b">
        <f aca="false">FALSE()</f>
        <v>0</v>
      </c>
      <c r="I328" s="43" t="n">
        <v>5</v>
      </c>
      <c r="J328" s="33" t="str">
        <f aca="false">INDEX(Lookups_Metadata!$E$4:$E$10, MATCH(I328, Lookups_Metadata!$D$4:$D$10, 0))</f>
        <v>Friday</v>
      </c>
      <c r="K328" s="33" t="str">
        <f aca="false">IF(H328=TRUE(), "Holiday", IF(OR(I328=0, I328=6), "Weekend", "Weekday"))</f>
        <v>Weekday</v>
      </c>
      <c r="L328" s="33" t="str">
        <f aca="false">IF(AND(K328="Weekday", OR(AND(G328&gt;=7, G328&lt;=9), AND(G328&gt;=17, G328&lt;=19))), "Peak Commute", "Off-Peak")</f>
        <v>Off-Peak</v>
      </c>
      <c r="M328" s="43" t="n">
        <v>2</v>
      </c>
      <c r="N328" s="33" t="str">
        <f aca="false">VLOOKUP(M328, Lookups_Metadata!$G$4:$H$7, 2, FALSE())</f>
        <v>Mist / Cloudy</v>
      </c>
      <c r="O328" s="46" t="n">
        <v>0.18</v>
      </c>
      <c r="P328" s="46" t="n">
        <v>0.2424</v>
      </c>
      <c r="Q328" s="46" t="n">
        <f aca="false">IF(OR(P328="", ISBLANK(P328)), ROUND(0.9367*O328+0.0175, 4), P328)</f>
        <v>0.2424</v>
      </c>
      <c r="R328" s="33" t="str">
        <f aca="false">IF(OR(P328="", ISBLANK(P328)), "Imputed (Regression/Trend)", "Original")</f>
        <v>Original</v>
      </c>
      <c r="S328" s="46" t="n">
        <v>0.55</v>
      </c>
      <c r="T328" s="46" t="n">
        <v>0</v>
      </c>
      <c r="U328" s="18" t="n">
        <v>1</v>
      </c>
      <c r="V328" s="18" t="n">
        <v>26</v>
      </c>
      <c r="W328" s="18" t="n">
        <f aca="false">U328+V328</f>
        <v>27</v>
      </c>
      <c r="X328" s="47" t="n">
        <f aca="false">U328/W328</f>
        <v>0.037037037037037</v>
      </c>
      <c r="Y328" s="47" t="n">
        <f aca="false">V328/W328</f>
        <v>0.962962962962963</v>
      </c>
      <c r="Z328" s="33" t="str">
        <f aca="false">IF(W328&gt;=150, "High Demand", IF(W328&gt;=50, "Moderate Demand", "Low Demand"))</f>
        <v>Low Demand</v>
      </c>
      <c r="AA328" s="45" t="str">
        <f aca="false">TEXT(G328, "00") &amp; ":00"</f>
        <v>23:00</v>
      </c>
      <c r="AB328" s="43" t="n">
        <f aca="false">YEAR(B328)</f>
        <v>2011</v>
      </c>
      <c r="AC328" s="33" t="str">
        <f aca="false">TEXT(B328, "mmmm")</f>
        <v>January</v>
      </c>
      <c r="AD328" s="43" t="n">
        <f aca="false">LEN(TEXT(B328, "YYYY-MM-DD"))</f>
        <v>10</v>
      </c>
      <c r="AE328" s="45" t="str">
        <f aca="false">LEFT(TEXT(B328, "YYYY-MM-DD"), 4)</f>
        <v>2011</v>
      </c>
      <c r="AF328" s="45" t="str">
        <f aca="false">RIGHT(TEXT(B328, "YYYY-MM-DD"), 2)</f>
        <v>14</v>
      </c>
    </row>
    <row r="329" customFormat="false" ht="15" hidden="false" customHeight="false" outlineLevel="0" collapsed="false">
      <c r="A329" s="37" t="n">
        <v>325</v>
      </c>
      <c r="B329" s="38" t="s">
        <v>91</v>
      </c>
      <c r="C329" s="37" t="n">
        <v>1</v>
      </c>
      <c r="D329" s="35" t="str">
        <f aca="false">VLOOKUP(C329, Lookups_Metadata!$A$4:$B$7, 2, FALSE())</f>
        <v>Spring</v>
      </c>
      <c r="E329" s="37" t="n">
        <v>0</v>
      </c>
      <c r="F329" s="37" t="n">
        <v>1</v>
      </c>
      <c r="G329" s="37" t="n">
        <v>0</v>
      </c>
      <c r="H329" s="39" t="b">
        <f aca="false">FALSE()</f>
        <v>0</v>
      </c>
      <c r="I329" s="37" t="n">
        <v>6</v>
      </c>
      <c r="J329" s="35" t="str">
        <f aca="false">INDEX(Lookups_Metadata!$E$4:$E$10, MATCH(I329, Lookups_Metadata!$D$4:$D$10, 0))</f>
        <v>Saturday</v>
      </c>
      <c r="K329" s="35" t="str">
        <f aca="false">IF(H329=TRUE(), "Holiday", IF(OR(I329=0, I329=6), "Weekend", "Weekday"))</f>
        <v>Weekend</v>
      </c>
      <c r="L329" s="35" t="str">
        <f aca="false">IF(AND(K329="Weekday", OR(AND(G329&gt;=7, G329&lt;=9), AND(G329&gt;=17, G329&lt;=19))), "Peak Commute", "Off-Peak")</f>
        <v>Off-Peak</v>
      </c>
      <c r="M329" s="37" t="n">
        <v>1</v>
      </c>
      <c r="N329" s="35" t="str">
        <f aca="false">VLOOKUP(M329, Lookups_Metadata!$G$4:$H$7, 2, FALSE())</f>
        <v>Clear / Few Clouds</v>
      </c>
      <c r="O329" s="40" t="n">
        <v>0.18</v>
      </c>
      <c r="P329" s="40" t="n">
        <v>0.2424</v>
      </c>
      <c r="Q329" s="40" t="n">
        <f aca="false">IF(OR(P329="", ISBLANK(P329)), ROUND(0.9367*O329+0.0175, 4), P329)</f>
        <v>0.2424</v>
      </c>
      <c r="R329" s="35" t="str">
        <f aca="false">IF(OR(P329="", ISBLANK(P329)), "Imputed (Regression/Trend)", "Original")</f>
        <v>Original</v>
      </c>
      <c r="S329" s="40" t="n">
        <v>0.55</v>
      </c>
      <c r="T329" s="40" t="n">
        <v>0</v>
      </c>
      <c r="U329" s="41" t="n">
        <v>3</v>
      </c>
      <c r="V329" s="41" t="n">
        <v>25</v>
      </c>
      <c r="W329" s="41" t="n">
        <f aca="false">U329+V329</f>
        <v>28</v>
      </c>
      <c r="X329" s="42" t="n">
        <f aca="false">U329/W329</f>
        <v>0.107142857142857</v>
      </c>
      <c r="Y329" s="42" t="n">
        <f aca="false">V329/W329</f>
        <v>0.892857142857143</v>
      </c>
      <c r="Z329" s="35" t="str">
        <f aca="false">IF(W329&gt;=150, "High Demand", IF(W329&gt;=50, "Moderate Demand", "Low Demand"))</f>
        <v>Low Demand</v>
      </c>
      <c r="AA329" s="39" t="str">
        <f aca="false">TEXT(G329, "00") &amp; ":00"</f>
        <v>00:00</v>
      </c>
      <c r="AB329" s="37" t="n">
        <f aca="false">YEAR(B329)</f>
        <v>2011</v>
      </c>
      <c r="AC329" s="35" t="str">
        <f aca="false">TEXT(B329, "mmmm")</f>
        <v>January</v>
      </c>
      <c r="AD329" s="37" t="n">
        <f aca="false">LEN(TEXT(B329, "YYYY-MM-DD"))</f>
        <v>10</v>
      </c>
      <c r="AE329" s="39" t="str">
        <f aca="false">LEFT(TEXT(B329, "YYYY-MM-DD"), 4)</f>
        <v>2011</v>
      </c>
      <c r="AF329" s="39" t="str">
        <f aca="false">RIGHT(TEXT(B329, "YYYY-MM-DD"), 2)</f>
        <v>15</v>
      </c>
    </row>
    <row r="330" customFormat="false" ht="15" hidden="false" customHeight="false" outlineLevel="0" collapsed="false">
      <c r="A330" s="43" t="n">
        <v>326</v>
      </c>
      <c r="B330" s="44" t="s">
        <v>91</v>
      </c>
      <c r="C330" s="43" t="n">
        <v>1</v>
      </c>
      <c r="D330" s="33" t="str">
        <f aca="false">VLOOKUP(C330, Lookups_Metadata!$A$4:$B$7, 2, FALSE())</f>
        <v>Spring</v>
      </c>
      <c r="E330" s="43" t="n">
        <v>0</v>
      </c>
      <c r="F330" s="43" t="n">
        <v>1</v>
      </c>
      <c r="G330" s="43" t="n">
        <v>1</v>
      </c>
      <c r="H330" s="45" t="b">
        <f aca="false">FALSE()</f>
        <v>0</v>
      </c>
      <c r="I330" s="43" t="n">
        <v>6</v>
      </c>
      <c r="J330" s="33" t="str">
        <f aca="false">INDEX(Lookups_Metadata!$E$4:$E$10, MATCH(I330, Lookups_Metadata!$D$4:$D$10, 0))</f>
        <v>Saturday</v>
      </c>
      <c r="K330" s="33" t="str">
        <f aca="false">IF(H330=TRUE(), "Holiday", IF(OR(I330=0, I330=6), "Weekend", "Weekday"))</f>
        <v>Weekend</v>
      </c>
      <c r="L330" s="33" t="str">
        <f aca="false">IF(AND(K330="Weekday", OR(AND(G330&gt;=7, G330&lt;=9), AND(G330&gt;=17, G330&lt;=19))), "Peak Commute", "Off-Peak")</f>
        <v>Off-Peak</v>
      </c>
      <c r="M330" s="43" t="n">
        <v>2</v>
      </c>
      <c r="N330" s="33" t="str">
        <f aca="false">VLOOKUP(M330, Lookups_Metadata!$G$4:$H$7, 2, FALSE())</f>
        <v>Mist / Cloudy</v>
      </c>
      <c r="O330" s="46" t="n">
        <v>0.16</v>
      </c>
      <c r="P330" s="46" t="n">
        <v>0.197</v>
      </c>
      <c r="Q330" s="46" t="n">
        <f aca="false">IF(OR(P330="", ISBLANK(P330)), ROUND(0.9367*O330+0.0175, 4), P330)</f>
        <v>0.197</v>
      </c>
      <c r="R330" s="33" t="str">
        <f aca="false">IF(OR(P330="", ISBLANK(P330)), "Imputed (Regression/Trend)", "Original")</f>
        <v>Original</v>
      </c>
      <c r="S330" s="46" t="n">
        <v>0.59</v>
      </c>
      <c r="T330" s="46" t="n">
        <v>0.0896</v>
      </c>
      <c r="U330" s="18" t="n">
        <v>2</v>
      </c>
      <c r="V330" s="18" t="n">
        <v>18</v>
      </c>
      <c r="W330" s="18" t="n">
        <f aca="false">U330+V330</f>
        <v>20</v>
      </c>
      <c r="X330" s="47" t="n">
        <f aca="false">U330/W330</f>
        <v>0.1</v>
      </c>
      <c r="Y330" s="47" t="n">
        <f aca="false">V330/W330</f>
        <v>0.9</v>
      </c>
      <c r="Z330" s="33" t="str">
        <f aca="false">IF(W330&gt;=150, "High Demand", IF(W330&gt;=50, "Moderate Demand", "Low Demand"))</f>
        <v>Low Demand</v>
      </c>
      <c r="AA330" s="45" t="str">
        <f aca="false">TEXT(G330, "00") &amp; ":00"</f>
        <v>01:00</v>
      </c>
      <c r="AB330" s="43" t="n">
        <f aca="false">YEAR(B330)</f>
        <v>2011</v>
      </c>
      <c r="AC330" s="33" t="str">
        <f aca="false">TEXT(B330, "mmmm")</f>
        <v>January</v>
      </c>
      <c r="AD330" s="43" t="n">
        <f aca="false">LEN(TEXT(B330, "YYYY-MM-DD"))</f>
        <v>10</v>
      </c>
      <c r="AE330" s="45" t="str">
        <f aca="false">LEFT(TEXT(B330, "YYYY-MM-DD"), 4)</f>
        <v>2011</v>
      </c>
      <c r="AF330" s="45" t="str">
        <f aca="false">RIGHT(TEXT(B330, "YYYY-MM-DD"), 2)</f>
        <v>15</v>
      </c>
    </row>
    <row r="331" customFormat="false" ht="15" hidden="false" customHeight="false" outlineLevel="0" collapsed="false">
      <c r="A331" s="37" t="n">
        <v>327</v>
      </c>
      <c r="B331" s="38" t="s">
        <v>91</v>
      </c>
      <c r="C331" s="37" t="n">
        <v>1</v>
      </c>
      <c r="D331" s="35" t="str">
        <f aca="false">VLOOKUP(C331, Lookups_Metadata!$A$4:$B$7, 2, FALSE())</f>
        <v>Spring</v>
      </c>
      <c r="E331" s="37" t="n">
        <v>0</v>
      </c>
      <c r="F331" s="37" t="n">
        <v>1</v>
      </c>
      <c r="G331" s="37" t="n">
        <v>2</v>
      </c>
      <c r="H331" s="39" t="b">
        <f aca="false">FALSE()</f>
        <v>0</v>
      </c>
      <c r="I331" s="37" t="n">
        <v>6</v>
      </c>
      <c r="J331" s="35" t="str">
        <f aca="false">INDEX(Lookups_Metadata!$E$4:$E$10, MATCH(I331, Lookups_Metadata!$D$4:$D$10, 0))</f>
        <v>Saturday</v>
      </c>
      <c r="K331" s="35" t="str">
        <f aca="false">IF(H331=TRUE(), "Holiday", IF(OR(I331=0, I331=6), "Weekend", "Weekday"))</f>
        <v>Weekend</v>
      </c>
      <c r="L331" s="35" t="str">
        <f aca="false">IF(AND(K331="Weekday", OR(AND(G331&gt;=7, G331&lt;=9), AND(G331&gt;=17, G331&lt;=19))), "Peak Commute", "Off-Peak")</f>
        <v>Off-Peak</v>
      </c>
      <c r="M331" s="37" t="n">
        <v>2</v>
      </c>
      <c r="N331" s="35" t="str">
        <f aca="false">VLOOKUP(M331, Lookups_Metadata!$G$4:$H$7, 2, FALSE())</f>
        <v>Mist / Cloudy</v>
      </c>
      <c r="O331" s="40" t="n">
        <v>0.16</v>
      </c>
      <c r="P331" s="40" t="n">
        <v>0.197</v>
      </c>
      <c r="Q331" s="40" t="n">
        <f aca="false">IF(OR(P331="", ISBLANK(P331)), ROUND(0.9367*O331+0.0175, 4), P331)</f>
        <v>0.197</v>
      </c>
      <c r="R331" s="35" t="str">
        <f aca="false">IF(OR(P331="", ISBLANK(P331)), "Imputed (Regression/Trend)", "Original")</f>
        <v>Original</v>
      </c>
      <c r="S331" s="40" t="n">
        <v>0.59</v>
      </c>
      <c r="T331" s="40" t="n">
        <v>0.0896</v>
      </c>
      <c r="U331" s="41" t="n">
        <v>0</v>
      </c>
      <c r="V331" s="41" t="n">
        <v>12</v>
      </c>
      <c r="W331" s="41" t="n">
        <f aca="false">U331+V331</f>
        <v>12</v>
      </c>
      <c r="X331" s="42" t="n">
        <f aca="false">U331/W331</f>
        <v>0</v>
      </c>
      <c r="Y331" s="42" t="n">
        <f aca="false">V331/W331</f>
        <v>1</v>
      </c>
      <c r="Z331" s="35" t="str">
        <f aca="false">IF(W331&gt;=150, "High Demand", IF(W331&gt;=50, "Moderate Demand", "Low Demand"))</f>
        <v>Low Demand</v>
      </c>
      <c r="AA331" s="39" t="str">
        <f aca="false">TEXT(G331, "00") &amp; ":00"</f>
        <v>02:00</v>
      </c>
      <c r="AB331" s="37" t="n">
        <f aca="false">YEAR(B331)</f>
        <v>2011</v>
      </c>
      <c r="AC331" s="35" t="str">
        <f aca="false">TEXT(B331, "mmmm")</f>
        <v>January</v>
      </c>
      <c r="AD331" s="37" t="n">
        <f aca="false">LEN(TEXT(B331, "YYYY-MM-DD"))</f>
        <v>10</v>
      </c>
      <c r="AE331" s="39" t="str">
        <f aca="false">LEFT(TEXT(B331, "YYYY-MM-DD"), 4)</f>
        <v>2011</v>
      </c>
      <c r="AF331" s="39" t="str">
        <f aca="false">RIGHT(TEXT(B331, "YYYY-MM-DD"), 2)</f>
        <v>15</v>
      </c>
    </row>
    <row r="332" customFormat="false" ht="15" hidden="false" customHeight="false" outlineLevel="0" collapsed="false">
      <c r="A332" s="43" t="n">
        <v>328</v>
      </c>
      <c r="B332" s="44" t="s">
        <v>91</v>
      </c>
      <c r="C332" s="43" t="n">
        <v>1</v>
      </c>
      <c r="D332" s="33" t="str">
        <f aca="false">VLOOKUP(C332, Lookups_Metadata!$A$4:$B$7, 2, FALSE())</f>
        <v>Spring</v>
      </c>
      <c r="E332" s="43" t="n">
        <v>0</v>
      </c>
      <c r="F332" s="43" t="n">
        <v>1</v>
      </c>
      <c r="G332" s="43" t="n">
        <v>3</v>
      </c>
      <c r="H332" s="45" t="b">
        <f aca="false">FALSE()</f>
        <v>0</v>
      </c>
      <c r="I332" s="43" t="n">
        <v>6</v>
      </c>
      <c r="J332" s="33" t="str">
        <f aca="false">INDEX(Lookups_Metadata!$E$4:$E$10, MATCH(I332, Lookups_Metadata!$D$4:$D$10, 0))</f>
        <v>Saturday</v>
      </c>
      <c r="K332" s="33" t="str">
        <f aca="false">IF(H332=TRUE(), "Holiday", IF(OR(I332=0, I332=6), "Weekend", "Weekday"))</f>
        <v>Weekend</v>
      </c>
      <c r="L332" s="33" t="str">
        <f aca="false">IF(AND(K332="Weekday", OR(AND(G332&gt;=7, G332&lt;=9), AND(G332&gt;=17, G332&lt;=19))), "Peak Commute", "Off-Peak")</f>
        <v>Off-Peak</v>
      </c>
      <c r="M332" s="43" t="n">
        <v>2</v>
      </c>
      <c r="N332" s="33" t="str">
        <f aca="false">VLOOKUP(M332, Lookups_Metadata!$G$4:$H$7, 2, FALSE())</f>
        <v>Mist / Cloudy</v>
      </c>
      <c r="O332" s="46" t="n">
        <v>0.16</v>
      </c>
      <c r="P332" s="46" t="n">
        <v>0.2273</v>
      </c>
      <c r="Q332" s="46" t="n">
        <f aca="false">IF(OR(P332="", ISBLANK(P332)), ROUND(0.9367*O332+0.0175, 4), P332)</f>
        <v>0.2273</v>
      </c>
      <c r="R332" s="33" t="str">
        <f aca="false">IF(OR(P332="", ISBLANK(P332)), "Imputed (Regression/Trend)", "Original")</f>
        <v>Original</v>
      </c>
      <c r="S332" s="46" t="n">
        <v>0.59</v>
      </c>
      <c r="T332" s="46" t="n">
        <v>0</v>
      </c>
      <c r="U332" s="18" t="n">
        <v>1</v>
      </c>
      <c r="V332" s="18" t="n">
        <v>7</v>
      </c>
      <c r="W332" s="18" t="n">
        <f aca="false">U332+V332</f>
        <v>8</v>
      </c>
      <c r="X332" s="47" t="n">
        <f aca="false">U332/W332</f>
        <v>0.125</v>
      </c>
      <c r="Y332" s="47" t="n">
        <f aca="false">V332/W332</f>
        <v>0.875</v>
      </c>
      <c r="Z332" s="33" t="str">
        <f aca="false">IF(W332&gt;=150, "High Demand", IF(W332&gt;=50, "Moderate Demand", "Low Demand"))</f>
        <v>Low Demand</v>
      </c>
      <c r="AA332" s="45" t="str">
        <f aca="false">TEXT(G332, "00") &amp; ":00"</f>
        <v>03:00</v>
      </c>
      <c r="AB332" s="43" t="n">
        <f aca="false">YEAR(B332)</f>
        <v>2011</v>
      </c>
      <c r="AC332" s="33" t="str">
        <f aca="false">TEXT(B332, "mmmm")</f>
        <v>January</v>
      </c>
      <c r="AD332" s="43" t="n">
        <f aca="false">LEN(TEXT(B332, "YYYY-MM-DD"))</f>
        <v>10</v>
      </c>
      <c r="AE332" s="45" t="str">
        <f aca="false">LEFT(TEXT(B332, "YYYY-MM-DD"), 4)</f>
        <v>2011</v>
      </c>
      <c r="AF332" s="45" t="str">
        <f aca="false">RIGHT(TEXT(B332, "YYYY-MM-DD"), 2)</f>
        <v>15</v>
      </c>
    </row>
    <row r="333" customFormat="false" ht="15" hidden="false" customHeight="false" outlineLevel="0" collapsed="false">
      <c r="A333" s="37" t="n">
        <v>329</v>
      </c>
      <c r="B333" s="38" t="s">
        <v>91</v>
      </c>
      <c r="C333" s="37" t="n">
        <v>1</v>
      </c>
      <c r="D333" s="35" t="str">
        <f aca="false">VLOOKUP(C333, Lookups_Metadata!$A$4:$B$7, 2, FALSE())</f>
        <v>Spring</v>
      </c>
      <c r="E333" s="37" t="n">
        <v>0</v>
      </c>
      <c r="F333" s="37" t="n">
        <v>1</v>
      </c>
      <c r="G333" s="37" t="n">
        <v>4</v>
      </c>
      <c r="H333" s="39" t="b">
        <f aca="false">FALSE()</f>
        <v>0</v>
      </c>
      <c r="I333" s="37" t="n">
        <v>6</v>
      </c>
      <c r="J333" s="35" t="str">
        <f aca="false">INDEX(Lookups_Metadata!$E$4:$E$10, MATCH(I333, Lookups_Metadata!$D$4:$D$10, 0))</f>
        <v>Saturday</v>
      </c>
      <c r="K333" s="35" t="str">
        <f aca="false">IF(H333=TRUE(), "Holiday", IF(OR(I333=0, I333=6), "Weekend", "Weekday"))</f>
        <v>Weekend</v>
      </c>
      <c r="L333" s="35" t="str">
        <f aca="false">IF(AND(K333="Weekday", OR(AND(G333&gt;=7, G333&lt;=9), AND(G333&gt;=17, G333&lt;=19))), "Peak Commute", "Off-Peak")</f>
        <v>Off-Peak</v>
      </c>
      <c r="M333" s="37" t="n">
        <v>2</v>
      </c>
      <c r="N333" s="35" t="str">
        <f aca="false">VLOOKUP(M333, Lookups_Metadata!$G$4:$H$7, 2, FALSE())</f>
        <v>Mist / Cloudy</v>
      </c>
      <c r="O333" s="40" t="n">
        <v>0.16</v>
      </c>
      <c r="P333" s="40" t="n">
        <v>0.2273</v>
      </c>
      <c r="Q333" s="40" t="n">
        <f aca="false">IF(OR(P333="", ISBLANK(P333)), ROUND(0.9367*O333+0.0175, 4), P333)</f>
        <v>0.2273</v>
      </c>
      <c r="R333" s="35" t="str">
        <f aca="false">IF(OR(P333="", ISBLANK(P333)), "Imputed (Regression/Trend)", "Original")</f>
        <v>Original</v>
      </c>
      <c r="S333" s="40" t="n">
        <v>0.59</v>
      </c>
      <c r="T333" s="40" t="n">
        <v>0</v>
      </c>
      <c r="U333" s="41" t="n">
        <v>0</v>
      </c>
      <c r="V333" s="41" t="n">
        <v>5</v>
      </c>
      <c r="W333" s="41" t="n">
        <f aca="false">U333+V333</f>
        <v>5</v>
      </c>
      <c r="X333" s="42" t="n">
        <f aca="false">U333/W333</f>
        <v>0</v>
      </c>
      <c r="Y333" s="42" t="n">
        <f aca="false">V333/W333</f>
        <v>1</v>
      </c>
      <c r="Z333" s="35" t="str">
        <f aca="false">IF(W333&gt;=150, "High Demand", IF(W333&gt;=50, "Moderate Demand", "Low Demand"))</f>
        <v>Low Demand</v>
      </c>
      <c r="AA333" s="39" t="str">
        <f aca="false">TEXT(G333, "00") &amp; ":00"</f>
        <v>04:00</v>
      </c>
      <c r="AB333" s="37" t="n">
        <f aca="false">YEAR(B333)</f>
        <v>2011</v>
      </c>
      <c r="AC333" s="35" t="str">
        <f aca="false">TEXT(B333, "mmmm")</f>
        <v>January</v>
      </c>
      <c r="AD333" s="37" t="n">
        <f aca="false">LEN(TEXT(B333, "YYYY-MM-DD"))</f>
        <v>10</v>
      </c>
      <c r="AE333" s="39" t="str">
        <f aca="false">LEFT(TEXT(B333, "YYYY-MM-DD"), 4)</f>
        <v>2011</v>
      </c>
      <c r="AF333" s="39" t="str">
        <f aca="false">RIGHT(TEXT(B333, "YYYY-MM-DD"), 2)</f>
        <v>15</v>
      </c>
    </row>
    <row r="334" customFormat="false" ht="15" hidden="false" customHeight="false" outlineLevel="0" collapsed="false">
      <c r="A334" s="43" t="n">
        <v>330</v>
      </c>
      <c r="B334" s="44" t="s">
        <v>91</v>
      </c>
      <c r="C334" s="43" t="n">
        <v>1</v>
      </c>
      <c r="D334" s="33" t="str">
        <f aca="false">VLOOKUP(C334, Lookups_Metadata!$A$4:$B$7, 2, FALSE())</f>
        <v>Spring</v>
      </c>
      <c r="E334" s="43" t="n">
        <v>0</v>
      </c>
      <c r="F334" s="43" t="n">
        <v>1</v>
      </c>
      <c r="G334" s="43" t="n">
        <v>5</v>
      </c>
      <c r="H334" s="45" t="b">
        <f aca="false">FALSE()</f>
        <v>0</v>
      </c>
      <c r="I334" s="43" t="n">
        <v>6</v>
      </c>
      <c r="J334" s="33" t="str">
        <f aca="false">INDEX(Lookups_Metadata!$E$4:$E$10, MATCH(I334, Lookups_Metadata!$D$4:$D$10, 0))</f>
        <v>Saturday</v>
      </c>
      <c r="K334" s="33" t="str">
        <f aca="false">IF(H334=TRUE(), "Holiday", IF(OR(I334=0, I334=6), "Weekend", "Weekday"))</f>
        <v>Weekend</v>
      </c>
      <c r="L334" s="33" t="str">
        <f aca="false">IF(AND(K334="Weekday", OR(AND(G334&gt;=7, G334&lt;=9), AND(G334&gt;=17, G334&lt;=19))), "Peak Commute", "Off-Peak")</f>
        <v>Off-Peak</v>
      </c>
      <c r="M334" s="43" t="n">
        <v>1</v>
      </c>
      <c r="N334" s="33" t="str">
        <f aca="false">VLOOKUP(M334, Lookups_Metadata!$G$4:$H$7, 2, FALSE())</f>
        <v>Clear / Few Clouds</v>
      </c>
      <c r="O334" s="46" t="n">
        <v>0.16</v>
      </c>
      <c r="P334" s="46" t="n">
        <v>0.2273</v>
      </c>
      <c r="Q334" s="46" t="n">
        <f aca="false">IF(OR(P334="", ISBLANK(P334)), ROUND(0.9367*O334+0.0175, 4), P334)</f>
        <v>0.2273</v>
      </c>
      <c r="R334" s="33" t="str">
        <f aca="false">IF(OR(P334="", ISBLANK(P334)), "Imputed (Regression/Trend)", "Original")</f>
        <v>Original</v>
      </c>
      <c r="S334" s="46" t="n">
        <v>0.59</v>
      </c>
      <c r="T334" s="46" t="n">
        <v>0</v>
      </c>
      <c r="U334" s="18" t="n">
        <v>0</v>
      </c>
      <c r="V334" s="18" t="n">
        <v>1</v>
      </c>
      <c r="W334" s="18" t="n">
        <f aca="false">U334+V334</f>
        <v>1</v>
      </c>
      <c r="X334" s="47" t="n">
        <f aca="false">U334/W334</f>
        <v>0</v>
      </c>
      <c r="Y334" s="47" t="n">
        <f aca="false">V334/W334</f>
        <v>1</v>
      </c>
      <c r="Z334" s="33" t="str">
        <f aca="false">IF(W334&gt;=150, "High Demand", IF(W334&gt;=50, "Moderate Demand", "Low Demand"))</f>
        <v>Low Demand</v>
      </c>
      <c r="AA334" s="45" t="str">
        <f aca="false">TEXT(G334, "00") &amp; ":00"</f>
        <v>05:00</v>
      </c>
      <c r="AB334" s="43" t="n">
        <f aca="false">YEAR(B334)</f>
        <v>2011</v>
      </c>
      <c r="AC334" s="33" t="str">
        <f aca="false">TEXT(B334, "mmmm")</f>
        <v>January</v>
      </c>
      <c r="AD334" s="43" t="n">
        <f aca="false">LEN(TEXT(B334, "YYYY-MM-DD"))</f>
        <v>10</v>
      </c>
      <c r="AE334" s="45" t="str">
        <f aca="false">LEFT(TEXT(B334, "YYYY-MM-DD"), 4)</f>
        <v>2011</v>
      </c>
      <c r="AF334" s="45" t="str">
        <f aca="false">RIGHT(TEXT(B334, "YYYY-MM-DD"), 2)</f>
        <v>15</v>
      </c>
    </row>
    <row r="335" customFormat="false" ht="15" hidden="false" customHeight="false" outlineLevel="0" collapsed="false">
      <c r="A335" s="37" t="n">
        <v>331</v>
      </c>
      <c r="B335" s="38" t="s">
        <v>91</v>
      </c>
      <c r="C335" s="37" t="n">
        <v>1</v>
      </c>
      <c r="D335" s="35" t="str">
        <f aca="false">VLOOKUP(C335, Lookups_Metadata!$A$4:$B$7, 2, FALSE())</f>
        <v>Spring</v>
      </c>
      <c r="E335" s="37" t="n">
        <v>0</v>
      </c>
      <c r="F335" s="37" t="n">
        <v>1</v>
      </c>
      <c r="G335" s="37" t="n">
        <v>6</v>
      </c>
      <c r="H335" s="39" t="b">
        <f aca="false">FALSE()</f>
        <v>0</v>
      </c>
      <c r="I335" s="37" t="n">
        <v>6</v>
      </c>
      <c r="J335" s="35" t="str">
        <f aca="false">INDEX(Lookups_Metadata!$E$4:$E$10, MATCH(I335, Lookups_Metadata!$D$4:$D$10, 0))</f>
        <v>Saturday</v>
      </c>
      <c r="K335" s="35" t="str">
        <f aca="false">IF(H335=TRUE(), "Holiday", IF(OR(I335=0, I335=6), "Weekend", "Weekday"))</f>
        <v>Weekend</v>
      </c>
      <c r="L335" s="35" t="str">
        <f aca="false">IF(AND(K335="Weekday", OR(AND(G335&gt;=7, G335&lt;=9), AND(G335&gt;=17, G335&lt;=19))), "Peak Commute", "Off-Peak")</f>
        <v>Off-Peak</v>
      </c>
      <c r="M335" s="37" t="n">
        <v>1</v>
      </c>
      <c r="N335" s="35" t="str">
        <f aca="false">VLOOKUP(M335, Lookups_Metadata!$G$4:$H$7, 2, FALSE())</f>
        <v>Clear / Few Clouds</v>
      </c>
      <c r="O335" s="40" t="n">
        <v>0.14</v>
      </c>
      <c r="P335" s="40" t="n">
        <v>0.1667</v>
      </c>
      <c r="Q335" s="40" t="n">
        <f aca="false">IF(OR(P335="", ISBLANK(P335)), ROUND(0.9367*O335+0.0175, 4), P335)</f>
        <v>0.1667</v>
      </c>
      <c r="R335" s="35" t="str">
        <f aca="false">IF(OR(P335="", ISBLANK(P335)), "Imputed (Regression/Trend)", "Original")</f>
        <v>Original</v>
      </c>
      <c r="S335" s="40" t="n">
        <v>0.63</v>
      </c>
      <c r="T335" s="40" t="n">
        <v>0.1045</v>
      </c>
      <c r="U335" s="41" t="n">
        <v>1</v>
      </c>
      <c r="V335" s="41" t="n">
        <v>2</v>
      </c>
      <c r="W335" s="41" t="n">
        <f aca="false">U335+V335</f>
        <v>3</v>
      </c>
      <c r="X335" s="42" t="n">
        <f aca="false">U335/W335</f>
        <v>0.333333333333333</v>
      </c>
      <c r="Y335" s="42" t="n">
        <f aca="false">V335/W335</f>
        <v>0.666666666666667</v>
      </c>
      <c r="Z335" s="35" t="str">
        <f aca="false">IF(W335&gt;=150, "High Demand", IF(W335&gt;=50, "Moderate Demand", "Low Demand"))</f>
        <v>Low Demand</v>
      </c>
      <c r="AA335" s="39" t="str">
        <f aca="false">TEXT(G335, "00") &amp; ":00"</f>
        <v>06:00</v>
      </c>
      <c r="AB335" s="37" t="n">
        <f aca="false">YEAR(B335)</f>
        <v>2011</v>
      </c>
      <c r="AC335" s="35" t="str">
        <f aca="false">TEXT(B335, "mmmm")</f>
        <v>January</v>
      </c>
      <c r="AD335" s="37" t="n">
        <f aca="false">LEN(TEXT(B335, "YYYY-MM-DD"))</f>
        <v>10</v>
      </c>
      <c r="AE335" s="39" t="str">
        <f aca="false">LEFT(TEXT(B335, "YYYY-MM-DD"), 4)</f>
        <v>2011</v>
      </c>
      <c r="AF335" s="39" t="str">
        <f aca="false">RIGHT(TEXT(B335, "YYYY-MM-DD"), 2)</f>
        <v>15</v>
      </c>
    </row>
    <row r="336" customFormat="false" ht="15" hidden="false" customHeight="false" outlineLevel="0" collapsed="false">
      <c r="A336" s="43" t="n">
        <v>332</v>
      </c>
      <c r="B336" s="44" t="s">
        <v>91</v>
      </c>
      <c r="C336" s="43" t="n">
        <v>1</v>
      </c>
      <c r="D336" s="33" t="str">
        <f aca="false">VLOOKUP(C336, Lookups_Metadata!$A$4:$B$7, 2, FALSE())</f>
        <v>Spring</v>
      </c>
      <c r="E336" s="43" t="n">
        <v>0</v>
      </c>
      <c r="F336" s="43" t="n">
        <v>1</v>
      </c>
      <c r="G336" s="43" t="n">
        <v>7</v>
      </c>
      <c r="H336" s="45" t="b">
        <f aca="false">FALSE()</f>
        <v>0</v>
      </c>
      <c r="I336" s="43" t="n">
        <v>6</v>
      </c>
      <c r="J336" s="33" t="str">
        <f aca="false">INDEX(Lookups_Metadata!$E$4:$E$10, MATCH(I336, Lookups_Metadata!$D$4:$D$10, 0))</f>
        <v>Saturday</v>
      </c>
      <c r="K336" s="33" t="str">
        <f aca="false">IF(H336=TRUE(), "Holiday", IF(OR(I336=0, I336=6), "Weekend", "Weekday"))</f>
        <v>Weekend</v>
      </c>
      <c r="L336" s="33" t="str">
        <f aca="false">IF(AND(K336="Weekday", OR(AND(G336&gt;=7, G336&lt;=9), AND(G336&gt;=17, G336&lt;=19))), "Peak Commute", "Off-Peak")</f>
        <v>Off-Peak</v>
      </c>
      <c r="M336" s="43" t="n">
        <v>1</v>
      </c>
      <c r="N336" s="33" t="str">
        <f aca="false">VLOOKUP(M336, Lookups_Metadata!$G$4:$H$7, 2, FALSE())</f>
        <v>Clear / Few Clouds</v>
      </c>
      <c r="O336" s="46" t="n">
        <v>0.14</v>
      </c>
      <c r="P336" s="46" t="n">
        <v>0.2121</v>
      </c>
      <c r="Q336" s="46" t="n">
        <f aca="false">IF(OR(P336="", ISBLANK(P336)), ROUND(0.9367*O336+0.0175, 4), P336)</f>
        <v>0.2121</v>
      </c>
      <c r="R336" s="33" t="str">
        <f aca="false">IF(OR(P336="", ISBLANK(P336)), "Imputed (Regression/Trend)", "Original")</f>
        <v>Original</v>
      </c>
      <c r="S336" s="46" t="n">
        <v>0.63</v>
      </c>
      <c r="T336" s="46" t="n">
        <v>0</v>
      </c>
      <c r="U336" s="18" t="n">
        <v>1</v>
      </c>
      <c r="V336" s="18" t="n">
        <v>9</v>
      </c>
      <c r="W336" s="18" t="n">
        <f aca="false">U336+V336</f>
        <v>10</v>
      </c>
      <c r="X336" s="47" t="n">
        <f aca="false">U336/W336</f>
        <v>0.1</v>
      </c>
      <c r="Y336" s="47" t="n">
        <f aca="false">V336/W336</f>
        <v>0.9</v>
      </c>
      <c r="Z336" s="33" t="str">
        <f aca="false">IF(W336&gt;=150, "High Demand", IF(W336&gt;=50, "Moderate Demand", "Low Demand"))</f>
        <v>Low Demand</v>
      </c>
      <c r="AA336" s="45" t="str">
        <f aca="false">TEXT(G336, "00") &amp; ":00"</f>
        <v>07:00</v>
      </c>
      <c r="AB336" s="43" t="n">
        <f aca="false">YEAR(B336)</f>
        <v>2011</v>
      </c>
      <c r="AC336" s="33" t="str">
        <f aca="false">TEXT(B336, "mmmm")</f>
        <v>January</v>
      </c>
      <c r="AD336" s="43" t="n">
        <f aca="false">LEN(TEXT(B336, "YYYY-MM-DD"))</f>
        <v>10</v>
      </c>
      <c r="AE336" s="45" t="str">
        <f aca="false">LEFT(TEXT(B336, "YYYY-MM-DD"), 4)</f>
        <v>2011</v>
      </c>
      <c r="AF336" s="45" t="str">
        <f aca="false">RIGHT(TEXT(B336, "YYYY-MM-DD"), 2)</f>
        <v>15</v>
      </c>
    </row>
    <row r="337" customFormat="false" ht="15" hidden="false" customHeight="false" outlineLevel="0" collapsed="false">
      <c r="A337" s="37" t="n">
        <v>333</v>
      </c>
      <c r="B337" s="38" t="s">
        <v>91</v>
      </c>
      <c r="C337" s="37" t="n">
        <v>1</v>
      </c>
      <c r="D337" s="35" t="str">
        <f aca="false">VLOOKUP(C337, Lookups_Metadata!$A$4:$B$7, 2, FALSE())</f>
        <v>Spring</v>
      </c>
      <c r="E337" s="37" t="n">
        <v>0</v>
      </c>
      <c r="F337" s="37" t="n">
        <v>1</v>
      </c>
      <c r="G337" s="37" t="n">
        <v>8</v>
      </c>
      <c r="H337" s="39" t="b">
        <f aca="false">FALSE()</f>
        <v>0</v>
      </c>
      <c r="I337" s="37" t="n">
        <v>6</v>
      </c>
      <c r="J337" s="35" t="str">
        <f aca="false">INDEX(Lookups_Metadata!$E$4:$E$10, MATCH(I337, Lookups_Metadata!$D$4:$D$10, 0))</f>
        <v>Saturday</v>
      </c>
      <c r="K337" s="35" t="str">
        <f aca="false">IF(H337=TRUE(), "Holiday", IF(OR(I337=0, I337=6), "Weekend", "Weekday"))</f>
        <v>Weekend</v>
      </c>
      <c r="L337" s="35" t="str">
        <f aca="false">IF(AND(K337="Weekday", OR(AND(G337&gt;=7, G337&lt;=9), AND(G337&gt;=17, G337&lt;=19))), "Peak Commute", "Off-Peak")</f>
        <v>Off-Peak</v>
      </c>
      <c r="M337" s="37" t="n">
        <v>1</v>
      </c>
      <c r="N337" s="35" t="str">
        <f aca="false">VLOOKUP(M337, Lookups_Metadata!$G$4:$H$7, 2, FALSE())</f>
        <v>Clear / Few Clouds</v>
      </c>
      <c r="O337" s="40" t="n">
        <v>0.14</v>
      </c>
      <c r="P337" s="40" t="n">
        <v>0.1515</v>
      </c>
      <c r="Q337" s="40" t="n">
        <f aca="false">IF(OR(P337="", ISBLANK(P337)), ROUND(0.9367*O337+0.0175, 4), P337)</f>
        <v>0.1515</v>
      </c>
      <c r="R337" s="35" t="str">
        <f aca="false">IF(OR(P337="", ISBLANK(P337)), "Imputed (Regression/Trend)", "Original")</f>
        <v>Original</v>
      </c>
      <c r="S337" s="40" t="n">
        <v>0.63</v>
      </c>
      <c r="T337" s="40" t="n">
        <v>0.1343</v>
      </c>
      <c r="U337" s="41" t="n">
        <v>1</v>
      </c>
      <c r="V337" s="41" t="n">
        <v>22</v>
      </c>
      <c r="W337" s="41" t="n">
        <f aca="false">U337+V337</f>
        <v>23</v>
      </c>
      <c r="X337" s="42" t="n">
        <f aca="false">U337/W337</f>
        <v>0.0434782608695652</v>
      </c>
      <c r="Y337" s="42" t="n">
        <f aca="false">V337/W337</f>
        <v>0.956521739130435</v>
      </c>
      <c r="Z337" s="35" t="str">
        <f aca="false">IF(W337&gt;=150, "High Demand", IF(W337&gt;=50, "Moderate Demand", "Low Demand"))</f>
        <v>Low Demand</v>
      </c>
      <c r="AA337" s="39" t="str">
        <f aca="false">TEXT(G337, "00") &amp; ":00"</f>
        <v>08:00</v>
      </c>
      <c r="AB337" s="37" t="n">
        <f aca="false">YEAR(B337)</f>
        <v>2011</v>
      </c>
      <c r="AC337" s="35" t="str">
        <f aca="false">TEXT(B337, "mmmm")</f>
        <v>January</v>
      </c>
      <c r="AD337" s="37" t="n">
        <f aca="false">LEN(TEXT(B337, "YYYY-MM-DD"))</f>
        <v>10</v>
      </c>
      <c r="AE337" s="39" t="str">
        <f aca="false">LEFT(TEXT(B337, "YYYY-MM-DD"), 4)</f>
        <v>2011</v>
      </c>
      <c r="AF337" s="39" t="str">
        <f aca="false">RIGHT(TEXT(B337, "YYYY-MM-DD"), 2)</f>
        <v>15</v>
      </c>
    </row>
    <row r="338" customFormat="false" ht="15" hidden="false" customHeight="false" outlineLevel="0" collapsed="false">
      <c r="A338" s="43" t="n">
        <v>334</v>
      </c>
      <c r="B338" s="44" t="s">
        <v>91</v>
      </c>
      <c r="C338" s="43" t="n">
        <v>1</v>
      </c>
      <c r="D338" s="33" t="str">
        <f aca="false">VLOOKUP(C338, Lookups_Metadata!$A$4:$B$7, 2, FALSE())</f>
        <v>Spring</v>
      </c>
      <c r="E338" s="43" t="n">
        <v>0</v>
      </c>
      <c r="F338" s="43" t="n">
        <v>1</v>
      </c>
      <c r="G338" s="43" t="n">
        <v>9</v>
      </c>
      <c r="H338" s="45" t="b">
        <f aca="false">FALSE()</f>
        <v>0</v>
      </c>
      <c r="I338" s="43" t="n">
        <v>6</v>
      </c>
      <c r="J338" s="33" t="str">
        <f aca="false">INDEX(Lookups_Metadata!$E$4:$E$10, MATCH(I338, Lookups_Metadata!$D$4:$D$10, 0))</f>
        <v>Saturday</v>
      </c>
      <c r="K338" s="33" t="str">
        <f aca="false">IF(H338=TRUE(), "Holiday", IF(OR(I338=0, I338=6), "Weekend", "Weekday"))</f>
        <v>Weekend</v>
      </c>
      <c r="L338" s="33" t="str">
        <f aca="false">IF(AND(K338="Weekday", OR(AND(G338&gt;=7, G338&lt;=9), AND(G338&gt;=17, G338&lt;=19))), "Peak Commute", "Off-Peak")</f>
        <v>Off-Peak</v>
      </c>
      <c r="M338" s="43" t="n">
        <v>1</v>
      </c>
      <c r="N338" s="33" t="str">
        <f aca="false">VLOOKUP(M338, Lookups_Metadata!$G$4:$H$7, 2, FALSE())</f>
        <v>Clear / Few Clouds</v>
      </c>
      <c r="O338" s="46" t="n">
        <v>0.16</v>
      </c>
      <c r="P338" s="46" t="n">
        <v>0.1818</v>
      </c>
      <c r="Q338" s="46" t="n">
        <f aca="false">IF(OR(P338="", ISBLANK(P338)), ROUND(0.9367*O338+0.0175, 4), P338)</f>
        <v>0.1818</v>
      </c>
      <c r="R338" s="33" t="str">
        <f aca="false">IF(OR(P338="", ISBLANK(P338)), "Imputed (Regression/Trend)", "Original")</f>
        <v>Original</v>
      </c>
      <c r="S338" s="46" t="n">
        <v>0.64</v>
      </c>
      <c r="T338" s="46" t="n">
        <v>0.1343</v>
      </c>
      <c r="U338" s="18" t="n">
        <v>2</v>
      </c>
      <c r="V338" s="18" t="n">
        <v>31</v>
      </c>
      <c r="W338" s="18" t="n">
        <f aca="false">U338+V338</f>
        <v>33</v>
      </c>
      <c r="X338" s="47" t="n">
        <f aca="false">U338/W338</f>
        <v>0.0606060606060606</v>
      </c>
      <c r="Y338" s="47" t="n">
        <f aca="false">V338/W338</f>
        <v>0.939393939393939</v>
      </c>
      <c r="Z338" s="33" t="str">
        <f aca="false">IF(W338&gt;=150, "High Demand", IF(W338&gt;=50, "Moderate Demand", "Low Demand"))</f>
        <v>Low Demand</v>
      </c>
      <c r="AA338" s="45" t="str">
        <f aca="false">TEXT(G338, "00") &amp; ":00"</f>
        <v>09:00</v>
      </c>
      <c r="AB338" s="43" t="n">
        <f aca="false">YEAR(B338)</f>
        <v>2011</v>
      </c>
      <c r="AC338" s="33" t="str">
        <f aca="false">TEXT(B338, "mmmm")</f>
        <v>January</v>
      </c>
      <c r="AD338" s="43" t="n">
        <f aca="false">LEN(TEXT(B338, "YYYY-MM-DD"))</f>
        <v>10</v>
      </c>
      <c r="AE338" s="45" t="str">
        <f aca="false">LEFT(TEXT(B338, "YYYY-MM-DD"), 4)</f>
        <v>2011</v>
      </c>
      <c r="AF338" s="45" t="str">
        <f aca="false">RIGHT(TEXT(B338, "YYYY-MM-DD"), 2)</f>
        <v>15</v>
      </c>
    </row>
    <row r="339" customFormat="false" ht="15" hidden="false" customHeight="false" outlineLevel="0" collapsed="false">
      <c r="A339" s="37" t="n">
        <v>335</v>
      </c>
      <c r="B339" s="38" t="s">
        <v>91</v>
      </c>
      <c r="C339" s="37" t="n">
        <v>1</v>
      </c>
      <c r="D339" s="35" t="str">
        <f aca="false">VLOOKUP(C339, Lookups_Metadata!$A$4:$B$7, 2, FALSE())</f>
        <v>Spring</v>
      </c>
      <c r="E339" s="37" t="n">
        <v>0</v>
      </c>
      <c r="F339" s="37" t="n">
        <v>1</v>
      </c>
      <c r="G339" s="37" t="n">
        <v>10</v>
      </c>
      <c r="H339" s="39" t="b">
        <f aca="false">FALSE()</f>
        <v>0</v>
      </c>
      <c r="I339" s="37" t="n">
        <v>6</v>
      </c>
      <c r="J339" s="35" t="str">
        <f aca="false">INDEX(Lookups_Metadata!$E$4:$E$10, MATCH(I339, Lookups_Metadata!$D$4:$D$10, 0))</f>
        <v>Saturday</v>
      </c>
      <c r="K339" s="35" t="str">
        <f aca="false">IF(H339=TRUE(), "Holiday", IF(OR(I339=0, I339=6), "Weekend", "Weekday"))</f>
        <v>Weekend</v>
      </c>
      <c r="L339" s="35" t="str">
        <f aca="false">IF(AND(K339="Weekday", OR(AND(G339&gt;=7, G339&lt;=9), AND(G339&gt;=17, G339&lt;=19))), "Peak Commute", "Off-Peak")</f>
        <v>Off-Peak</v>
      </c>
      <c r="M339" s="37" t="n">
        <v>1</v>
      </c>
      <c r="N339" s="35" t="str">
        <f aca="false">VLOOKUP(M339, Lookups_Metadata!$G$4:$H$7, 2, FALSE())</f>
        <v>Clear / Few Clouds</v>
      </c>
      <c r="O339" s="40" t="n">
        <v>0.18</v>
      </c>
      <c r="P339" s="40" t="n">
        <v>0.197</v>
      </c>
      <c r="Q339" s="40" t="n">
        <f aca="false">IF(OR(P339="", ISBLANK(P339)), ROUND(0.9367*O339+0.0175, 4), P339)</f>
        <v>0.197</v>
      </c>
      <c r="R339" s="35" t="str">
        <f aca="false">IF(OR(P339="", ISBLANK(P339)), "Imputed (Regression/Trend)", "Original")</f>
        <v>Original</v>
      </c>
      <c r="S339" s="40" t="n">
        <v>0.59</v>
      </c>
      <c r="T339" s="40" t="n">
        <v>0.1642</v>
      </c>
      <c r="U339" s="41" t="n">
        <v>2</v>
      </c>
      <c r="V339" s="41" t="n">
        <v>57</v>
      </c>
      <c r="W339" s="41" t="n">
        <f aca="false">U339+V339</f>
        <v>59</v>
      </c>
      <c r="X339" s="42" t="n">
        <f aca="false">U339/W339</f>
        <v>0.0338983050847458</v>
      </c>
      <c r="Y339" s="42" t="n">
        <f aca="false">V339/W339</f>
        <v>0.966101694915254</v>
      </c>
      <c r="Z339" s="35" t="str">
        <f aca="false">IF(W339&gt;=150, "High Demand", IF(W339&gt;=50, "Moderate Demand", "Low Demand"))</f>
        <v>Moderate Demand</v>
      </c>
      <c r="AA339" s="39" t="str">
        <f aca="false">TEXT(G339, "00") &amp; ":00"</f>
        <v>10:00</v>
      </c>
      <c r="AB339" s="37" t="n">
        <f aca="false">YEAR(B339)</f>
        <v>2011</v>
      </c>
      <c r="AC339" s="35" t="str">
        <f aca="false">TEXT(B339, "mmmm")</f>
        <v>January</v>
      </c>
      <c r="AD339" s="37" t="n">
        <f aca="false">LEN(TEXT(B339, "YYYY-MM-DD"))</f>
        <v>10</v>
      </c>
      <c r="AE339" s="39" t="str">
        <f aca="false">LEFT(TEXT(B339, "YYYY-MM-DD"), 4)</f>
        <v>2011</v>
      </c>
      <c r="AF339" s="39" t="str">
        <f aca="false">RIGHT(TEXT(B339, "YYYY-MM-DD"), 2)</f>
        <v>15</v>
      </c>
    </row>
    <row r="340" customFormat="false" ht="15" hidden="false" customHeight="false" outlineLevel="0" collapsed="false">
      <c r="A340" s="43" t="n">
        <v>336</v>
      </c>
      <c r="B340" s="44" t="s">
        <v>91</v>
      </c>
      <c r="C340" s="43" t="n">
        <v>1</v>
      </c>
      <c r="D340" s="33" t="str">
        <f aca="false">VLOOKUP(C340, Lookups_Metadata!$A$4:$B$7, 2, FALSE())</f>
        <v>Spring</v>
      </c>
      <c r="E340" s="43" t="n">
        <v>0</v>
      </c>
      <c r="F340" s="43" t="n">
        <v>1</v>
      </c>
      <c r="G340" s="43" t="n">
        <v>11</v>
      </c>
      <c r="H340" s="45" t="b">
        <f aca="false">FALSE()</f>
        <v>0</v>
      </c>
      <c r="I340" s="43" t="n">
        <v>6</v>
      </c>
      <c r="J340" s="33" t="str">
        <f aca="false">INDEX(Lookups_Metadata!$E$4:$E$10, MATCH(I340, Lookups_Metadata!$D$4:$D$10, 0))</f>
        <v>Saturday</v>
      </c>
      <c r="K340" s="33" t="str">
        <f aca="false">IF(H340=TRUE(), "Holiday", IF(OR(I340=0, I340=6), "Weekend", "Weekday"))</f>
        <v>Weekend</v>
      </c>
      <c r="L340" s="33" t="str">
        <f aca="false">IF(AND(K340="Weekday", OR(AND(G340&gt;=7, G340&lt;=9), AND(G340&gt;=17, G340&lt;=19))), "Peak Commute", "Off-Peak")</f>
        <v>Off-Peak</v>
      </c>
      <c r="M340" s="43" t="n">
        <v>1</v>
      </c>
      <c r="N340" s="33" t="str">
        <f aca="false">VLOOKUP(M340, Lookups_Metadata!$G$4:$H$7, 2, FALSE())</f>
        <v>Clear / Few Clouds</v>
      </c>
      <c r="O340" s="46" t="n">
        <v>0.2</v>
      </c>
      <c r="P340" s="46" t="n">
        <v>0.197</v>
      </c>
      <c r="Q340" s="46" t="n">
        <f aca="false">IF(OR(P340="", ISBLANK(P340)), ROUND(0.9367*O340+0.0175, 4), P340)</f>
        <v>0.197</v>
      </c>
      <c r="R340" s="33" t="str">
        <f aca="false">IF(OR(P340="", ISBLANK(P340)), "Imputed (Regression/Trend)", "Original")</f>
        <v>Original</v>
      </c>
      <c r="S340" s="46" t="n">
        <v>0.55</v>
      </c>
      <c r="T340" s="46" t="n">
        <v>0.2239</v>
      </c>
      <c r="U340" s="18" t="n">
        <v>18</v>
      </c>
      <c r="V340" s="18" t="n">
        <v>54</v>
      </c>
      <c r="W340" s="18" t="n">
        <f aca="false">U340+V340</f>
        <v>72</v>
      </c>
      <c r="X340" s="47" t="n">
        <f aca="false">U340/W340</f>
        <v>0.25</v>
      </c>
      <c r="Y340" s="47" t="n">
        <f aca="false">V340/W340</f>
        <v>0.75</v>
      </c>
      <c r="Z340" s="33" t="str">
        <f aca="false">IF(W340&gt;=150, "High Demand", IF(W340&gt;=50, "Moderate Demand", "Low Demand"))</f>
        <v>Moderate Demand</v>
      </c>
      <c r="AA340" s="45" t="str">
        <f aca="false">TEXT(G340, "00") &amp; ":00"</f>
        <v>11:00</v>
      </c>
      <c r="AB340" s="43" t="n">
        <f aca="false">YEAR(B340)</f>
        <v>2011</v>
      </c>
      <c r="AC340" s="33" t="str">
        <f aca="false">TEXT(B340, "mmmm")</f>
        <v>January</v>
      </c>
      <c r="AD340" s="43" t="n">
        <f aca="false">LEN(TEXT(B340, "YYYY-MM-DD"))</f>
        <v>10</v>
      </c>
      <c r="AE340" s="45" t="str">
        <f aca="false">LEFT(TEXT(B340, "YYYY-MM-DD"), 4)</f>
        <v>2011</v>
      </c>
      <c r="AF340" s="45" t="str">
        <f aca="false">RIGHT(TEXT(B340, "YYYY-MM-DD"), 2)</f>
        <v>15</v>
      </c>
    </row>
    <row r="341" customFormat="false" ht="15" hidden="false" customHeight="false" outlineLevel="0" collapsed="false">
      <c r="A341" s="37" t="n">
        <v>337</v>
      </c>
      <c r="B341" s="38" t="s">
        <v>91</v>
      </c>
      <c r="C341" s="37" t="n">
        <v>1</v>
      </c>
      <c r="D341" s="35" t="str">
        <f aca="false">VLOOKUP(C341, Lookups_Metadata!$A$4:$B$7, 2, FALSE())</f>
        <v>Spring</v>
      </c>
      <c r="E341" s="37" t="n">
        <v>0</v>
      </c>
      <c r="F341" s="37" t="n">
        <v>1</v>
      </c>
      <c r="G341" s="37" t="n">
        <v>12</v>
      </c>
      <c r="H341" s="39" t="b">
        <f aca="false">FALSE()</f>
        <v>0</v>
      </c>
      <c r="I341" s="37" t="n">
        <v>6</v>
      </c>
      <c r="J341" s="35" t="str">
        <f aca="false">INDEX(Lookups_Metadata!$E$4:$E$10, MATCH(I341, Lookups_Metadata!$D$4:$D$10, 0))</f>
        <v>Saturday</v>
      </c>
      <c r="K341" s="35" t="str">
        <f aca="false">IF(H341=TRUE(), "Holiday", IF(OR(I341=0, I341=6), "Weekend", "Weekday"))</f>
        <v>Weekend</v>
      </c>
      <c r="L341" s="35" t="str">
        <f aca="false">IF(AND(K341="Weekday", OR(AND(G341&gt;=7, G341&lt;=9), AND(G341&gt;=17, G341&lt;=19))), "Peak Commute", "Off-Peak")</f>
        <v>Off-Peak</v>
      </c>
      <c r="M341" s="37" t="n">
        <v>1</v>
      </c>
      <c r="N341" s="35" t="str">
        <f aca="false">VLOOKUP(M341, Lookups_Metadata!$G$4:$H$7, 2, FALSE())</f>
        <v>Clear / Few Clouds</v>
      </c>
      <c r="O341" s="40" t="n">
        <v>0.24</v>
      </c>
      <c r="P341" s="40" t="n">
        <v>0.2273</v>
      </c>
      <c r="Q341" s="40" t="n">
        <f aca="false">IF(OR(P341="", ISBLANK(P341)), ROUND(0.9367*O341+0.0175, 4), P341)</f>
        <v>0.2273</v>
      </c>
      <c r="R341" s="35" t="str">
        <f aca="false">IF(OR(P341="", ISBLANK(P341)), "Imputed (Regression/Trend)", "Original")</f>
        <v>Original</v>
      </c>
      <c r="S341" s="40" t="n">
        <v>0.48</v>
      </c>
      <c r="T341" s="40" t="n">
        <v>0.2239</v>
      </c>
      <c r="U341" s="41" t="n">
        <v>15</v>
      </c>
      <c r="V341" s="41" t="n">
        <v>74</v>
      </c>
      <c r="W341" s="41" t="n">
        <f aca="false">U341+V341</f>
        <v>89</v>
      </c>
      <c r="X341" s="42" t="n">
        <f aca="false">U341/W341</f>
        <v>0.168539325842697</v>
      </c>
      <c r="Y341" s="42" t="n">
        <f aca="false">V341/W341</f>
        <v>0.831460674157303</v>
      </c>
      <c r="Z341" s="35" t="str">
        <f aca="false">IF(W341&gt;=150, "High Demand", IF(W341&gt;=50, "Moderate Demand", "Low Demand"))</f>
        <v>Moderate Demand</v>
      </c>
      <c r="AA341" s="39" t="str">
        <f aca="false">TEXT(G341, "00") &amp; ":00"</f>
        <v>12:00</v>
      </c>
      <c r="AB341" s="37" t="n">
        <f aca="false">YEAR(B341)</f>
        <v>2011</v>
      </c>
      <c r="AC341" s="35" t="str">
        <f aca="false">TEXT(B341, "mmmm")</f>
        <v>January</v>
      </c>
      <c r="AD341" s="37" t="n">
        <f aca="false">LEN(TEXT(B341, "YYYY-MM-DD"))</f>
        <v>10</v>
      </c>
      <c r="AE341" s="39" t="str">
        <f aca="false">LEFT(TEXT(B341, "YYYY-MM-DD"), 4)</f>
        <v>2011</v>
      </c>
      <c r="AF341" s="39" t="str">
        <f aca="false">RIGHT(TEXT(B341, "YYYY-MM-DD"), 2)</f>
        <v>15</v>
      </c>
    </row>
    <row r="342" customFormat="false" ht="15" hidden="false" customHeight="false" outlineLevel="0" collapsed="false">
      <c r="A342" s="43" t="n">
        <v>338</v>
      </c>
      <c r="B342" s="44" t="s">
        <v>91</v>
      </c>
      <c r="C342" s="43" t="n">
        <v>1</v>
      </c>
      <c r="D342" s="33" t="str">
        <f aca="false">VLOOKUP(C342, Lookups_Metadata!$A$4:$B$7, 2, FALSE())</f>
        <v>Spring</v>
      </c>
      <c r="E342" s="43" t="n">
        <v>0</v>
      </c>
      <c r="F342" s="43" t="n">
        <v>1</v>
      </c>
      <c r="G342" s="43" t="n">
        <v>13</v>
      </c>
      <c r="H342" s="45" t="b">
        <f aca="false">FALSE()</f>
        <v>0</v>
      </c>
      <c r="I342" s="43" t="n">
        <v>6</v>
      </c>
      <c r="J342" s="33" t="str">
        <f aca="false">INDEX(Lookups_Metadata!$E$4:$E$10, MATCH(I342, Lookups_Metadata!$D$4:$D$10, 0))</f>
        <v>Saturday</v>
      </c>
      <c r="K342" s="33" t="str">
        <f aca="false">IF(H342=TRUE(), "Holiday", IF(OR(I342=0, I342=6), "Weekend", "Weekday"))</f>
        <v>Weekend</v>
      </c>
      <c r="L342" s="33" t="str">
        <f aca="false">IF(AND(K342="Weekday", OR(AND(G342&gt;=7, G342&lt;=9), AND(G342&gt;=17, G342&lt;=19))), "Peak Commute", "Off-Peak")</f>
        <v>Off-Peak</v>
      </c>
      <c r="M342" s="43" t="n">
        <v>1</v>
      </c>
      <c r="N342" s="33" t="str">
        <f aca="false">VLOOKUP(M342, Lookups_Metadata!$G$4:$H$7, 2, FALSE())</f>
        <v>Clear / Few Clouds</v>
      </c>
      <c r="O342" s="46" t="n">
        <v>0.28</v>
      </c>
      <c r="P342" s="46" t="n">
        <v>0.2576</v>
      </c>
      <c r="Q342" s="46" t="n">
        <f aca="false">IF(OR(P342="", ISBLANK(P342)), ROUND(0.9367*O342+0.0175, 4), P342)</f>
        <v>0.2576</v>
      </c>
      <c r="R342" s="33" t="str">
        <f aca="false">IF(OR(P342="", ISBLANK(P342)), "Imputed (Regression/Trend)", "Original")</f>
        <v>Original</v>
      </c>
      <c r="S342" s="46" t="n">
        <v>0.38</v>
      </c>
      <c r="T342" s="46" t="n">
        <v>0.2985</v>
      </c>
      <c r="U342" s="18" t="n">
        <v>21</v>
      </c>
      <c r="V342" s="18" t="n">
        <v>80</v>
      </c>
      <c r="W342" s="18" t="n">
        <f aca="false">U342+V342</f>
        <v>101</v>
      </c>
      <c r="X342" s="47" t="n">
        <f aca="false">U342/W342</f>
        <v>0.207920792079208</v>
      </c>
      <c r="Y342" s="47" t="n">
        <f aca="false">V342/W342</f>
        <v>0.792079207920792</v>
      </c>
      <c r="Z342" s="33" t="str">
        <f aca="false">IF(W342&gt;=150, "High Demand", IF(W342&gt;=50, "Moderate Demand", "Low Demand"))</f>
        <v>Moderate Demand</v>
      </c>
      <c r="AA342" s="45" t="str">
        <f aca="false">TEXT(G342, "00") &amp; ":00"</f>
        <v>13:00</v>
      </c>
      <c r="AB342" s="43" t="n">
        <f aca="false">YEAR(B342)</f>
        <v>2011</v>
      </c>
      <c r="AC342" s="33" t="str">
        <f aca="false">TEXT(B342, "mmmm")</f>
        <v>January</v>
      </c>
      <c r="AD342" s="43" t="n">
        <f aca="false">LEN(TEXT(B342, "YYYY-MM-DD"))</f>
        <v>10</v>
      </c>
      <c r="AE342" s="45" t="str">
        <f aca="false">LEFT(TEXT(B342, "YYYY-MM-DD"), 4)</f>
        <v>2011</v>
      </c>
      <c r="AF342" s="45" t="str">
        <f aca="false">RIGHT(TEXT(B342, "YYYY-MM-DD"), 2)</f>
        <v>15</v>
      </c>
    </row>
    <row r="343" customFormat="false" ht="15" hidden="false" customHeight="false" outlineLevel="0" collapsed="false">
      <c r="A343" s="37" t="n">
        <v>339</v>
      </c>
      <c r="B343" s="38" t="s">
        <v>91</v>
      </c>
      <c r="C343" s="37" t="n">
        <v>1</v>
      </c>
      <c r="D343" s="35" t="str">
        <f aca="false">VLOOKUP(C343, Lookups_Metadata!$A$4:$B$7, 2, FALSE())</f>
        <v>Spring</v>
      </c>
      <c r="E343" s="37" t="n">
        <v>0</v>
      </c>
      <c r="F343" s="37" t="n">
        <v>1</v>
      </c>
      <c r="G343" s="37" t="n">
        <v>14</v>
      </c>
      <c r="H343" s="39" t="b">
        <f aca="false">FALSE()</f>
        <v>0</v>
      </c>
      <c r="I343" s="37" t="n">
        <v>6</v>
      </c>
      <c r="J343" s="35" t="str">
        <f aca="false">INDEX(Lookups_Metadata!$E$4:$E$10, MATCH(I343, Lookups_Metadata!$D$4:$D$10, 0))</f>
        <v>Saturday</v>
      </c>
      <c r="K343" s="35" t="str">
        <f aca="false">IF(H343=TRUE(), "Holiday", IF(OR(I343=0, I343=6), "Weekend", "Weekday"))</f>
        <v>Weekend</v>
      </c>
      <c r="L343" s="35" t="str">
        <f aca="false">IF(AND(K343="Weekday", OR(AND(G343&gt;=7, G343&lt;=9), AND(G343&gt;=17, G343&lt;=19))), "Peak Commute", "Off-Peak")</f>
        <v>Off-Peak</v>
      </c>
      <c r="M343" s="37" t="n">
        <v>1</v>
      </c>
      <c r="N343" s="35" t="str">
        <f aca="false">VLOOKUP(M343, Lookups_Metadata!$G$4:$H$7, 2, FALSE())</f>
        <v>Clear / Few Clouds</v>
      </c>
      <c r="O343" s="40" t="n">
        <v>0.3</v>
      </c>
      <c r="P343" s="40" t="n">
        <v>0.2879</v>
      </c>
      <c r="Q343" s="40" t="n">
        <f aca="false">IF(OR(P343="", ISBLANK(P343)), ROUND(0.9367*O343+0.0175, 4), P343)</f>
        <v>0.2879</v>
      </c>
      <c r="R343" s="35" t="str">
        <f aca="false">IF(OR(P343="", ISBLANK(P343)), "Imputed (Regression/Trend)", "Original")</f>
        <v>Original</v>
      </c>
      <c r="S343" s="40" t="n">
        <v>0.39</v>
      </c>
      <c r="T343" s="40" t="n">
        <v>0.2836</v>
      </c>
      <c r="U343" s="41" t="n">
        <v>26</v>
      </c>
      <c r="V343" s="41" t="n">
        <v>92</v>
      </c>
      <c r="W343" s="41" t="n">
        <f aca="false">U343+V343</f>
        <v>118</v>
      </c>
      <c r="X343" s="42" t="n">
        <f aca="false">U343/W343</f>
        <v>0.220338983050847</v>
      </c>
      <c r="Y343" s="42" t="n">
        <f aca="false">V343/W343</f>
        <v>0.779661016949153</v>
      </c>
      <c r="Z343" s="35" t="str">
        <f aca="false">IF(W343&gt;=150, "High Demand", IF(W343&gt;=50, "Moderate Demand", "Low Demand"))</f>
        <v>Moderate Demand</v>
      </c>
      <c r="AA343" s="39" t="str">
        <f aca="false">TEXT(G343, "00") &amp; ":00"</f>
        <v>14:00</v>
      </c>
      <c r="AB343" s="37" t="n">
        <f aca="false">YEAR(B343)</f>
        <v>2011</v>
      </c>
      <c r="AC343" s="35" t="str">
        <f aca="false">TEXT(B343, "mmmm")</f>
        <v>January</v>
      </c>
      <c r="AD343" s="37" t="n">
        <f aca="false">LEN(TEXT(B343, "YYYY-MM-DD"))</f>
        <v>10</v>
      </c>
      <c r="AE343" s="39" t="str">
        <f aca="false">LEFT(TEXT(B343, "YYYY-MM-DD"), 4)</f>
        <v>2011</v>
      </c>
      <c r="AF343" s="39" t="str">
        <f aca="false">RIGHT(TEXT(B343, "YYYY-MM-DD"), 2)</f>
        <v>15</v>
      </c>
    </row>
    <row r="344" customFormat="false" ht="15" hidden="false" customHeight="false" outlineLevel="0" collapsed="false">
      <c r="A344" s="43" t="n">
        <v>340</v>
      </c>
      <c r="B344" s="44" t="s">
        <v>91</v>
      </c>
      <c r="C344" s="43" t="n">
        <v>1</v>
      </c>
      <c r="D344" s="33" t="str">
        <f aca="false">VLOOKUP(C344, Lookups_Metadata!$A$4:$B$7, 2, FALSE())</f>
        <v>Spring</v>
      </c>
      <c r="E344" s="43" t="n">
        <v>0</v>
      </c>
      <c r="F344" s="43" t="n">
        <v>1</v>
      </c>
      <c r="G344" s="43" t="n">
        <v>15</v>
      </c>
      <c r="H344" s="45" t="b">
        <f aca="false">FALSE()</f>
        <v>0</v>
      </c>
      <c r="I344" s="43" t="n">
        <v>6</v>
      </c>
      <c r="J344" s="33" t="str">
        <f aca="false">INDEX(Lookups_Metadata!$E$4:$E$10, MATCH(I344, Lookups_Metadata!$D$4:$D$10, 0))</f>
        <v>Saturday</v>
      </c>
      <c r="K344" s="33" t="str">
        <f aca="false">IF(H344=TRUE(), "Holiday", IF(OR(I344=0, I344=6), "Weekend", "Weekday"))</f>
        <v>Weekend</v>
      </c>
      <c r="L344" s="33" t="str">
        <f aca="false">IF(AND(K344="Weekday", OR(AND(G344&gt;=7, G344&lt;=9), AND(G344&gt;=17, G344&lt;=19))), "Peak Commute", "Off-Peak")</f>
        <v>Off-Peak</v>
      </c>
      <c r="M344" s="43" t="n">
        <v>2</v>
      </c>
      <c r="N344" s="33" t="str">
        <f aca="false">VLOOKUP(M344, Lookups_Metadata!$G$4:$H$7, 2, FALSE())</f>
        <v>Mist / Cloudy</v>
      </c>
      <c r="O344" s="46" t="n">
        <v>0.32</v>
      </c>
      <c r="P344" s="46" t="n">
        <v>0.3182</v>
      </c>
      <c r="Q344" s="46" t="n">
        <f aca="false">IF(OR(P344="", ISBLANK(P344)), ROUND(0.9367*O344+0.0175, 4), P344)</f>
        <v>0.3182</v>
      </c>
      <c r="R344" s="33" t="str">
        <f aca="false">IF(OR(P344="", ISBLANK(P344)), "Imputed (Regression/Trend)", "Original")</f>
        <v>Original</v>
      </c>
      <c r="S344" s="46" t="n">
        <v>0.36</v>
      </c>
      <c r="T344" s="46" t="n">
        <v>0.194</v>
      </c>
      <c r="U344" s="18" t="n">
        <v>21</v>
      </c>
      <c r="V344" s="18" t="n">
        <v>108</v>
      </c>
      <c r="W344" s="18" t="n">
        <f aca="false">U344+V344</f>
        <v>129</v>
      </c>
      <c r="X344" s="47" t="n">
        <f aca="false">U344/W344</f>
        <v>0.162790697674419</v>
      </c>
      <c r="Y344" s="47" t="n">
        <f aca="false">V344/W344</f>
        <v>0.837209302325581</v>
      </c>
      <c r="Z344" s="33" t="str">
        <f aca="false">IF(W344&gt;=150, "High Demand", IF(W344&gt;=50, "Moderate Demand", "Low Demand"))</f>
        <v>Moderate Demand</v>
      </c>
      <c r="AA344" s="45" t="str">
        <f aca="false">TEXT(G344, "00") &amp; ":00"</f>
        <v>15:00</v>
      </c>
      <c r="AB344" s="43" t="n">
        <f aca="false">YEAR(B344)</f>
        <v>2011</v>
      </c>
      <c r="AC344" s="33" t="str">
        <f aca="false">TEXT(B344, "mmmm")</f>
        <v>January</v>
      </c>
      <c r="AD344" s="43" t="n">
        <f aca="false">LEN(TEXT(B344, "YYYY-MM-DD"))</f>
        <v>10</v>
      </c>
      <c r="AE344" s="45" t="str">
        <f aca="false">LEFT(TEXT(B344, "YYYY-MM-DD"), 4)</f>
        <v>2011</v>
      </c>
      <c r="AF344" s="45" t="str">
        <f aca="false">RIGHT(TEXT(B344, "YYYY-MM-DD"), 2)</f>
        <v>15</v>
      </c>
    </row>
    <row r="345" customFormat="false" ht="15" hidden="false" customHeight="false" outlineLevel="0" collapsed="false">
      <c r="A345" s="37" t="n">
        <v>341</v>
      </c>
      <c r="B345" s="38" t="s">
        <v>91</v>
      </c>
      <c r="C345" s="37" t="n">
        <v>1</v>
      </c>
      <c r="D345" s="35" t="str">
        <f aca="false">VLOOKUP(C345, Lookups_Metadata!$A$4:$B$7, 2, FALSE())</f>
        <v>Spring</v>
      </c>
      <c r="E345" s="37" t="n">
        <v>0</v>
      </c>
      <c r="F345" s="37" t="n">
        <v>1</v>
      </c>
      <c r="G345" s="37" t="n">
        <v>16</v>
      </c>
      <c r="H345" s="39" t="b">
        <f aca="false">FALSE()</f>
        <v>0</v>
      </c>
      <c r="I345" s="37" t="n">
        <v>6</v>
      </c>
      <c r="J345" s="35" t="str">
        <f aca="false">INDEX(Lookups_Metadata!$E$4:$E$10, MATCH(I345, Lookups_Metadata!$D$4:$D$10, 0))</f>
        <v>Saturday</v>
      </c>
      <c r="K345" s="35" t="str">
        <f aca="false">IF(H345=TRUE(), "Holiday", IF(OR(I345=0, I345=6), "Weekend", "Weekday"))</f>
        <v>Weekend</v>
      </c>
      <c r="L345" s="35" t="str">
        <f aca="false">IF(AND(K345="Weekday", OR(AND(G345&gt;=7, G345&lt;=9), AND(G345&gt;=17, G345&lt;=19))), "Peak Commute", "Off-Peak")</f>
        <v>Off-Peak</v>
      </c>
      <c r="M345" s="37" t="n">
        <v>2</v>
      </c>
      <c r="N345" s="35" t="str">
        <f aca="false">VLOOKUP(M345, Lookups_Metadata!$G$4:$H$7, 2, FALSE())</f>
        <v>Mist / Cloudy</v>
      </c>
      <c r="O345" s="40" t="n">
        <v>0.34</v>
      </c>
      <c r="P345" s="40" t="n">
        <v>0.3333</v>
      </c>
      <c r="Q345" s="40" t="n">
        <f aca="false">IF(OR(P345="", ISBLANK(P345)), ROUND(0.9367*O345+0.0175, 4), P345)</f>
        <v>0.3333</v>
      </c>
      <c r="R345" s="35" t="str">
        <f aca="false">IF(OR(P345="", ISBLANK(P345)), "Imputed (Regression/Trend)", "Original")</f>
        <v>Original</v>
      </c>
      <c r="S345" s="40" t="n">
        <v>0.34</v>
      </c>
      <c r="T345" s="40" t="n">
        <v>0.194</v>
      </c>
      <c r="U345" s="41" t="n">
        <v>33</v>
      </c>
      <c r="V345" s="41" t="n">
        <v>95</v>
      </c>
      <c r="W345" s="41" t="n">
        <f aca="false">U345+V345</f>
        <v>128</v>
      </c>
      <c r="X345" s="42" t="n">
        <f aca="false">U345/W345</f>
        <v>0.2578125</v>
      </c>
      <c r="Y345" s="42" t="n">
        <f aca="false">V345/W345</f>
        <v>0.7421875</v>
      </c>
      <c r="Z345" s="35" t="str">
        <f aca="false">IF(W345&gt;=150, "High Demand", IF(W345&gt;=50, "Moderate Demand", "Low Demand"))</f>
        <v>Moderate Demand</v>
      </c>
      <c r="AA345" s="39" t="str">
        <f aca="false">TEXT(G345, "00") &amp; ":00"</f>
        <v>16:00</v>
      </c>
      <c r="AB345" s="37" t="n">
        <f aca="false">YEAR(B345)</f>
        <v>2011</v>
      </c>
      <c r="AC345" s="35" t="str">
        <f aca="false">TEXT(B345, "mmmm")</f>
        <v>January</v>
      </c>
      <c r="AD345" s="37" t="n">
        <f aca="false">LEN(TEXT(B345, "YYYY-MM-DD"))</f>
        <v>10</v>
      </c>
      <c r="AE345" s="39" t="str">
        <f aca="false">LEFT(TEXT(B345, "YYYY-MM-DD"), 4)</f>
        <v>2011</v>
      </c>
      <c r="AF345" s="39" t="str">
        <f aca="false">RIGHT(TEXT(B345, "YYYY-MM-DD"), 2)</f>
        <v>15</v>
      </c>
    </row>
    <row r="346" customFormat="false" ht="15" hidden="false" customHeight="false" outlineLevel="0" collapsed="false">
      <c r="A346" s="43" t="n">
        <v>342</v>
      </c>
      <c r="B346" s="44" t="s">
        <v>91</v>
      </c>
      <c r="C346" s="43" t="n">
        <v>1</v>
      </c>
      <c r="D346" s="33" t="str">
        <f aca="false">VLOOKUP(C346, Lookups_Metadata!$A$4:$B$7, 2, FALSE())</f>
        <v>Spring</v>
      </c>
      <c r="E346" s="43" t="n">
        <v>0</v>
      </c>
      <c r="F346" s="43" t="n">
        <v>1</v>
      </c>
      <c r="G346" s="43" t="n">
        <v>17</v>
      </c>
      <c r="H346" s="45" t="b">
        <f aca="false">FALSE()</f>
        <v>0</v>
      </c>
      <c r="I346" s="43" t="n">
        <v>6</v>
      </c>
      <c r="J346" s="33" t="str">
        <f aca="false">INDEX(Lookups_Metadata!$E$4:$E$10, MATCH(I346, Lookups_Metadata!$D$4:$D$10, 0))</f>
        <v>Saturday</v>
      </c>
      <c r="K346" s="33" t="str">
        <f aca="false">IF(H346=TRUE(), "Holiday", IF(OR(I346=0, I346=6), "Weekend", "Weekday"))</f>
        <v>Weekend</v>
      </c>
      <c r="L346" s="33" t="str">
        <f aca="false">IF(AND(K346="Weekday", OR(AND(G346&gt;=7, G346&lt;=9), AND(G346&gt;=17, G346&lt;=19))), "Peak Commute", "Off-Peak")</f>
        <v>Off-Peak</v>
      </c>
      <c r="M346" s="43" t="n">
        <v>2</v>
      </c>
      <c r="N346" s="33" t="str">
        <f aca="false">VLOOKUP(M346, Lookups_Metadata!$G$4:$H$7, 2, FALSE())</f>
        <v>Mist / Cloudy</v>
      </c>
      <c r="O346" s="46" t="n">
        <v>0.32</v>
      </c>
      <c r="P346" s="46" t="n">
        <v>0.303</v>
      </c>
      <c r="Q346" s="46" t="n">
        <f aca="false">IF(OR(P346="", ISBLANK(P346)), ROUND(0.9367*O346+0.0175, 4), P346)</f>
        <v>0.303</v>
      </c>
      <c r="R346" s="33" t="str">
        <f aca="false">IF(OR(P346="", ISBLANK(P346)), "Imputed (Regression/Trend)", "Original")</f>
        <v>Original</v>
      </c>
      <c r="S346" s="46" t="n">
        <v>0.36</v>
      </c>
      <c r="T346" s="46" t="n">
        <v>0.2836</v>
      </c>
      <c r="U346" s="18" t="n">
        <v>29</v>
      </c>
      <c r="V346" s="18" t="n">
        <v>54</v>
      </c>
      <c r="W346" s="18" t="n">
        <f aca="false">U346+V346</f>
        <v>83</v>
      </c>
      <c r="X346" s="47" t="n">
        <f aca="false">U346/W346</f>
        <v>0.349397590361446</v>
      </c>
      <c r="Y346" s="47" t="n">
        <f aca="false">V346/W346</f>
        <v>0.650602409638554</v>
      </c>
      <c r="Z346" s="33" t="str">
        <f aca="false">IF(W346&gt;=150, "High Demand", IF(W346&gt;=50, "Moderate Demand", "Low Demand"))</f>
        <v>Moderate Demand</v>
      </c>
      <c r="AA346" s="45" t="str">
        <f aca="false">TEXT(G346, "00") &amp; ":00"</f>
        <v>17:00</v>
      </c>
      <c r="AB346" s="43" t="n">
        <f aca="false">YEAR(B346)</f>
        <v>2011</v>
      </c>
      <c r="AC346" s="33" t="str">
        <f aca="false">TEXT(B346, "mmmm")</f>
        <v>January</v>
      </c>
      <c r="AD346" s="43" t="n">
        <f aca="false">LEN(TEXT(B346, "YYYY-MM-DD"))</f>
        <v>10</v>
      </c>
      <c r="AE346" s="45" t="str">
        <f aca="false">LEFT(TEXT(B346, "YYYY-MM-DD"), 4)</f>
        <v>2011</v>
      </c>
      <c r="AF346" s="45" t="str">
        <f aca="false">RIGHT(TEXT(B346, "YYYY-MM-DD"), 2)</f>
        <v>15</v>
      </c>
    </row>
    <row r="347" customFormat="false" ht="15" hidden="false" customHeight="false" outlineLevel="0" collapsed="false">
      <c r="A347" s="37" t="n">
        <v>343</v>
      </c>
      <c r="B347" s="38" t="s">
        <v>91</v>
      </c>
      <c r="C347" s="37" t="n">
        <v>1</v>
      </c>
      <c r="D347" s="35" t="str">
        <f aca="false">VLOOKUP(C347, Lookups_Metadata!$A$4:$B$7, 2, FALSE())</f>
        <v>Spring</v>
      </c>
      <c r="E347" s="37" t="n">
        <v>0</v>
      </c>
      <c r="F347" s="37" t="n">
        <v>1</v>
      </c>
      <c r="G347" s="37" t="n">
        <v>18</v>
      </c>
      <c r="H347" s="39" t="b">
        <f aca="false">FALSE()</f>
        <v>0</v>
      </c>
      <c r="I347" s="37" t="n">
        <v>6</v>
      </c>
      <c r="J347" s="35" t="str">
        <f aca="false">INDEX(Lookups_Metadata!$E$4:$E$10, MATCH(I347, Lookups_Metadata!$D$4:$D$10, 0))</f>
        <v>Saturday</v>
      </c>
      <c r="K347" s="35" t="str">
        <f aca="false">IF(H347=TRUE(), "Holiday", IF(OR(I347=0, I347=6), "Weekend", "Weekday"))</f>
        <v>Weekend</v>
      </c>
      <c r="L347" s="35" t="str">
        <f aca="false">IF(AND(K347="Weekday", OR(AND(G347&gt;=7, G347&lt;=9), AND(G347&gt;=17, G347&lt;=19))), "Peak Commute", "Off-Peak")</f>
        <v>Off-Peak</v>
      </c>
      <c r="M347" s="37" t="n">
        <v>2</v>
      </c>
      <c r="N347" s="35" t="str">
        <f aca="false">VLOOKUP(M347, Lookups_Metadata!$G$4:$H$7, 2, FALSE())</f>
        <v>Mist / Cloudy</v>
      </c>
      <c r="O347" s="40" t="n">
        <v>0.3</v>
      </c>
      <c r="P347" s="40" t="n">
        <v>0.2879</v>
      </c>
      <c r="Q347" s="40" t="n">
        <f aca="false">IF(OR(P347="", ISBLANK(P347)), ROUND(0.9367*O347+0.0175, 4), P347)</f>
        <v>0.2879</v>
      </c>
      <c r="R347" s="35" t="str">
        <f aca="false">IF(OR(P347="", ISBLANK(P347)), "Imputed (Regression/Trend)", "Original")</f>
        <v>Original</v>
      </c>
      <c r="S347" s="40" t="n">
        <v>0.45</v>
      </c>
      <c r="T347" s="40" t="n">
        <v>0.2537</v>
      </c>
      <c r="U347" s="41" t="n">
        <v>15</v>
      </c>
      <c r="V347" s="41" t="n">
        <v>69</v>
      </c>
      <c r="W347" s="41" t="n">
        <f aca="false">U347+V347</f>
        <v>84</v>
      </c>
      <c r="X347" s="42" t="n">
        <f aca="false">U347/W347</f>
        <v>0.178571428571429</v>
      </c>
      <c r="Y347" s="42" t="n">
        <f aca="false">V347/W347</f>
        <v>0.821428571428571</v>
      </c>
      <c r="Z347" s="35" t="str">
        <f aca="false">IF(W347&gt;=150, "High Demand", IF(W347&gt;=50, "Moderate Demand", "Low Demand"))</f>
        <v>Moderate Demand</v>
      </c>
      <c r="AA347" s="39" t="str">
        <f aca="false">TEXT(G347, "00") &amp; ":00"</f>
        <v>18:00</v>
      </c>
      <c r="AB347" s="37" t="n">
        <f aca="false">YEAR(B347)</f>
        <v>2011</v>
      </c>
      <c r="AC347" s="35" t="str">
        <f aca="false">TEXT(B347, "mmmm")</f>
        <v>January</v>
      </c>
      <c r="AD347" s="37" t="n">
        <f aca="false">LEN(TEXT(B347, "YYYY-MM-DD"))</f>
        <v>10</v>
      </c>
      <c r="AE347" s="39" t="str">
        <f aca="false">LEFT(TEXT(B347, "YYYY-MM-DD"), 4)</f>
        <v>2011</v>
      </c>
      <c r="AF347" s="39" t="str">
        <f aca="false">RIGHT(TEXT(B347, "YYYY-MM-DD"), 2)</f>
        <v>15</v>
      </c>
    </row>
    <row r="348" customFormat="false" ht="15" hidden="false" customHeight="false" outlineLevel="0" collapsed="false">
      <c r="A348" s="43" t="n">
        <v>344</v>
      </c>
      <c r="B348" s="44" t="s">
        <v>91</v>
      </c>
      <c r="C348" s="43" t="n">
        <v>1</v>
      </c>
      <c r="D348" s="33" t="str">
        <f aca="false">VLOOKUP(C348, Lookups_Metadata!$A$4:$B$7, 2, FALSE())</f>
        <v>Spring</v>
      </c>
      <c r="E348" s="43" t="n">
        <v>0</v>
      </c>
      <c r="F348" s="43" t="n">
        <v>1</v>
      </c>
      <c r="G348" s="43" t="n">
        <v>19</v>
      </c>
      <c r="H348" s="45" t="b">
        <f aca="false">FALSE()</f>
        <v>0</v>
      </c>
      <c r="I348" s="43" t="n">
        <v>6</v>
      </c>
      <c r="J348" s="33" t="str">
        <f aca="false">INDEX(Lookups_Metadata!$E$4:$E$10, MATCH(I348, Lookups_Metadata!$D$4:$D$10, 0))</f>
        <v>Saturday</v>
      </c>
      <c r="K348" s="33" t="str">
        <f aca="false">IF(H348=TRUE(), "Holiday", IF(OR(I348=0, I348=6), "Weekend", "Weekday"))</f>
        <v>Weekend</v>
      </c>
      <c r="L348" s="33" t="str">
        <f aca="false">IF(AND(K348="Weekday", OR(AND(G348&gt;=7, G348&lt;=9), AND(G348&gt;=17, G348&lt;=19))), "Peak Commute", "Off-Peak")</f>
        <v>Off-Peak</v>
      </c>
      <c r="M348" s="43" t="n">
        <v>2</v>
      </c>
      <c r="N348" s="33" t="str">
        <f aca="false">VLOOKUP(M348, Lookups_Metadata!$G$4:$H$7, 2, FALSE())</f>
        <v>Mist / Cloudy</v>
      </c>
      <c r="O348" s="46" t="n">
        <v>0.32</v>
      </c>
      <c r="P348" s="46" t="n">
        <v>0.303</v>
      </c>
      <c r="Q348" s="46" t="n">
        <f aca="false">IF(OR(P348="", ISBLANK(P348)), ROUND(0.9367*O348+0.0175, 4), P348)</f>
        <v>0.303</v>
      </c>
      <c r="R348" s="33" t="str">
        <f aca="false">IF(OR(P348="", ISBLANK(P348)), "Imputed (Regression/Trend)", "Original")</f>
        <v>Original</v>
      </c>
      <c r="S348" s="46" t="n">
        <v>0.39</v>
      </c>
      <c r="T348" s="46" t="n">
        <v>0.2537</v>
      </c>
      <c r="U348" s="18" t="n">
        <v>14</v>
      </c>
      <c r="V348" s="18" t="n">
        <v>60</v>
      </c>
      <c r="W348" s="18" t="n">
        <f aca="false">U348+V348</f>
        <v>74</v>
      </c>
      <c r="X348" s="47" t="n">
        <f aca="false">U348/W348</f>
        <v>0.189189189189189</v>
      </c>
      <c r="Y348" s="47" t="n">
        <f aca="false">V348/W348</f>
        <v>0.810810810810811</v>
      </c>
      <c r="Z348" s="33" t="str">
        <f aca="false">IF(W348&gt;=150, "High Demand", IF(W348&gt;=50, "Moderate Demand", "Low Demand"))</f>
        <v>Moderate Demand</v>
      </c>
      <c r="AA348" s="45" t="str">
        <f aca="false">TEXT(G348, "00") &amp; ":00"</f>
        <v>19:00</v>
      </c>
      <c r="AB348" s="43" t="n">
        <f aca="false">YEAR(B348)</f>
        <v>2011</v>
      </c>
      <c r="AC348" s="33" t="str">
        <f aca="false">TEXT(B348, "mmmm")</f>
        <v>January</v>
      </c>
      <c r="AD348" s="43" t="n">
        <f aca="false">LEN(TEXT(B348, "YYYY-MM-DD"))</f>
        <v>10</v>
      </c>
      <c r="AE348" s="45" t="str">
        <f aca="false">LEFT(TEXT(B348, "YYYY-MM-DD"), 4)</f>
        <v>2011</v>
      </c>
      <c r="AF348" s="45" t="str">
        <f aca="false">RIGHT(TEXT(B348, "YYYY-MM-DD"), 2)</f>
        <v>15</v>
      </c>
    </row>
    <row r="349" customFormat="false" ht="15" hidden="false" customHeight="false" outlineLevel="0" collapsed="false">
      <c r="A349" s="37" t="n">
        <v>345</v>
      </c>
      <c r="B349" s="38" t="s">
        <v>91</v>
      </c>
      <c r="C349" s="37" t="n">
        <v>1</v>
      </c>
      <c r="D349" s="35" t="str">
        <f aca="false">VLOOKUP(C349, Lookups_Metadata!$A$4:$B$7, 2, FALSE())</f>
        <v>Spring</v>
      </c>
      <c r="E349" s="37" t="n">
        <v>0</v>
      </c>
      <c r="F349" s="37" t="n">
        <v>1</v>
      </c>
      <c r="G349" s="37" t="n">
        <v>20</v>
      </c>
      <c r="H349" s="39" t="b">
        <f aca="false">FALSE()</f>
        <v>0</v>
      </c>
      <c r="I349" s="37" t="n">
        <v>6</v>
      </c>
      <c r="J349" s="35" t="str">
        <f aca="false">INDEX(Lookups_Metadata!$E$4:$E$10, MATCH(I349, Lookups_Metadata!$D$4:$D$10, 0))</f>
        <v>Saturday</v>
      </c>
      <c r="K349" s="35" t="str">
        <f aca="false">IF(H349=TRUE(), "Holiday", IF(OR(I349=0, I349=6), "Weekend", "Weekday"))</f>
        <v>Weekend</v>
      </c>
      <c r="L349" s="35" t="str">
        <f aca="false">IF(AND(K349="Weekday", OR(AND(G349&gt;=7, G349&lt;=9), AND(G349&gt;=17, G349&lt;=19))), "Peak Commute", "Off-Peak")</f>
        <v>Off-Peak</v>
      </c>
      <c r="M349" s="37" t="n">
        <v>2</v>
      </c>
      <c r="N349" s="35" t="str">
        <f aca="false">VLOOKUP(M349, Lookups_Metadata!$G$4:$H$7, 2, FALSE())</f>
        <v>Mist / Cloudy</v>
      </c>
      <c r="O349" s="40" t="n">
        <v>0.32</v>
      </c>
      <c r="P349" s="40" t="n">
        <v>0.303</v>
      </c>
      <c r="Q349" s="40" t="n">
        <f aca="false">IF(OR(P349="", ISBLANK(P349)), ROUND(0.9367*O349+0.0175, 4), P349)</f>
        <v>0.303</v>
      </c>
      <c r="R349" s="35" t="str">
        <f aca="false">IF(OR(P349="", ISBLANK(P349)), "Imputed (Regression/Trend)", "Original")</f>
        <v>Original</v>
      </c>
      <c r="S349" s="40" t="n">
        <v>0.39</v>
      </c>
      <c r="T349" s="40" t="n">
        <v>0.2537</v>
      </c>
      <c r="U349" s="41" t="n">
        <v>6</v>
      </c>
      <c r="V349" s="41" t="n">
        <v>35</v>
      </c>
      <c r="W349" s="41" t="n">
        <f aca="false">U349+V349</f>
        <v>41</v>
      </c>
      <c r="X349" s="42" t="n">
        <f aca="false">U349/W349</f>
        <v>0.146341463414634</v>
      </c>
      <c r="Y349" s="42" t="n">
        <f aca="false">V349/W349</f>
        <v>0.853658536585366</v>
      </c>
      <c r="Z349" s="35" t="str">
        <f aca="false">IF(W349&gt;=150, "High Demand", IF(W349&gt;=50, "Moderate Demand", "Low Demand"))</f>
        <v>Low Demand</v>
      </c>
      <c r="AA349" s="39" t="str">
        <f aca="false">TEXT(G349, "00") &amp; ":00"</f>
        <v>20:00</v>
      </c>
      <c r="AB349" s="37" t="n">
        <f aca="false">YEAR(B349)</f>
        <v>2011</v>
      </c>
      <c r="AC349" s="35" t="str">
        <f aca="false">TEXT(B349, "mmmm")</f>
        <v>January</v>
      </c>
      <c r="AD349" s="37" t="n">
        <f aca="false">LEN(TEXT(B349, "YYYY-MM-DD"))</f>
        <v>10</v>
      </c>
      <c r="AE349" s="39" t="str">
        <f aca="false">LEFT(TEXT(B349, "YYYY-MM-DD"), 4)</f>
        <v>2011</v>
      </c>
      <c r="AF349" s="39" t="str">
        <f aca="false">RIGHT(TEXT(B349, "YYYY-MM-DD"), 2)</f>
        <v>15</v>
      </c>
    </row>
    <row r="350" customFormat="false" ht="15" hidden="false" customHeight="false" outlineLevel="0" collapsed="false">
      <c r="A350" s="43" t="n">
        <v>346</v>
      </c>
      <c r="B350" s="44" t="s">
        <v>91</v>
      </c>
      <c r="C350" s="43" t="n">
        <v>1</v>
      </c>
      <c r="D350" s="33" t="str">
        <f aca="false">VLOOKUP(C350, Lookups_Metadata!$A$4:$B$7, 2, FALSE())</f>
        <v>Spring</v>
      </c>
      <c r="E350" s="43" t="n">
        <v>0</v>
      </c>
      <c r="F350" s="43" t="n">
        <v>1</v>
      </c>
      <c r="G350" s="43" t="n">
        <v>21</v>
      </c>
      <c r="H350" s="45" t="b">
        <f aca="false">FALSE()</f>
        <v>0</v>
      </c>
      <c r="I350" s="43" t="n">
        <v>6</v>
      </c>
      <c r="J350" s="33" t="str">
        <f aca="false">INDEX(Lookups_Metadata!$E$4:$E$10, MATCH(I350, Lookups_Metadata!$D$4:$D$10, 0))</f>
        <v>Saturday</v>
      </c>
      <c r="K350" s="33" t="str">
        <f aca="false">IF(H350=TRUE(), "Holiday", IF(OR(I350=0, I350=6), "Weekend", "Weekday"))</f>
        <v>Weekend</v>
      </c>
      <c r="L350" s="33" t="str">
        <f aca="false">IF(AND(K350="Weekday", OR(AND(G350&gt;=7, G350&lt;=9), AND(G350&gt;=17, G350&lt;=19))), "Peak Commute", "Off-Peak")</f>
        <v>Off-Peak</v>
      </c>
      <c r="M350" s="43" t="n">
        <v>2</v>
      </c>
      <c r="N350" s="33" t="str">
        <f aca="false">VLOOKUP(M350, Lookups_Metadata!$G$4:$H$7, 2, FALSE())</f>
        <v>Mist / Cloudy</v>
      </c>
      <c r="O350" s="46" t="n">
        <v>0.32</v>
      </c>
      <c r="P350" s="46" t="n">
        <v>0.303</v>
      </c>
      <c r="Q350" s="46" t="n">
        <f aca="false">IF(OR(P350="", ISBLANK(P350)), ROUND(0.9367*O350+0.0175, 4), P350)</f>
        <v>0.303</v>
      </c>
      <c r="R350" s="33" t="str">
        <f aca="false">IF(OR(P350="", ISBLANK(P350)), "Imputed (Regression/Trend)", "Original")</f>
        <v>Original</v>
      </c>
      <c r="S350" s="46" t="n">
        <v>0.39</v>
      </c>
      <c r="T350" s="46" t="n">
        <v>0.2239</v>
      </c>
      <c r="U350" s="18" t="n">
        <v>6</v>
      </c>
      <c r="V350" s="18" t="n">
        <v>51</v>
      </c>
      <c r="W350" s="18" t="n">
        <f aca="false">U350+V350</f>
        <v>57</v>
      </c>
      <c r="X350" s="47" t="n">
        <f aca="false">U350/W350</f>
        <v>0.105263157894737</v>
      </c>
      <c r="Y350" s="47" t="n">
        <f aca="false">V350/W350</f>
        <v>0.894736842105263</v>
      </c>
      <c r="Z350" s="33" t="str">
        <f aca="false">IF(W350&gt;=150, "High Demand", IF(W350&gt;=50, "Moderate Demand", "Low Demand"))</f>
        <v>Moderate Demand</v>
      </c>
      <c r="AA350" s="45" t="str">
        <f aca="false">TEXT(G350, "00") &amp; ":00"</f>
        <v>21:00</v>
      </c>
      <c r="AB350" s="43" t="n">
        <f aca="false">YEAR(B350)</f>
        <v>2011</v>
      </c>
      <c r="AC350" s="33" t="str">
        <f aca="false">TEXT(B350, "mmmm")</f>
        <v>January</v>
      </c>
      <c r="AD350" s="43" t="n">
        <f aca="false">LEN(TEXT(B350, "YYYY-MM-DD"))</f>
        <v>10</v>
      </c>
      <c r="AE350" s="45" t="str">
        <f aca="false">LEFT(TEXT(B350, "YYYY-MM-DD"), 4)</f>
        <v>2011</v>
      </c>
      <c r="AF350" s="45" t="str">
        <f aca="false">RIGHT(TEXT(B350, "YYYY-MM-DD"), 2)</f>
        <v>15</v>
      </c>
    </row>
    <row r="351" customFormat="false" ht="15" hidden="false" customHeight="false" outlineLevel="0" collapsed="false">
      <c r="A351" s="37" t="n">
        <v>347</v>
      </c>
      <c r="B351" s="38" t="s">
        <v>91</v>
      </c>
      <c r="C351" s="37" t="n">
        <v>1</v>
      </c>
      <c r="D351" s="35" t="str">
        <f aca="false">VLOOKUP(C351, Lookups_Metadata!$A$4:$B$7, 2, FALSE())</f>
        <v>Spring</v>
      </c>
      <c r="E351" s="37" t="n">
        <v>0</v>
      </c>
      <c r="F351" s="37" t="n">
        <v>1</v>
      </c>
      <c r="G351" s="37" t="n">
        <v>22</v>
      </c>
      <c r="H351" s="39" t="b">
        <f aca="false">FALSE()</f>
        <v>0</v>
      </c>
      <c r="I351" s="37" t="n">
        <v>6</v>
      </c>
      <c r="J351" s="35" t="str">
        <f aca="false">INDEX(Lookups_Metadata!$E$4:$E$10, MATCH(I351, Lookups_Metadata!$D$4:$D$10, 0))</f>
        <v>Saturday</v>
      </c>
      <c r="K351" s="35" t="str">
        <f aca="false">IF(H351=TRUE(), "Holiday", IF(OR(I351=0, I351=6), "Weekend", "Weekday"))</f>
        <v>Weekend</v>
      </c>
      <c r="L351" s="35" t="str">
        <f aca="false">IF(AND(K351="Weekday", OR(AND(G351&gt;=7, G351&lt;=9), AND(G351&gt;=17, G351&lt;=19))), "Peak Commute", "Off-Peak")</f>
        <v>Off-Peak</v>
      </c>
      <c r="M351" s="37" t="n">
        <v>2</v>
      </c>
      <c r="N351" s="35" t="str">
        <f aca="false">VLOOKUP(M351, Lookups_Metadata!$G$4:$H$7, 2, FALSE())</f>
        <v>Mist / Cloudy</v>
      </c>
      <c r="O351" s="40" t="n">
        <v>0.3</v>
      </c>
      <c r="P351" s="40" t="n">
        <v>0.3182</v>
      </c>
      <c r="Q351" s="40" t="n">
        <f aca="false">IF(OR(P351="", ISBLANK(P351)), ROUND(0.9367*O351+0.0175, 4), P351)</f>
        <v>0.3182</v>
      </c>
      <c r="R351" s="35" t="str">
        <f aca="false">IF(OR(P351="", ISBLANK(P351)), "Imputed (Regression/Trend)", "Original")</f>
        <v>Original</v>
      </c>
      <c r="S351" s="40" t="n">
        <v>0.42</v>
      </c>
      <c r="T351" s="40" t="n">
        <v>0.1045</v>
      </c>
      <c r="U351" s="41" t="n">
        <v>0</v>
      </c>
      <c r="V351" s="41" t="n">
        <v>26</v>
      </c>
      <c r="W351" s="41" t="n">
        <f aca="false">U351+V351</f>
        <v>26</v>
      </c>
      <c r="X351" s="42" t="n">
        <f aca="false">U351/W351</f>
        <v>0</v>
      </c>
      <c r="Y351" s="42" t="n">
        <f aca="false">V351/W351</f>
        <v>1</v>
      </c>
      <c r="Z351" s="35" t="str">
        <f aca="false">IF(W351&gt;=150, "High Demand", IF(W351&gt;=50, "Moderate Demand", "Low Demand"))</f>
        <v>Low Demand</v>
      </c>
      <c r="AA351" s="39" t="str">
        <f aca="false">TEXT(G351, "00") &amp; ":00"</f>
        <v>22:00</v>
      </c>
      <c r="AB351" s="37" t="n">
        <f aca="false">YEAR(B351)</f>
        <v>2011</v>
      </c>
      <c r="AC351" s="35" t="str">
        <f aca="false">TEXT(B351, "mmmm")</f>
        <v>January</v>
      </c>
      <c r="AD351" s="37" t="n">
        <f aca="false">LEN(TEXT(B351, "YYYY-MM-DD"))</f>
        <v>10</v>
      </c>
      <c r="AE351" s="39" t="str">
        <f aca="false">LEFT(TEXT(B351, "YYYY-MM-DD"), 4)</f>
        <v>2011</v>
      </c>
      <c r="AF351" s="39" t="str">
        <f aca="false">RIGHT(TEXT(B351, "YYYY-MM-DD"), 2)</f>
        <v>15</v>
      </c>
    </row>
    <row r="352" customFormat="false" ht="15" hidden="false" customHeight="false" outlineLevel="0" collapsed="false">
      <c r="A352" s="43" t="n">
        <v>348</v>
      </c>
      <c r="B352" s="44" t="s">
        <v>91</v>
      </c>
      <c r="C352" s="43" t="n">
        <v>1</v>
      </c>
      <c r="D352" s="33" t="str">
        <f aca="false">VLOOKUP(C352, Lookups_Metadata!$A$4:$B$7, 2, FALSE())</f>
        <v>Spring</v>
      </c>
      <c r="E352" s="43" t="n">
        <v>0</v>
      </c>
      <c r="F352" s="43" t="n">
        <v>1</v>
      </c>
      <c r="G352" s="43" t="n">
        <v>23</v>
      </c>
      <c r="H352" s="45" t="b">
        <f aca="false">FALSE()</f>
        <v>0</v>
      </c>
      <c r="I352" s="43" t="n">
        <v>6</v>
      </c>
      <c r="J352" s="33" t="str">
        <f aca="false">INDEX(Lookups_Metadata!$E$4:$E$10, MATCH(I352, Lookups_Metadata!$D$4:$D$10, 0))</f>
        <v>Saturday</v>
      </c>
      <c r="K352" s="33" t="str">
        <f aca="false">IF(H352=TRUE(), "Holiday", IF(OR(I352=0, I352=6), "Weekend", "Weekday"))</f>
        <v>Weekend</v>
      </c>
      <c r="L352" s="33" t="str">
        <f aca="false">IF(AND(K352="Weekday", OR(AND(G352&gt;=7, G352&lt;=9), AND(G352&gt;=17, G352&lt;=19))), "Peak Commute", "Off-Peak")</f>
        <v>Off-Peak</v>
      </c>
      <c r="M352" s="43" t="n">
        <v>1</v>
      </c>
      <c r="N352" s="33" t="str">
        <f aca="false">VLOOKUP(M352, Lookups_Metadata!$G$4:$H$7, 2, FALSE())</f>
        <v>Clear / Few Clouds</v>
      </c>
      <c r="O352" s="46" t="n">
        <v>0.3</v>
      </c>
      <c r="P352" s="46" t="n">
        <v>0.2879</v>
      </c>
      <c r="Q352" s="46" t="n">
        <f aca="false">IF(OR(P352="", ISBLANK(P352)), ROUND(0.9367*O352+0.0175, 4), P352)</f>
        <v>0.2879</v>
      </c>
      <c r="R352" s="33" t="str">
        <f aca="false">IF(OR(P352="", ISBLANK(P352)), "Imputed (Regression/Trend)", "Original")</f>
        <v>Original</v>
      </c>
      <c r="S352" s="46" t="n">
        <v>0.45</v>
      </c>
      <c r="T352" s="46" t="n">
        <v>0.2836</v>
      </c>
      <c r="U352" s="18" t="n">
        <v>5</v>
      </c>
      <c r="V352" s="18" t="n">
        <v>39</v>
      </c>
      <c r="W352" s="18" t="n">
        <f aca="false">U352+V352</f>
        <v>44</v>
      </c>
      <c r="X352" s="47" t="n">
        <f aca="false">U352/W352</f>
        <v>0.113636363636364</v>
      </c>
      <c r="Y352" s="47" t="n">
        <f aca="false">V352/W352</f>
        <v>0.886363636363636</v>
      </c>
      <c r="Z352" s="33" t="str">
        <f aca="false">IF(W352&gt;=150, "High Demand", IF(W352&gt;=50, "Moderate Demand", "Low Demand"))</f>
        <v>Low Demand</v>
      </c>
      <c r="AA352" s="45" t="str">
        <f aca="false">TEXT(G352, "00") &amp; ":00"</f>
        <v>23:00</v>
      </c>
      <c r="AB352" s="43" t="n">
        <f aca="false">YEAR(B352)</f>
        <v>2011</v>
      </c>
      <c r="AC352" s="33" t="str">
        <f aca="false">TEXT(B352, "mmmm")</f>
        <v>January</v>
      </c>
      <c r="AD352" s="43" t="n">
        <f aca="false">LEN(TEXT(B352, "YYYY-MM-DD"))</f>
        <v>10</v>
      </c>
      <c r="AE352" s="45" t="str">
        <f aca="false">LEFT(TEXT(B352, "YYYY-MM-DD"), 4)</f>
        <v>2011</v>
      </c>
      <c r="AF352" s="45" t="str">
        <f aca="false">RIGHT(TEXT(B352, "YYYY-MM-DD"), 2)</f>
        <v>15</v>
      </c>
    </row>
    <row r="353" customFormat="false" ht="15" hidden="false" customHeight="false" outlineLevel="0" collapsed="false">
      <c r="A353" s="37" t="n">
        <v>349</v>
      </c>
      <c r="B353" s="38" t="s">
        <v>92</v>
      </c>
      <c r="C353" s="37" t="n">
        <v>1</v>
      </c>
      <c r="D353" s="35" t="str">
        <f aca="false">VLOOKUP(C353, Lookups_Metadata!$A$4:$B$7, 2, FALSE())</f>
        <v>Spring</v>
      </c>
      <c r="E353" s="37" t="n">
        <v>0</v>
      </c>
      <c r="F353" s="37" t="n">
        <v>1</v>
      </c>
      <c r="G353" s="37" t="n">
        <v>0</v>
      </c>
      <c r="H353" s="39" t="b">
        <f aca="false">FALSE()</f>
        <v>0</v>
      </c>
      <c r="I353" s="37" t="n">
        <v>0</v>
      </c>
      <c r="J353" s="35" t="str">
        <f aca="false">INDEX(Lookups_Metadata!$E$4:$E$10, MATCH(I353, Lookups_Metadata!$D$4:$D$10, 0))</f>
        <v>Sunday</v>
      </c>
      <c r="K353" s="35" t="str">
        <f aca="false">IF(H353=TRUE(), "Holiday", IF(OR(I353=0, I353=6), "Weekend", "Weekday"))</f>
        <v>Weekend</v>
      </c>
      <c r="L353" s="35" t="str">
        <f aca="false">IF(AND(K353="Weekday", OR(AND(G353&gt;=7, G353&lt;=9), AND(G353&gt;=17, G353&lt;=19))), "Peak Commute", "Off-Peak")</f>
        <v>Off-Peak</v>
      </c>
      <c r="M353" s="37" t="n">
        <v>1</v>
      </c>
      <c r="N353" s="35" t="str">
        <f aca="false">VLOOKUP(M353, Lookups_Metadata!$G$4:$H$7, 2, FALSE())</f>
        <v>Clear / Few Clouds</v>
      </c>
      <c r="O353" s="40" t="n">
        <v>0.26</v>
      </c>
      <c r="P353" s="40" t="n">
        <v>0.303</v>
      </c>
      <c r="Q353" s="40" t="n">
        <f aca="false">IF(OR(P353="", ISBLANK(P353)), ROUND(0.9367*O353+0.0175, 4), P353)</f>
        <v>0.303</v>
      </c>
      <c r="R353" s="35" t="str">
        <f aca="false">IF(OR(P353="", ISBLANK(P353)), "Imputed (Regression/Trend)", "Original")</f>
        <v>Original</v>
      </c>
      <c r="S353" s="40" t="n">
        <v>0.56</v>
      </c>
      <c r="T353" s="40" t="n">
        <v>0</v>
      </c>
      <c r="U353" s="41" t="n">
        <v>6</v>
      </c>
      <c r="V353" s="41" t="n">
        <v>33</v>
      </c>
      <c r="W353" s="41" t="n">
        <f aca="false">U353+V353</f>
        <v>39</v>
      </c>
      <c r="X353" s="42" t="n">
        <f aca="false">U353/W353</f>
        <v>0.153846153846154</v>
      </c>
      <c r="Y353" s="42" t="n">
        <f aca="false">V353/W353</f>
        <v>0.846153846153846</v>
      </c>
      <c r="Z353" s="35" t="str">
        <f aca="false">IF(W353&gt;=150, "High Demand", IF(W353&gt;=50, "Moderate Demand", "Low Demand"))</f>
        <v>Low Demand</v>
      </c>
      <c r="AA353" s="39" t="str">
        <f aca="false">TEXT(G353, "00") &amp; ":00"</f>
        <v>00:00</v>
      </c>
      <c r="AB353" s="37" t="n">
        <f aca="false">YEAR(B353)</f>
        <v>2011</v>
      </c>
      <c r="AC353" s="35" t="str">
        <f aca="false">TEXT(B353, "mmmm")</f>
        <v>January</v>
      </c>
      <c r="AD353" s="37" t="n">
        <f aca="false">LEN(TEXT(B353, "YYYY-MM-DD"))</f>
        <v>10</v>
      </c>
      <c r="AE353" s="39" t="str">
        <f aca="false">LEFT(TEXT(B353, "YYYY-MM-DD"), 4)</f>
        <v>2011</v>
      </c>
      <c r="AF353" s="39" t="str">
        <f aca="false">RIGHT(TEXT(B353, "YYYY-MM-DD"), 2)</f>
        <v>16</v>
      </c>
    </row>
    <row r="354" customFormat="false" ht="15" hidden="false" customHeight="false" outlineLevel="0" collapsed="false">
      <c r="A354" s="43" t="n">
        <v>350</v>
      </c>
      <c r="B354" s="44" t="s">
        <v>92</v>
      </c>
      <c r="C354" s="43" t="n">
        <v>1</v>
      </c>
      <c r="D354" s="33" t="str">
        <f aca="false">VLOOKUP(C354, Lookups_Metadata!$A$4:$B$7, 2, FALSE())</f>
        <v>Spring</v>
      </c>
      <c r="E354" s="43" t="n">
        <v>0</v>
      </c>
      <c r="F354" s="43" t="n">
        <v>1</v>
      </c>
      <c r="G354" s="43" t="n">
        <v>1</v>
      </c>
      <c r="H354" s="45" t="b">
        <f aca="false">FALSE()</f>
        <v>0</v>
      </c>
      <c r="I354" s="43" t="n">
        <v>0</v>
      </c>
      <c r="J354" s="33" t="str">
        <f aca="false">INDEX(Lookups_Metadata!$E$4:$E$10, MATCH(I354, Lookups_Metadata!$D$4:$D$10, 0))</f>
        <v>Sunday</v>
      </c>
      <c r="K354" s="33" t="str">
        <f aca="false">IF(H354=TRUE(), "Holiday", IF(OR(I354=0, I354=6), "Weekend", "Weekday"))</f>
        <v>Weekend</v>
      </c>
      <c r="L354" s="33" t="str">
        <f aca="false">IF(AND(K354="Weekday", OR(AND(G354&gt;=7, G354&lt;=9), AND(G354&gt;=17, G354&lt;=19))), "Peak Commute", "Off-Peak")</f>
        <v>Off-Peak</v>
      </c>
      <c r="M354" s="43" t="n">
        <v>1</v>
      </c>
      <c r="N354" s="33" t="str">
        <f aca="false">VLOOKUP(M354, Lookups_Metadata!$G$4:$H$7, 2, FALSE())</f>
        <v>Clear / Few Clouds</v>
      </c>
      <c r="O354" s="46" t="n">
        <v>0.26</v>
      </c>
      <c r="P354" s="46" t="n">
        <v>0.2727</v>
      </c>
      <c r="Q354" s="46" t="n">
        <f aca="false">IF(OR(P354="", ISBLANK(P354)), ROUND(0.9367*O354+0.0175, 4), P354)</f>
        <v>0.2727</v>
      </c>
      <c r="R354" s="33" t="str">
        <f aca="false">IF(OR(P354="", ISBLANK(P354)), "Imputed (Regression/Trend)", "Original")</f>
        <v>Original</v>
      </c>
      <c r="S354" s="46" t="n">
        <v>0.56</v>
      </c>
      <c r="T354" s="46" t="n">
        <v>0.1343</v>
      </c>
      <c r="U354" s="18" t="n">
        <v>4</v>
      </c>
      <c r="V354" s="18" t="n">
        <v>19</v>
      </c>
      <c r="W354" s="18" t="n">
        <f aca="false">U354+V354</f>
        <v>23</v>
      </c>
      <c r="X354" s="47" t="n">
        <f aca="false">U354/W354</f>
        <v>0.173913043478261</v>
      </c>
      <c r="Y354" s="47" t="n">
        <f aca="false">V354/W354</f>
        <v>0.826086956521739</v>
      </c>
      <c r="Z354" s="33" t="str">
        <f aca="false">IF(W354&gt;=150, "High Demand", IF(W354&gt;=50, "Moderate Demand", "Low Demand"))</f>
        <v>Low Demand</v>
      </c>
      <c r="AA354" s="45" t="str">
        <f aca="false">TEXT(G354, "00") &amp; ":00"</f>
        <v>01:00</v>
      </c>
      <c r="AB354" s="43" t="n">
        <f aca="false">YEAR(B354)</f>
        <v>2011</v>
      </c>
      <c r="AC354" s="33" t="str">
        <f aca="false">TEXT(B354, "mmmm")</f>
        <v>January</v>
      </c>
      <c r="AD354" s="43" t="n">
        <f aca="false">LEN(TEXT(B354, "YYYY-MM-DD"))</f>
        <v>10</v>
      </c>
      <c r="AE354" s="45" t="str">
        <f aca="false">LEFT(TEXT(B354, "YYYY-MM-DD"), 4)</f>
        <v>2011</v>
      </c>
      <c r="AF354" s="45" t="str">
        <f aca="false">RIGHT(TEXT(B354, "YYYY-MM-DD"), 2)</f>
        <v>16</v>
      </c>
    </row>
    <row r="355" customFormat="false" ht="15" hidden="false" customHeight="false" outlineLevel="0" collapsed="false">
      <c r="A355" s="37" t="n">
        <v>351</v>
      </c>
      <c r="B355" s="38" t="s">
        <v>92</v>
      </c>
      <c r="C355" s="37" t="n">
        <v>1</v>
      </c>
      <c r="D355" s="35" t="str">
        <f aca="false">VLOOKUP(C355, Lookups_Metadata!$A$4:$B$7, 2, FALSE())</f>
        <v>Spring</v>
      </c>
      <c r="E355" s="37" t="n">
        <v>0</v>
      </c>
      <c r="F355" s="37" t="n">
        <v>1</v>
      </c>
      <c r="G355" s="37" t="n">
        <v>2</v>
      </c>
      <c r="H355" s="39" t="b">
        <f aca="false">FALSE()</f>
        <v>0</v>
      </c>
      <c r="I355" s="37" t="n">
        <v>0</v>
      </c>
      <c r="J355" s="35" t="str">
        <f aca="false">INDEX(Lookups_Metadata!$E$4:$E$10, MATCH(I355, Lookups_Metadata!$D$4:$D$10, 0))</f>
        <v>Sunday</v>
      </c>
      <c r="K355" s="35" t="str">
        <f aca="false">IF(H355=TRUE(), "Holiday", IF(OR(I355=0, I355=6), "Weekend", "Weekday"))</f>
        <v>Weekend</v>
      </c>
      <c r="L355" s="35" t="str">
        <f aca="false">IF(AND(K355="Weekday", OR(AND(G355&gt;=7, G355&lt;=9), AND(G355&gt;=17, G355&lt;=19))), "Peak Commute", "Off-Peak")</f>
        <v>Off-Peak</v>
      </c>
      <c r="M355" s="37" t="n">
        <v>1</v>
      </c>
      <c r="N355" s="35" t="str">
        <f aca="false">VLOOKUP(M355, Lookups_Metadata!$G$4:$H$7, 2, FALSE())</f>
        <v>Clear / Few Clouds</v>
      </c>
      <c r="O355" s="40" t="n">
        <v>0.26</v>
      </c>
      <c r="P355" s="40" t="n">
        <v>0.2879</v>
      </c>
      <c r="Q355" s="40" t="n">
        <f aca="false">IF(OR(P355="", ISBLANK(P355)), ROUND(0.9367*O355+0.0175, 4), P355)</f>
        <v>0.2879</v>
      </c>
      <c r="R355" s="35" t="str">
        <f aca="false">IF(OR(P355="", ISBLANK(P355)), "Imputed (Regression/Trend)", "Original")</f>
        <v>Original</v>
      </c>
      <c r="S355" s="40" t="n">
        <v>0.56</v>
      </c>
      <c r="T355" s="40" t="n">
        <v>0.0896</v>
      </c>
      <c r="U355" s="41" t="n">
        <v>3</v>
      </c>
      <c r="V355" s="41" t="n">
        <v>13</v>
      </c>
      <c r="W355" s="41" t="n">
        <f aca="false">U355+V355</f>
        <v>16</v>
      </c>
      <c r="X355" s="42" t="n">
        <f aca="false">U355/W355</f>
        <v>0.1875</v>
      </c>
      <c r="Y355" s="42" t="n">
        <f aca="false">V355/W355</f>
        <v>0.8125</v>
      </c>
      <c r="Z355" s="35" t="str">
        <f aca="false">IF(W355&gt;=150, "High Demand", IF(W355&gt;=50, "Moderate Demand", "Low Demand"))</f>
        <v>Low Demand</v>
      </c>
      <c r="AA355" s="39" t="str">
        <f aca="false">TEXT(G355, "00") &amp; ":00"</f>
        <v>02:00</v>
      </c>
      <c r="AB355" s="37" t="n">
        <f aca="false">YEAR(B355)</f>
        <v>2011</v>
      </c>
      <c r="AC355" s="35" t="str">
        <f aca="false">TEXT(B355, "mmmm")</f>
        <v>January</v>
      </c>
      <c r="AD355" s="37" t="n">
        <f aca="false">LEN(TEXT(B355, "YYYY-MM-DD"))</f>
        <v>10</v>
      </c>
      <c r="AE355" s="39" t="str">
        <f aca="false">LEFT(TEXT(B355, "YYYY-MM-DD"), 4)</f>
        <v>2011</v>
      </c>
      <c r="AF355" s="39" t="str">
        <f aca="false">RIGHT(TEXT(B355, "YYYY-MM-DD"), 2)</f>
        <v>16</v>
      </c>
    </row>
    <row r="356" customFormat="false" ht="15" hidden="false" customHeight="false" outlineLevel="0" collapsed="false">
      <c r="A356" s="43" t="n">
        <v>352</v>
      </c>
      <c r="B356" s="44" t="s">
        <v>92</v>
      </c>
      <c r="C356" s="43" t="n">
        <v>1</v>
      </c>
      <c r="D356" s="33" t="str">
        <f aca="false">VLOOKUP(C356, Lookups_Metadata!$A$4:$B$7, 2, FALSE())</f>
        <v>Spring</v>
      </c>
      <c r="E356" s="43" t="n">
        <v>0</v>
      </c>
      <c r="F356" s="43" t="n">
        <v>1</v>
      </c>
      <c r="G356" s="43" t="n">
        <v>3</v>
      </c>
      <c r="H356" s="45" t="b">
        <f aca="false">FALSE()</f>
        <v>0</v>
      </c>
      <c r="I356" s="43" t="n">
        <v>0</v>
      </c>
      <c r="J356" s="33" t="str">
        <f aca="false">INDEX(Lookups_Metadata!$E$4:$E$10, MATCH(I356, Lookups_Metadata!$D$4:$D$10, 0))</f>
        <v>Sunday</v>
      </c>
      <c r="K356" s="33" t="str">
        <f aca="false">IF(H356=TRUE(), "Holiday", IF(OR(I356=0, I356=6), "Weekend", "Weekday"))</f>
        <v>Weekend</v>
      </c>
      <c r="L356" s="33" t="str">
        <f aca="false">IF(AND(K356="Weekday", OR(AND(G356&gt;=7, G356&lt;=9), AND(G356&gt;=17, G356&lt;=19))), "Peak Commute", "Off-Peak")</f>
        <v>Off-Peak</v>
      </c>
      <c r="M356" s="43" t="n">
        <v>1</v>
      </c>
      <c r="N356" s="33" t="str">
        <f aca="false">VLOOKUP(M356, Lookups_Metadata!$G$4:$H$7, 2, FALSE())</f>
        <v>Clear / Few Clouds</v>
      </c>
      <c r="O356" s="46" t="n">
        <v>0.22</v>
      </c>
      <c r="P356" s="46" t="n">
        <v>0.2727</v>
      </c>
      <c r="Q356" s="46" t="n">
        <f aca="false">IF(OR(P356="", ISBLANK(P356)), ROUND(0.9367*O356+0.0175, 4), P356)</f>
        <v>0.2727</v>
      </c>
      <c r="R356" s="33" t="str">
        <f aca="false">IF(OR(P356="", ISBLANK(P356)), "Imputed (Regression/Trend)", "Original")</f>
        <v>Original</v>
      </c>
      <c r="S356" s="46" t="n">
        <v>0.69</v>
      </c>
      <c r="T356" s="46" t="n">
        <v>0</v>
      </c>
      <c r="U356" s="18" t="n">
        <v>9</v>
      </c>
      <c r="V356" s="18" t="n">
        <v>6</v>
      </c>
      <c r="W356" s="18" t="n">
        <f aca="false">U356+V356</f>
        <v>15</v>
      </c>
      <c r="X356" s="47" t="n">
        <f aca="false">U356/W356</f>
        <v>0.6</v>
      </c>
      <c r="Y356" s="47" t="n">
        <f aca="false">V356/W356</f>
        <v>0.4</v>
      </c>
      <c r="Z356" s="33" t="str">
        <f aca="false">IF(W356&gt;=150, "High Demand", IF(W356&gt;=50, "Moderate Demand", "Low Demand"))</f>
        <v>Low Demand</v>
      </c>
      <c r="AA356" s="45" t="str">
        <f aca="false">TEXT(G356, "00") &amp; ":00"</f>
        <v>03:00</v>
      </c>
      <c r="AB356" s="43" t="n">
        <f aca="false">YEAR(B356)</f>
        <v>2011</v>
      </c>
      <c r="AC356" s="33" t="str">
        <f aca="false">TEXT(B356, "mmmm")</f>
        <v>January</v>
      </c>
      <c r="AD356" s="43" t="n">
        <f aca="false">LEN(TEXT(B356, "YYYY-MM-DD"))</f>
        <v>10</v>
      </c>
      <c r="AE356" s="45" t="str">
        <f aca="false">LEFT(TEXT(B356, "YYYY-MM-DD"), 4)</f>
        <v>2011</v>
      </c>
      <c r="AF356" s="45" t="str">
        <f aca="false">RIGHT(TEXT(B356, "YYYY-MM-DD"), 2)</f>
        <v>16</v>
      </c>
    </row>
    <row r="357" customFormat="false" ht="15" hidden="false" customHeight="false" outlineLevel="0" collapsed="false">
      <c r="A357" s="37" t="n">
        <v>353</v>
      </c>
      <c r="B357" s="38" t="s">
        <v>92</v>
      </c>
      <c r="C357" s="37" t="n">
        <v>1</v>
      </c>
      <c r="D357" s="35" t="str">
        <f aca="false">VLOOKUP(C357, Lookups_Metadata!$A$4:$B$7, 2, FALSE())</f>
        <v>Spring</v>
      </c>
      <c r="E357" s="37" t="n">
        <v>0</v>
      </c>
      <c r="F357" s="37" t="n">
        <v>1</v>
      </c>
      <c r="G357" s="37" t="n">
        <v>4</v>
      </c>
      <c r="H357" s="39" t="b">
        <f aca="false">FALSE()</f>
        <v>0</v>
      </c>
      <c r="I357" s="37" t="n">
        <v>0</v>
      </c>
      <c r="J357" s="35" t="str">
        <f aca="false">INDEX(Lookups_Metadata!$E$4:$E$10, MATCH(I357, Lookups_Metadata!$D$4:$D$10, 0))</f>
        <v>Sunday</v>
      </c>
      <c r="K357" s="35" t="str">
        <f aca="false">IF(H357=TRUE(), "Holiday", IF(OR(I357=0, I357=6), "Weekend", "Weekday"))</f>
        <v>Weekend</v>
      </c>
      <c r="L357" s="35" t="str">
        <f aca="false">IF(AND(K357="Weekday", OR(AND(G357&gt;=7, G357&lt;=9), AND(G357&gt;=17, G357&lt;=19))), "Peak Commute", "Off-Peak")</f>
        <v>Off-Peak</v>
      </c>
      <c r="M357" s="37" t="n">
        <v>1</v>
      </c>
      <c r="N357" s="35" t="str">
        <f aca="false">VLOOKUP(M357, Lookups_Metadata!$G$4:$H$7, 2, FALSE())</f>
        <v>Clear / Few Clouds</v>
      </c>
      <c r="O357" s="40" t="n">
        <v>0.26</v>
      </c>
      <c r="P357" s="40" t="n">
        <v>0.2576</v>
      </c>
      <c r="Q357" s="40" t="n">
        <f aca="false">IF(OR(P357="", ISBLANK(P357)), ROUND(0.9367*O357+0.0175, 4), P357)</f>
        <v>0.2576</v>
      </c>
      <c r="R357" s="35" t="str">
        <f aca="false">IF(OR(P357="", ISBLANK(P357)), "Imputed (Regression/Trend)", "Original")</f>
        <v>Original</v>
      </c>
      <c r="S357" s="40" t="n">
        <v>0.56</v>
      </c>
      <c r="T357" s="40" t="n">
        <v>0.1642</v>
      </c>
      <c r="U357" s="41" t="n">
        <v>0</v>
      </c>
      <c r="V357" s="41" t="n">
        <v>1</v>
      </c>
      <c r="W357" s="41" t="n">
        <f aca="false">U357+V357</f>
        <v>1</v>
      </c>
      <c r="X357" s="42" t="n">
        <f aca="false">U357/W357</f>
        <v>0</v>
      </c>
      <c r="Y357" s="42" t="n">
        <f aca="false">V357/W357</f>
        <v>1</v>
      </c>
      <c r="Z357" s="35" t="str">
        <f aca="false">IF(W357&gt;=150, "High Demand", IF(W357&gt;=50, "Moderate Demand", "Low Demand"))</f>
        <v>Low Demand</v>
      </c>
      <c r="AA357" s="39" t="str">
        <f aca="false">TEXT(G357, "00") &amp; ":00"</f>
        <v>04:00</v>
      </c>
      <c r="AB357" s="37" t="n">
        <f aca="false">YEAR(B357)</f>
        <v>2011</v>
      </c>
      <c r="AC357" s="35" t="str">
        <f aca="false">TEXT(B357, "mmmm")</f>
        <v>January</v>
      </c>
      <c r="AD357" s="37" t="n">
        <f aca="false">LEN(TEXT(B357, "YYYY-MM-DD"))</f>
        <v>10</v>
      </c>
      <c r="AE357" s="39" t="str">
        <f aca="false">LEFT(TEXT(B357, "YYYY-MM-DD"), 4)</f>
        <v>2011</v>
      </c>
      <c r="AF357" s="39" t="str">
        <f aca="false">RIGHT(TEXT(B357, "YYYY-MM-DD"), 2)</f>
        <v>16</v>
      </c>
    </row>
    <row r="358" customFormat="false" ht="15" hidden="false" customHeight="false" outlineLevel="0" collapsed="false">
      <c r="A358" s="43" t="n">
        <v>354</v>
      </c>
      <c r="B358" s="44" t="s">
        <v>92</v>
      </c>
      <c r="C358" s="43" t="n">
        <v>1</v>
      </c>
      <c r="D358" s="33" t="str">
        <f aca="false">VLOOKUP(C358, Lookups_Metadata!$A$4:$B$7, 2, FALSE())</f>
        <v>Spring</v>
      </c>
      <c r="E358" s="43" t="n">
        <v>0</v>
      </c>
      <c r="F358" s="43" t="n">
        <v>1</v>
      </c>
      <c r="G358" s="43" t="n">
        <v>5</v>
      </c>
      <c r="H358" s="45" t="b">
        <f aca="false">FALSE()</f>
        <v>0</v>
      </c>
      <c r="I358" s="43" t="n">
        <v>0</v>
      </c>
      <c r="J358" s="33" t="str">
        <f aca="false">INDEX(Lookups_Metadata!$E$4:$E$10, MATCH(I358, Lookups_Metadata!$D$4:$D$10, 0))</f>
        <v>Sunday</v>
      </c>
      <c r="K358" s="33" t="str">
        <f aca="false">IF(H358=TRUE(), "Holiday", IF(OR(I358=0, I358=6), "Weekend", "Weekday"))</f>
        <v>Weekend</v>
      </c>
      <c r="L358" s="33" t="str">
        <f aca="false">IF(AND(K358="Weekday", OR(AND(G358&gt;=7, G358&lt;=9), AND(G358&gt;=17, G358&lt;=19))), "Peak Commute", "Off-Peak")</f>
        <v>Off-Peak</v>
      </c>
      <c r="M358" s="43" t="n">
        <v>2</v>
      </c>
      <c r="N358" s="33" t="str">
        <f aca="false">VLOOKUP(M358, Lookups_Metadata!$G$4:$H$7, 2, FALSE())</f>
        <v>Mist / Cloudy</v>
      </c>
      <c r="O358" s="46" t="n">
        <v>0.26</v>
      </c>
      <c r="P358" s="46" t="n">
        <v>0.2576</v>
      </c>
      <c r="Q358" s="46" t="n">
        <f aca="false">IF(OR(P358="", ISBLANK(P358)), ROUND(0.9367*O358+0.0175, 4), P358)</f>
        <v>0.2576</v>
      </c>
      <c r="R358" s="33" t="str">
        <f aca="false">IF(OR(P358="", ISBLANK(P358)), "Imputed (Regression/Trend)", "Original")</f>
        <v>Original</v>
      </c>
      <c r="S358" s="46" t="n">
        <v>0.56</v>
      </c>
      <c r="T358" s="46" t="n">
        <v>0.1642</v>
      </c>
      <c r="U358" s="18" t="n">
        <v>1</v>
      </c>
      <c r="V358" s="18" t="n">
        <v>1</v>
      </c>
      <c r="W358" s="18" t="n">
        <f aca="false">U358+V358</f>
        <v>2</v>
      </c>
      <c r="X358" s="47" t="n">
        <f aca="false">U358/W358</f>
        <v>0.5</v>
      </c>
      <c r="Y358" s="47" t="n">
        <f aca="false">V358/W358</f>
        <v>0.5</v>
      </c>
      <c r="Z358" s="33" t="str">
        <f aca="false">IF(W358&gt;=150, "High Demand", IF(W358&gt;=50, "Moderate Demand", "Low Demand"))</f>
        <v>Low Demand</v>
      </c>
      <c r="AA358" s="45" t="str">
        <f aca="false">TEXT(G358, "00") &amp; ":00"</f>
        <v>05:00</v>
      </c>
      <c r="AB358" s="43" t="n">
        <f aca="false">YEAR(B358)</f>
        <v>2011</v>
      </c>
      <c r="AC358" s="33" t="str">
        <f aca="false">TEXT(B358, "mmmm")</f>
        <v>January</v>
      </c>
      <c r="AD358" s="43" t="n">
        <f aca="false">LEN(TEXT(B358, "YYYY-MM-DD"))</f>
        <v>10</v>
      </c>
      <c r="AE358" s="45" t="str">
        <f aca="false">LEFT(TEXT(B358, "YYYY-MM-DD"), 4)</f>
        <v>2011</v>
      </c>
      <c r="AF358" s="45" t="str">
        <f aca="false">RIGHT(TEXT(B358, "YYYY-MM-DD"), 2)</f>
        <v>16</v>
      </c>
    </row>
    <row r="359" customFormat="false" ht="15" hidden="false" customHeight="false" outlineLevel="0" collapsed="false">
      <c r="A359" s="37" t="n">
        <v>355</v>
      </c>
      <c r="B359" s="38" t="s">
        <v>92</v>
      </c>
      <c r="C359" s="37" t="n">
        <v>1</v>
      </c>
      <c r="D359" s="35" t="str">
        <f aca="false">VLOOKUP(C359, Lookups_Metadata!$A$4:$B$7, 2, FALSE())</f>
        <v>Spring</v>
      </c>
      <c r="E359" s="37" t="n">
        <v>0</v>
      </c>
      <c r="F359" s="37" t="n">
        <v>1</v>
      </c>
      <c r="G359" s="37" t="n">
        <v>6</v>
      </c>
      <c r="H359" s="39" t="b">
        <f aca="false">FALSE()</f>
        <v>0</v>
      </c>
      <c r="I359" s="37" t="n">
        <v>0</v>
      </c>
      <c r="J359" s="35" t="str">
        <f aca="false">INDEX(Lookups_Metadata!$E$4:$E$10, MATCH(I359, Lookups_Metadata!$D$4:$D$10, 0))</f>
        <v>Sunday</v>
      </c>
      <c r="K359" s="35" t="str">
        <f aca="false">IF(H359=TRUE(), "Holiday", IF(OR(I359=0, I359=6), "Weekend", "Weekday"))</f>
        <v>Weekend</v>
      </c>
      <c r="L359" s="35" t="str">
        <f aca="false">IF(AND(K359="Weekday", OR(AND(G359&gt;=7, G359&lt;=9), AND(G359&gt;=17, G359&lt;=19))), "Peak Commute", "Off-Peak")</f>
        <v>Off-Peak</v>
      </c>
      <c r="M359" s="37" t="n">
        <v>2</v>
      </c>
      <c r="N359" s="35" t="str">
        <f aca="false">VLOOKUP(M359, Lookups_Metadata!$G$4:$H$7, 2, FALSE())</f>
        <v>Mist / Cloudy</v>
      </c>
      <c r="O359" s="40" t="n">
        <v>0.26</v>
      </c>
      <c r="P359" s="40" t="n">
        <v>0.2576</v>
      </c>
      <c r="Q359" s="40" t="n">
        <f aca="false">IF(OR(P359="", ISBLANK(P359)), ROUND(0.9367*O359+0.0175, 4), P359)</f>
        <v>0.2576</v>
      </c>
      <c r="R359" s="35" t="str">
        <f aca="false">IF(OR(P359="", ISBLANK(P359)), "Imputed (Regression/Trend)", "Original")</f>
        <v>Original</v>
      </c>
      <c r="S359" s="40" t="n">
        <v>0.56</v>
      </c>
      <c r="T359" s="40" t="n">
        <v>0.1642</v>
      </c>
      <c r="U359" s="41" t="n">
        <v>0</v>
      </c>
      <c r="V359" s="41" t="n">
        <v>1</v>
      </c>
      <c r="W359" s="41" t="n">
        <f aca="false">U359+V359</f>
        <v>1</v>
      </c>
      <c r="X359" s="42" t="n">
        <f aca="false">U359/W359</f>
        <v>0</v>
      </c>
      <c r="Y359" s="42" t="n">
        <f aca="false">V359/W359</f>
        <v>1</v>
      </c>
      <c r="Z359" s="35" t="str">
        <f aca="false">IF(W359&gt;=150, "High Demand", IF(W359&gt;=50, "Moderate Demand", "Low Demand"))</f>
        <v>Low Demand</v>
      </c>
      <c r="AA359" s="39" t="str">
        <f aca="false">TEXT(G359, "00") &amp; ":00"</f>
        <v>06:00</v>
      </c>
      <c r="AB359" s="37" t="n">
        <f aca="false">YEAR(B359)</f>
        <v>2011</v>
      </c>
      <c r="AC359" s="35" t="str">
        <f aca="false">TEXT(B359, "mmmm")</f>
        <v>January</v>
      </c>
      <c r="AD359" s="37" t="n">
        <f aca="false">LEN(TEXT(B359, "YYYY-MM-DD"))</f>
        <v>10</v>
      </c>
      <c r="AE359" s="39" t="str">
        <f aca="false">LEFT(TEXT(B359, "YYYY-MM-DD"), 4)</f>
        <v>2011</v>
      </c>
      <c r="AF359" s="39" t="str">
        <f aca="false">RIGHT(TEXT(B359, "YYYY-MM-DD"), 2)</f>
        <v>16</v>
      </c>
    </row>
    <row r="360" customFormat="false" ht="15" hidden="false" customHeight="false" outlineLevel="0" collapsed="false">
      <c r="A360" s="43" t="n">
        <v>356</v>
      </c>
      <c r="B360" s="44" t="s">
        <v>92</v>
      </c>
      <c r="C360" s="43" t="n">
        <v>1</v>
      </c>
      <c r="D360" s="33" t="str">
        <f aca="false">VLOOKUP(C360, Lookups_Metadata!$A$4:$B$7, 2, FALSE())</f>
        <v>Spring</v>
      </c>
      <c r="E360" s="43" t="n">
        <v>0</v>
      </c>
      <c r="F360" s="43" t="n">
        <v>1</v>
      </c>
      <c r="G360" s="43" t="n">
        <v>7</v>
      </c>
      <c r="H360" s="45" t="b">
        <f aca="false">FALSE()</f>
        <v>0</v>
      </c>
      <c r="I360" s="43" t="n">
        <v>0</v>
      </c>
      <c r="J360" s="33" t="str">
        <f aca="false">INDEX(Lookups_Metadata!$E$4:$E$10, MATCH(I360, Lookups_Metadata!$D$4:$D$10, 0))</f>
        <v>Sunday</v>
      </c>
      <c r="K360" s="33" t="str">
        <f aca="false">IF(H360=TRUE(), "Holiday", IF(OR(I360=0, I360=6), "Weekend", "Weekday"))</f>
        <v>Weekend</v>
      </c>
      <c r="L360" s="33" t="str">
        <f aca="false">IF(AND(K360="Weekday", OR(AND(G360&gt;=7, G360&lt;=9), AND(G360&gt;=17, G360&lt;=19))), "Peak Commute", "Off-Peak")</f>
        <v>Off-Peak</v>
      </c>
      <c r="M360" s="43" t="n">
        <v>2</v>
      </c>
      <c r="N360" s="33" t="str">
        <f aca="false">VLOOKUP(M360, Lookups_Metadata!$G$4:$H$7, 2, FALSE())</f>
        <v>Mist / Cloudy</v>
      </c>
      <c r="O360" s="46" t="n">
        <v>0.24</v>
      </c>
      <c r="P360" s="46" t="n">
        <v>0.2121</v>
      </c>
      <c r="Q360" s="46" t="n">
        <f aca="false">IF(OR(P360="", ISBLANK(P360)), ROUND(0.9367*O360+0.0175, 4), P360)</f>
        <v>0.2121</v>
      </c>
      <c r="R360" s="33" t="str">
        <f aca="false">IF(OR(P360="", ISBLANK(P360)), "Imputed (Regression/Trend)", "Original")</f>
        <v>Original</v>
      </c>
      <c r="S360" s="46" t="n">
        <v>0.56</v>
      </c>
      <c r="T360" s="46" t="n">
        <v>0.2985</v>
      </c>
      <c r="U360" s="18" t="n">
        <v>0</v>
      </c>
      <c r="V360" s="18" t="n">
        <v>3</v>
      </c>
      <c r="W360" s="18" t="n">
        <f aca="false">U360+V360</f>
        <v>3</v>
      </c>
      <c r="X360" s="47" t="n">
        <f aca="false">U360/W360</f>
        <v>0</v>
      </c>
      <c r="Y360" s="47" t="n">
        <f aca="false">V360/W360</f>
        <v>1</v>
      </c>
      <c r="Z360" s="33" t="str">
        <f aca="false">IF(W360&gt;=150, "High Demand", IF(W360&gt;=50, "Moderate Demand", "Low Demand"))</f>
        <v>Low Demand</v>
      </c>
      <c r="AA360" s="45" t="str">
        <f aca="false">TEXT(G360, "00") &amp; ":00"</f>
        <v>07:00</v>
      </c>
      <c r="AB360" s="43" t="n">
        <f aca="false">YEAR(B360)</f>
        <v>2011</v>
      </c>
      <c r="AC360" s="33" t="str">
        <f aca="false">TEXT(B360, "mmmm")</f>
        <v>January</v>
      </c>
      <c r="AD360" s="43" t="n">
        <f aca="false">LEN(TEXT(B360, "YYYY-MM-DD"))</f>
        <v>10</v>
      </c>
      <c r="AE360" s="45" t="str">
        <f aca="false">LEFT(TEXT(B360, "YYYY-MM-DD"), 4)</f>
        <v>2011</v>
      </c>
      <c r="AF360" s="45" t="str">
        <f aca="false">RIGHT(TEXT(B360, "YYYY-MM-DD"), 2)</f>
        <v>16</v>
      </c>
    </row>
    <row r="361" customFormat="false" ht="15" hidden="false" customHeight="false" outlineLevel="0" collapsed="false">
      <c r="A361" s="37" t="n">
        <v>357</v>
      </c>
      <c r="B361" s="38" t="s">
        <v>92</v>
      </c>
      <c r="C361" s="37" t="n">
        <v>1</v>
      </c>
      <c r="D361" s="35" t="str">
        <f aca="false">VLOOKUP(C361, Lookups_Metadata!$A$4:$B$7, 2, FALSE())</f>
        <v>Spring</v>
      </c>
      <c r="E361" s="37" t="n">
        <v>0</v>
      </c>
      <c r="F361" s="37" t="n">
        <v>1</v>
      </c>
      <c r="G361" s="37" t="n">
        <v>8</v>
      </c>
      <c r="H361" s="39" t="b">
        <f aca="false">FALSE()</f>
        <v>0</v>
      </c>
      <c r="I361" s="37" t="n">
        <v>0</v>
      </c>
      <c r="J361" s="35" t="str">
        <f aca="false">INDEX(Lookups_Metadata!$E$4:$E$10, MATCH(I361, Lookups_Metadata!$D$4:$D$10, 0))</f>
        <v>Sunday</v>
      </c>
      <c r="K361" s="35" t="str">
        <f aca="false">IF(H361=TRUE(), "Holiday", IF(OR(I361=0, I361=6), "Weekend", "Weekday"))</f>
        <v>Weekend</v>
      </c>
      <c r="L361" s="35" t="str">
        <f aca="false">IF(AND(K361="Weekday", OR(AND(G361&gt;=7, G361&lt;=9), AND(G361&gt;=17, G361&lt;=19))), "Peak Commute", "Off-Peak")</f>
        <v>Off-Peak</v>
      </c>
      <c r="M361" s="37" t="n">
        <v>1</v>
      </c>
      <c r="N361" s="35" t="str">
        <f aca="false">VLOOKUP(M361, Lookups_Metadata!$G$4:$H$7, 2, FALSE())</f>
        <v>Clear / Few Clouds</v>
      </c>
      <c r="O361" s="40" t="n">
        <v>0.22</v>
      </c>
      <c r="P361" s="40" t="n">
        <v>0.2121</v>
      </c>
      <c r="Q361" s="40" t="n">
        <f aca="false">IF(OR(P361="", ISBLANK(P361)), ROUND(0.9367*O361+0.0175, 4), P361)</f>
        <v>0.2121</v>
      </c>
      <c r="R361" s="35" t="str">
        <f aca="false">IF(OR(P361="", ISBLANK(P361)), "Imputed (Regression/Trend)", "Original")</f>
        <v>Original</v>
      </c>
      <c r="S361" s="40" t="n">
        <v>0.55</v>
      </c>
      <c r="T361" s="40" t="n">
        <v>0.2836</v>
      </c>
      <c r="U361" s="41" t="n">
        <v>0</v>
      </c>
      <c r="V361" s="41" t="n">
        <v>18</v>
      </c>
      <c r="W361" s="41" t="n">
        <f aca="false">U361+V361</f>
        <v>18</v>
      </c>
      <c r="X361" s="42" t="n">
        <f aca="false">U361/W361</f>
        <v>0</v>
      </c>
      <c r="Y361" s="42" t="n">
        <f aca="false">V361/W361</f>
        <v>1</v>
      </c>
      <c r="Z361" s="35" t="str">
        <f aca="false">IF(W361&gt;=150, "High Demand", IF(W361&gt;=50, "Moderate Demand", "Low Demand"))</f>
        <v>Low Demand</v>
      </c>
      <c r="AA361" s="39" t="str">
        <f aca="false">TEXT(G361, "00") &amp; ":00"</f>
        <v>08:00</v>
      </c>
      <c r="AB361" s="37" t="n">
        <f aca="false">YEAR(B361)</f>
        <v>2011</v>
      </c>
      <c r="AC361" s="35" t="str">
        <f aca="false">TEXT(B361, "mmmm")</f>
        <v>January</v>
      </c>
      <c r="AD361" s="37" t="n">
        <f aca="false">LEN(TEXT(B361, "YYYY-MM-DD"))</f>
        <v>10</v>
      </c>
      <c r="AE361" s="39" t="str">
        <f aca="false">LEFT(TEXT(B361, "YYYY-MM-DD"), 4)</f>
        <v>2011</v>
      </c>
      <c r="AF361" s="39" t="str">
        <f aca="false">RIGHT(TEXT(B361, "YYYY-MM-DD"), 2)</f>
        <v>16</v>
      </c>
    </row>
    <row r="362" customFormat="false" ht="15" hidden="false" customHeight="false" outlineLevel="0" collapsed="false">
      <c r="A362" s="43" t="n">
        <v>358</v>
      </c>
      <c r="B362" s="44" t="s">
        <v>92</v>
      </c>
      <c r="C362" s="43" t="n">
        <v>1</v>
      </c>
      <c r="D362" s="33" t="str">
        <f aca="false">VLOOKUP(C362, Lookups_Metadata!$A$4:$B$7, 2, FALSE())</f>
        <v>Spring</v>
      </c>
      <c r="E362" s="43" t="n">
        <v>0</v>
      </c>
      <c r="F362" s="43" t="n">
        <v>1</v>
      </c>
      <c r="G362" s="43" t="n">
        <v>9</v>
      </c>
      <c r="H362" s="45" t="b">
        <f aca="false">FALSE()</f>
        <v>0</v>
      </c>
      <c r="I362" s="43" t="n">
        <v>0</v>
      </c>
      <c r="J362" s="33" t="str">
        <f aca="false">INDEX(Lookups_Metadata!$E$4:$E$10, MATCH(I362, Lookups_Metadata!$D$4:$D$10, 0))</f>
        <v>Sunday</v>
      </c>
      <c r="K362" s="33" t="str">
        <f aca="false">IF(H362=TRUE(), "Holiday", IF(OR(I362=0, I362=6), "Weekend", "Weekday"))</f>
        <v>Weekend</v>
      </c>
      <c r="L362" s="33" t="str">
        <f aca="false">IF(AND(K362="Weekday", OR(AND(G362&gt;=7, G362&lt;=9), AND(G362&gt;=17, G362&lt;=19))), "Peak Commute", "Off-Peak")</f>
        <v>Off-Peak</v>
      </c>
      <c r="M362" s="43" t="n">
        <v>1</v>
      </c>
      <c r="N362" s="33" t="str">
        <f aca="false">VLOOKUP(M362, Lookups_Metadata!$G$4:$H$7, 2, FALSE())</f>
        <v>Clear / Few Clouds</v>
      </c>
      <c r="O362" s="46" t="n">
        <v>0.22</v>
      </c>
      <c r="P362" s="46" t="n">
        <v>0.2121</v>
      </c>
      <c r="Q362" s="46" t="n">
        <f aca="false">IF(OR(P362="", ISBLANK(P362)), ROUND(0.9367*O362+0.0175, 4), P362)</f>
        <v>0.2121</v>
      </c>
      <c r="R362" s="33" t="str">
        <f aca="false">IF(OR(P362="", ISBLANK(P362)), "Imputed (Regression/Trend)", "Original")</f>
        <v>Original</v>
      </c>
      <c r="S362" s="46" t="n">
        <v>0.51</v>
      </c>
      <c r="T362" s="46" t="n">
        <v>0.2537</v>
      </c>
      <c r="U362" s="18" t="n">
        <v>3</v>
      </c>
      <c r="V362" s="18" t="n">
        <v>29</v>
      </c>
      <c r="W362" s="18" t="n">
        <f aca="false">U362+V362</f>
        <v>32</v>
      </c>
      <c r="X362" s="47" t="n">
        <f aca="false">U362/W362</f>
        <v>0.09375</v>
      </c>
      <c r="Y362" s="47" t="n">
        <f aca="false">V362/W362</f>
        <v>0.90625</v>
      </c>
      <c r="Z362" s="33" t="str">
        <f aca="false">IF(W362&gt;=150, "High Demand", IF(W362&gt;=50, "Moderate Demand", "Low Demand"))</f>
        <v>Low Demand</v>
      </c>
      <c r="AA362" s="45" t="str">
        <f aca="false">TEXT(G362, "00") &amp; ":00"</f>
        <v>09:00</v>
      </c>
      <c r="AB362" s="43" t="n">
        <f aca="false">YEAR(B362)</f>
        <v>2011</v>
      </c>
      <c r="AC362" s="33" t="str">
        <f aca="false">TEXT(B362, "mmmm")</f>
        <v>January</v>
      </c>
      <c r="AD362" s="43" t="n">
        <f aca="false">LEN(TEXT(B362, "YYYY-MM-DD"))</f>
        <v>10</v>
      </c>
      <c r="AE362" s="45" t="str">
        <f aca="false">LEFT(TEXT(B362, "YYYY-MM-DD"), 4)</f>
        <v>2011</v>
      </c>
      <c r="AF362" s="45" t="str">
        <f aca="false">RIGHT(TEXT(B362, "YYYY-MM-DD"), 2)</f>
        <v>16</v>
      </c>
    </row>
    <row r="363" customFormat="false" ht="15" hidden="false" customHeight="false" outlineLevel="0" collapsed="false">
      <c r="A363" s="37" t="n">
        <v>359</v>
      </c>
      <c r="B363" s="38" t="s">
        <v>92</v>
      </c>
      <c r="C363" s="37" t="n">
        <v>1</v>
      </c>
      <c r="D363" s="35" t="str">
        <f aca="false">VLOOKUP(C363, Lookups_Metadata!$A$4:$B$7, 2, FALSE())</f>
        <v>Spring</v>
      </c>
      <c r="E363" s="37" t="n">
        <v>0</v>
      </c>
      <c r="F363" s="37" t="n">
        <v>1</v>
      </c>
      <c r="G363" s="37" t="n">
        <v>10</v>
      </c>
      <c r="H363" s="39" t="b">
        <f aca="false">FALSE()</f>
        <v>0</v>
      </c>
      <c r="I363" s="37" t="n">
        <v>0</v>
      </c>
      <c r="J363" s="35" t="str">
        <f aca="false">INDEX(Lookups_Metadata!$E$4:$E$10, MATCH(I363, Lookups_Metadata!$D$4:$D$10, 0))</f>
        <v>Sunday</v>
      </c>
      <c r="K363" s="35" t="str">
        <f aca="false">IF(H363=TRUE(), "Holiday", IF(OR(I363=0, I363=6), "Weekend", "Weekday"))</f>
        <v>Weekend</v>
      </c>
      <c r="L363" s="35" t="str">
        <f aca="false">IF(AND(K363="Weekday", OR(AND(G363&gt;=7, G363&lt;=9), AND(G363&gt;=17, G363&lt;=19))), "Peak Commute", "Off-Peak")</f>
        <v>Off-Peak</v>
      </c>
      <c r="M363" s="37" t="n">
        <v>1</v>
      </c>
      <c r="N363" s="35" t="str">
        <f aca="false">VLOOKUP(M363, Lookups_Metadata!$G$4:$H$7, 2, FALSE())</f>
        <v>Clear / Few Clouds</v>
      </c>
      <c r="O363" s="40" t="n">
        <v>0.22</v>
      </c>
      <c r="P363" s="40" t="n">
        <v>0.2121</v>
      </c>
      <c r="Q363" s="40" t="n">
        <f aca="false">IF(OR(P363="", ISBLANK(P363)), ROUND(0.9367*O363+0.0175, 4), P363)</f>
        <v>0.2121</v>
      </c>
      <c r="R363" s="35" t="str">
        <f aca="false">IF(OR(P363="", ISBLANK(P363)), "Imputed (Regression/Trend)", "Original")</f>
        <v>Original</v>
      </c>
      <c r="S363" s="40" t="n">
        <v>0.51</v>
      </c>
      <c r="T363" s="40" t="n">
        <v>0.2836</v>
      </c>
      <c r="U363" s="41" t="n">
        <v>8</v>
      </c>
      <c r="V363" s="41" t="n">
        <v>71</v>
      </c>
      <c r="W363" s="41" t="n">
        <f aca="false">U363+V363</f>
        <v>79</v>
      </c>
      <c r="X363" s="42" t="n">
        <f aca="false">U363/W363</f>
        <v>0.10126582278481</v>
      </c>
      <c r="Y363" s="42" t="n">
        <f aca="false">V363/W363</f>
        <v>0.89873417721519</v>
      </c>
      <c r="Z363" s="35" t="str">
        <f aca="false">IF(W363&gt;=150, "High Demand", IF(W363&gt;=50, "Moderate Demand", "Low Demand"))</f>
        <v>Moderate Demand</v>
      </c>
      <c r="AA363" s="39" t="str">
        <f aca="false">TEXT(G363, "00") &amp; ":00"</f>
        <v>10:00</v>
      </c>
      <c r="AB363" s="37" t="n">
        <f aca="false">YEAR(B363)</f>
        <v>2011</v>
      </c>
      <c r="AC363" s="35" t="str">
        <f aca="false">TEXT(B363, "mmmm")</f>
        <v>January</v>
      </c>
      <c r="AD363" s="37" t="n">
        <f aca="false">LEN(TEXT(B363, "YYYY-MM-DD"))</f>
        <v>10</v>
      </c>
      <c r="AE363" s="39" t="str">
        <f aca="false">LEFT(TEXT(B363, "YYYY-MM-DD"), 4)</f>
        <v>2011</v>
      </c>
      <c r="AF363" s="39" t="str">
        <f aca="false">RIGHT(TEXT(B363, "YYYY-MM-DD"), 2)</f>
        <v>16</v>
      </c>
    </row>
    <row r="364" customFormat="false" ht="15" hidden="false" customHeight="false" outlineLevel="0" collapsed="false">
      <c r="A364" s="43" t="n">
        <v>360</v>
      </c>
      <c r="B364" s="44" t="s">
        <v>92</v>
      </c>
      <c r="C364" s="43" t="n">
        <v>1</v>
      </c>
      <c r="D364" s="33" t="str">
        <f aca="false">VLOOKUP(C364, Lookups_Metadata!$A$4:$B$7, 2, FALSE())</f>
        <v>Spring</v>
      </c>
      <c r="E364" s="43" t="n">
        <v>0</v>
      </c>
      <c r="F364" s="43" t="n">
        <v>1</v>
      </c>
      <c r="G364" s="43" t="n">
        <v>11</v>
      </c>
      <c r="H364" s="45" t="b">
        <f aca="false">FALSE()</f>
        <v>0</v>
      </c>
      <c r="I364" s="43" t="n">
        <v>0</v>
      </c>
      <c r="J364" s="33" t="str">
        <f aca="false">INDEX(Lookups_Metadata!$E$4:$E$10, MATCH(I364, Lookups_Metadata!$D$4:$D$10, 0))</f>
        <v>Sunday</v>
      </c>
      <c r="K364" s="33" t="str">
        <f aca="false">IF(H364=TRUE(), "Holiday", IF(OR(I364=0, I364=6), "Weekend", "Weekday"))</f>
        <v>Weekend</v>
      </c>
      <c r="L364" s="33" t="str">
        <f aca="false">IF(AND(K364="Weekday", OR(AND(G364&gt;=7, G364&lt;=9), AND(G364&gt;=17, G364&lt;=19))), "Peak Commute", "Off-Peak")</f>
        <v>Off-Peak</v>
      </c>
      <c r="M364" s="43" t="n">
        <v>1</v>
      </c>
      <c r="N364" s="33" t="str">
        <f aca="false">VLOOKUP(M364, Lookups_Metadata!$G$4:$H$7, 2, FALSE())</f>
        <v>Clear / Few Clouds</v>
      </c>
      <c r="O364" s="46" t="n">
        <v>0.24</v>
      </c>
      <c r="P364" s="46" t="n">
        <v>0.2273</v>
      </c>
      <c r="Q364" s="46" t="n">
        <f aca="false">IF(OR(P364="", ISBLANK(P364)), ROUND(0.9367*O364+0.0175, 4), P364)</f>
        <v>0.2273</v>
      </c>
      <c r="R364" s="33" t="str">
        <f aca="false">IF(OR(P364="", ISBLANK(P364)), "Imputed (Regression/Trend)", "Original")</f>
        <v>Original</v>
      </c>
      <c r="S364" s="46" t="n">
        <v>0.44</v>
      </c>
      <c r="T364" s="46" t="n">
        <v>0.2537</v>
      </c>
      <c r="U364" s="18" t="n">
        <v>23</v>
      </c>
      <c r="V364" s="18" t="n">
        <v>70</v>
      </c>
      <c r="W364" s="18" t="n">
        <f aca="false">U364+V364</f>
        <v>93</v>
      </c>
      <c r="X364" s="47" t="n">
        <f aca="false">U364/W364</f>
        <v>0.247311827956989</v>
      </c>
      <c r="Y364" s="47" t="n">
        <f aca="false">V364/W364</f>
        <v>0.752688172043011</v>
      </c>
      <c r="Z364" s="33" t="str">
        <f aca="false">IF(W364&gt;=150, "High Demand", IF(W364&gt;=50, "Moderate Demand", "Low Demand"))</f>
        <v>Moderate Demand</v>
      </c>
      <c r="AA364" s="45" t="str">
        <f aca="false">TEXT(G364, "00") &amp; ":00"</f>
        <v>11:00</v>
      </c>
      <c r="AB364" s="43" t="n">
        <f aca="false">YEAR(B364)</f>
        <v>2011</v>
      </c>
      <c r="AC364" s="33" t="str">
        <f aca="false">TEXT(B364, "mmmm")</f>
        <v>January</v>
      </c>
      <c r="AD364" s="43" t="n">
        <f aca="false">LEN(TEXT(B364, "YYYY-MM-DD"))</f>
        <v>10</v>
      </c>
      <c r="AE364" s="45" t="str">
        <f aca="false">LEFT(TEXT(B364, "YYYY-MM-DD"), 4)</f>
        <v>2011</v>
      </c>
      <c r="AF364" s="45" t="str">
        <f aca="false">RIGHT(TEXT(B364, "YYYY-MM-DD"), 2)</f>
        <v>16</v>
      </c>
    </row>
    <row r="365" customFormat="false" ht="15" hidden="false" customHeight="false" outlineLevel="0" collapsed="false">
      <c r="A365" s="37" t="n">
        <v>361</v>
      </c>
      <c r="B365" s="38" t="s">
        <v>92</v>
      </c>
      <c r="C365" s="37" t="n">
        <v>1</v>
      </c>
      <c r="D365" s="35" t="str">
        <f aca="false">VLOOKUP(C365, Lookups_Metadata!$A$4:$B$7, 2, FALSE())</f>
        <v>Spring</v>
      </c>
      <c r="E365" s="37" t="n">
        <v>0</v>
      </c>
      <c r="F365" s="37" t="n">
        <v>1</v>
      </c>
      <c r="G365" s="37" t="n">
        <v>12</v>
      </c>
      <c r="H365" s="39" t="b">
        <f aca="false">FALSE()</f>
        <v>0</v>
      </c>
      <c r="I365" s="37" t="n">
        <v>0</v>
      </c>
      <c r="J365" s="35" t="str">
        <f aca="false">INDEX(Lookups_Metadata!$E$4:$E$10, MATCH(I365, Lookups_Metadata!$D$4:$D$10, 0))</f>
        <v>Sunday</v>
      </c>
      <c r="K365" s="35" t="str">
        <f aca="false">IF(H365=TRUE(), "Holiday", IF(OR(I365=0, I365=6), "Weekend", "Weekday"))</f>
        <v>Weekend</v>
      </c>
      <c r="L365" s="35" t="str">
        <f aca="false">IF(AND(K365="Weekday", OR(AND(G365&gt;=7, G365&lt;=9), AND(G365&gt;=17, G365&lt;=19))), "Peak Commute", "Off-Peak")</f>
        <v>Off-Peak</v>
      </c>
      <c r="M365" s="37" t="n">
        <v>1</v>
      </c>
      <c r="N365" s="35" t="str">
        <f aca="false">VLOOKUP(M365, Lookups_Metadata!$G$4:$H$7, 2, FALSE())</f>
        <v>Clear / Few Clouds</v>
      </c>
      <c r="O365" s="40" t="n">
        <v>0.24</v>
      </c>
      <c r="P365" s="40" t="n">
        <v>0.2121</v>
      </c>
      <c r="Q365" s="40" t="n">
        <f aca="false">IF(OR(P365="", ISBLANK(P365)), ROUND(0.9367*O365+0.0175, 4), P365)</f>
        <v>0.2121</v>
      </c>
      <c r="R365" s="35" t="str">
        <f aca="false">IF(OR(P365="", ISBLANK(P365)), "Imputed (Regression/Trend)", "Original")</f>
        <v>Original</v>
      </c>
      <c r="S365" s="40" t="n">
        <v>0.41</v>
      </c>
      <c r="T365" s="40" t="n">
        <v>0.2836</v>
      </c>
      <c r="U365" s="41" t="n">
        <v>29</v>
      </c>
      <c r="V365" s="41" t="n">
        <v>75</v>
      </c>
      <c r="W365" s="41" t="n">
        <f aca="false">U365+V365</f>
        <v>104</v>
      </c>
      <c r="X365" s="42" t="n">
        <f aca="false">U365/W365</f>
        <v>0.278846153846154</v>
      </c>
      <c r="Y365" s="42" t="n">
        <f aca="false">V365/W365</f>
        <v>0.721153846153846</v>
      </c>
      <c r="Z365" s="35" t="str">
        <f aca="false">IF(W365&gt;=150, "High Demand", IF(W365&gt;=50, "Moderate Demand", "Low Demand"))</f>
        <v>Moderate Demand</v>
      </c>
      <c r="AA365" s="39" t="str">
        <f aca="false">TEXT(G365, "00") &amp; ":00"</f>
        <v>12:00</v>
      </c>
      <c r="AB365" s="37" t="n">
        <f aca="false">YEAR(B365)</f>
        <v>2011</v>
      </c>
      <c r="AC365" s="35" t="str">
        <f aca="false">TEXT(B365, "mmmm")</f>
        <v>January</v>
      </c>
      <c r="AD365" s="37" t="n">
        <f aca="false">LEN(TEXT(B365, "YYYY-MM-DD"))</f>
        <v>10</v>
      </c>
      <c r="AE365" s="39" t="str">
        <f aca="false">LEFT(TEXT(B365, "YYYY-MM-DD"), 4)</f>
        <v>2011</v>
      </c>
      <c r="AF365" s="39" t="str">
        <f aca="false">RIGHT(TEXT(B365, "YYYY-MM-DD"), 2)</f>
        <v>16</v>
      </c>
    </row>
    <row r="366" customFormat="false" ht="15" hidden="false" customHeight="false" outlineLevel="0" collapsed="false">
      <c r="A366" s="43" t="n">
        <v>362</v>
      </c>
      <c r="B366" s="44" t="s">
        <v>92</v>
      </c>
      <c r="C366" s="43" t="n">
        <v>1</v>
      </c>
      <c r="D366" s="33" t="str">
        <f aca="false">VLOOKUP(C366, Lookups_Metadata!$A$4:$B$7, 2, FALSE())</f>
        <v>Spring</v>
      </c>
      <c r="E366" s="43" t="n">
        <v>0</v>
      </c>
      <c r="F366" s="43" t="n">
        <v>1</v>
      </c>
      <c r="G366" s="43" t="n">
        <v>13</v>
      </c>
      <c r="H366" s="45" t="b">
        <f aca="false">FALSE()</f>
        <v>0</v>
      </c>
      <c r="I366" s="43" t="n">
        <v>0</v>
      </c>
      <c r="J366" s="33" t="str">
        <f aca="false">INDEX(Lookups_Metadata!$E$4:$E$10, MATCH(I366, Lookups_Metadata!$D$4:$D$10, 0))</f>
        <v>Sunday</v>
      </c>
      <c r="K366" s="33" t="str">
        <f aca="false">IF(H366=TRUE(), "Holiday", IF(OR(I366=0, I366=6), "Weekend", "Weekday"))</f>
        <v>Weekend</v>
      </c>
      <c r="L366" s="33" t="str">
        <f aca="false">IF(AND(K366="Weekday", OR(AND(G366&gt;=7, G366&lt;=9), AND(G366&gt;=17, G366&lt;=19))), "Peak Commute", "Off-Peak")</f>
        <v>Off-Peak</v>
      </c>
      <c r="M366" s="43" t="n">
        <v>1</v>
      </c>
      <c r="N366" s="33" t="str">
        <f aca="false">VLOOKUP(M366, Lookups_Metadata!$G$4:$H$7, 2, FALSE())</f>
        <v>Clear / Few Clouds</v>
      </c>
      <c r="O366" s="46" t="n">
        <v>0.26</v>
      </c>
      <c r="P366" s="46" t="n">
        <v>0.2273</v>
      </c>
      <c r="Q366" s="46" t="n">
        <f aca="false">IF(OR(P366="", ISBLANK(P366)), ROUND(0.9367*O366+0.0175, 4), P366)</f>
        <v>0.2273</v>
      </c>
      <c r="R366" s="33" t="str">
        <f aca="false">IF(OR(P366="", ISBLANK(P366)), "Imputed (Regression/Trend)", "Original")</f>
        <v>Original</v>
      </c>
      <c r="S366" s="46" t="n">
        <v>0.35</v>
      </c>
      <c r="T366" s="46" t="n">
        <v>0.2985</v>
      </c>
      <c r="U366" s="18" t="n">
        <v>23</v>
      </c>
      <c r="V366" s="18" t="n">
        <v>95</v>
      </c>
      <c r="W366" s="18" t="n">
        <f aca="false">U366+V366</f>
        <v>118</v>
      </c>
      <c r="X366" s="47" t="n">
        <f aca="false">U366/W366</f>
        <v>0.194915254237288</v>
      </c>
      <c r="Y366" s="47" t="n">
        <f aca="false">V366/W366</f>
        <v>0.805084745762712</v>
      </c>
      <c r="Z366" s="33" t="str">
        <f aca="false">IF(W366&gt;=150, "High Demand", IF(W366&gt;=50, "Moderate Demand", "Low Demand"))</f>
        <v>Moderate Demand</v>
      </c>
      <c r="AA366" s="45" t="str">
        <f aca="false">TEXT(G366, "00") &amp; ":00"</f>
        <v>13:00</v>
      </c>
      <c r="AB366" s="43" t="n">
        <f aca="false">YEAR(B366)</f>
        <v>2011</v>
      </c>
      <c r="AC366" s="33" t="str">
        <f aca="false">TEXT(B366, "mmmm")</f>
        <v>January</v>
      </c>
      <c r="AD366" s="43" t="n">
        <f aca="false">LEN(TEXT(B366, "YYYY-MM-DD"))</f>
        <v>10</v>
      </c>
      <c r="AE366" s="45" t="str">
        <f aca="false">LEFT(TEXT(B366, "YYYY-MM-DD"), 4)</f>
        <v>2011</v>
      </c>
      <c r="AF366" s="45" t="str">
        <f aca="false">RIGHT(TEXT(B366, "YYYY-MM-DD"), 2)</f>
        <v>16</v>
      </c>
    </row>
    <row r="367" customFormat="false" ht="15" hidden="false" customHeight="false" outlineLevel="0" collapsed="false">
      <c r="A367" s="37" t="n">
        <v>363</v>
      </c>
      <c r="B367" s="38" t="s">
        <v>92</v>
      </c>
      <c r="C367" s="37" t="n">
        <v>1</v>
      </c>
      <c r="D367" s="35" t="str">
        <f aca="false">VLOOKUP(C367, Lookups_Metadata!$A$4:$B$7, 2, FALSE())</f>
        <v>Spring</v>
      </c>
      <c r="E367" s="37" t="n">
        <v>0</v>
      </c>
      <c r="F367" s="37" t="n">
        <v>1</v>
      </c>
      <c r="G367" s="37" t="n">
        <v>14</v>
      </c>
      <c r="H367" s="39" t="b">
        <f aca="false">FALSE()</f>
        <v>0</v>
      </c>
      <c r="I367" s="37" t="n">
        <v>0</v>
      </c>
      <c r="J367" s="35" t="str">
        <f aca="false">INDEX(Lookups_Metadata!$E$4:$E$10, MATCH(I367, Lookups_Metadata!$D$4:$D$10, 0))</f>
        <v>Sunday</v>
      </c>
      <c r="K367" s="35" t="str">
        <f aca="false">IF(H367=TRUE(), "Holiday", IF(OR(I367=0, I367=6), "Weekend", "Weekday"))</f>
        <v>Weekend</v>
      </c>
      <c r="L367" s="35" t="str">
        <f aca="false">IF(AND(K367="Weekday", OR(AND(G367&gt;=7, G367&lt;=9), AND(G367&gt;=17, G367&lt;=19))), "Peak Commute", "Off-Peak")</f>
        <v>Off-Peak</v>
      </c>
      <c r="M367" s="37" t="n">
        <v>1</v>
      </c>
      <c r="N367" s="35" t="str">
        <f aca="false">VLOOKUP(M367, Lookups_Metadata!$G$4:$H$7, 2, FALSE())</f>
        <v>Clear / Few Clouds</v>
      </c>
      <c r="O367" s="40" t="n">
        <v>0.28</v>
      </c>
      <c r="P367" s="40" t="n">
        <v>0.2727</v>
      </c>
      <c r="Q367" s="40" t="n">
        <f aca="false">IF(OR(P367="", ISBLANK(P367)), ROUND(0.9367*O367+0.0175, 4), P367)</f>
        <v>0.2727</v>
      </c>
      <c r="R367" s="35" t="str">
        <f aca="false">IF(OR(P367="", ISBLANK(P367)), "Imputed (Regression/Trend)", "Original")</f>
        <v>Original</v>
      </c>
      <c r="S367" s="40" t="n">
        <v>0.36</v>
      </c>
      <c r="T367" s="40" t="n">
        <v>0.2537</v>
      </c>
      <c r="U367" s="41" t="n">
        <v>22</v>
      </c>
      <c r="V367" s="41" t="n">
        <v>69</v>
      </c>
      <c r="W367" s="41" t="n">
        <f aca="false">U367+V367</f>
        <v>91</v>
      </c>
      <c r="X367" s="42" t="n">
        <f aca="false">U367/W367</f>
        <v>0.241758241758242</v>
      </c>
      <c r="Y367" s="42" t="n">
        <f aca="false">V367/W367</f>
        <v>0.758241758241758</v>
      </c>
      <c r="Z367" s="35" t="str">
        <f aca="false">IF(W367&gt;=150, "High Demand", IF(W367&gt;=50, "Moderate Demand", "Low Demand"))</f>
        <v>Moderate Demand</v>
      </c>
      <c r="AA367" s="39" t="str">
        <f aca="false">TEXT(G367, "00") &amp; ":00"</f>
        <v>14:00</v>
      </c>
      <c r="AB367" s="37" t="n">
        <f aca="false">YEAR(B367)</f>
        <v>2011</v>
      </c>
      <c r="AC367" s="35" t="str">
        <f aca="false">TEXT(B367, "mmmm")</f>
        <v>January</v>
      </c>
      <c r="AD367" s="37" t="n">
        <f aca="false">LEN(TEXT(B367, "YYYY-MM-DD"))</f>
        <v>10</v>
      </c>
      <c r="AE367" s="39" t="str">
        <f aca="false">LEFT(TEXT(B367, "YYYY-MM-DD"), 4)</f>
        <v>2011</v>
      </c>
      <c r="AF367" s="39" t="str">
        <f aca="false">RIGHT(TEXT(B367, "YYYY-MM-DD"), 2)</f>
        <v>16</v>
      </c>
    </row>
    <row r="368" customFormat="false" ht="15" hidden="false" customHeight="false" outlineLevel="0" collapsed="false">
      <c r="A368" s="43" t="n">
        <v>364</v>
      </c>
      <c r="B368" s="44" t="s">
        <v>92</v>
      </c>
      <c r="C368" s="43" t="n">
        <v>1</v>
      </c>
      <c r="D368" s="33" t="str">
        <f aca="false">VLOOKUP(C368, Lookups_Metadata!$A$4:$B$7, 2, FALSE())</f>
        <v>Spring</v>
      </c>
      <c r="E368" s="43" t="n">
        <v>0</v>
      </c>
      <c r="F368" s="43" t="n">
        <v>1</v>
      </c>
      <c r="G368" s="43" t="n">
        <v>15</v>
      </c>
      <c r="H368" s="45" t="b">
        <f aca="false">FALSE()</f>
        <v>0</v>
      </c>
      <c r="I368" s="43" t="n">
        <v>0</v>
      </c>
      <c r="J368" s="33" t="str">
        <f aca="false">INDEX(Lookups_Metadata!$E$4:$E$10, MATCH(I368, Lookups_Metadata!$D$4:$D$10, 0))</f>
        <v>Sunday</v>
      </c>
      <c r="K368" s="33" t="str">
        <f aca="false">IF(H368=TRUE(), "Holiday", IF(OR(I368=0, I368=6), "Weekend", "Weekday"))</f>
        <v>Weekend</v>
      </c>
      <c r="L368" s="33" t="str">
        <f aca="false">IF(AND(K368="Weekday", OR(AND(G368&gt;=7, G368&lt;=9), AND(G368&gt;=17, G368&lt;=19))), "Peak Commute", "Off-Peak")</f>
        <v>Off-Peak</v>
      </c>
      <c r="M368" s="43" t="n">
        <v>1</v>
      </c>
      <c r="N368" s="33" t="str">
        <f aca="false">VLOOKUP(M368, Lookups_Metadata!$G$4:$H$7, 2, FALSE())</f>
        <v>Clear / Few Clouds</v>
      </c>
      <c r="O368" s="46" t="n">
        <v>0.26</v>
      </c>
      <c r="P368" s="46" t="n">
        <v>0.2424</v>
      </c>
      <c r="Q368" s="46" t="n">
        <f aca="false">IF(OR(P368="", ISBLANK(P368)), ROUND(0.9367*O368+0.0175, 4), P368)</f>
        <v>0.2424</v>
      </c>
      <c r="R368" s="33" t="str">
        <f aca="false">IF(OR(P368="", ISBLANK(P368)), "Imputed (Regression/Trend)", "Original")</f>
        <v>Original</v>
      </c>
      <c r="S368" s="46" t="n">
        <v>0.38</v>
      </c>
      <c r="T368" s="46" t="n">
        <v>0.2537</v>
      </c>
      <c r="U368" s="18" t="n">
        <v>35</v>
      </c>
      <c r="V368" s="18" t="n">
        <v>78</v>
      </c>
      <c r="W368" s="18" t="n">
        <f aca="false">U368+V368</f>
        <v>113</v>
      </c>
      <c r="X368" s="47" t="n">
        <f aca="false">U368/W368</f>
        <v>0.309734513274336</v>
      </c>
      <c r="Y368" s="47" t="n">
        <f aca="false">V368/W368</f>
        <v>0.690265486725664</v>
      </c>
      <c r="Z368" s="33" t="str">
        <f aca="false">IF(W368&gt;=150, "High Demand", IF(W368&gt;=50, "Moderate Demand", "Low Demand"))</f>
        <v>Moderate Demand</v>
      </c>
      <c r="AA368" s="45" t="str">
        <f aca="false">TEXT(G368, "00") &amp; ":00"</f>
        <v>15:00</v>
      </c>
      <c r="AB368" s="43" t="n">
        <f aca="false">YEAR(B368)</f>
        <v>2011</v>
      </c>
      <c r="AC368" s="33" t="str">
        <f aca="false">TEXT(B368, "mmmm")</f>
        <v>January</v>
      </c>
      <c r="AD368" s="43" t="n">
        <f aca="false">LEN(TEXT(B368, "YYYY-MM-DD"))</f>
        <v>10</v>
      </c>
      <c r="AE368" s="45" t="str">
        <f aca="false">LEFT(TEXT(B368, "YYYY-MM-DD"), 4)</f>
        <v>2011</v>
      </c>
      <c r="AF368" s="45" t="str">
        <f aca="false">RIGHT(TEXT(B368, "YYYY-MM-DD"), 2)</f>
        <v>16</v>
      </c>
    </row>
    <row r="369" customFormat="false" ht="15" hidden="false" customHeight="false" outlineLevel="0" collapsed="false">
      <c r="A369" s="37" t="n">
        <v>365</v>
      </c>
      <c r="B369" s="38" t="s">
        <v>92</v>
      </c>
      <c r="C369" s="37" t="n">
        <v>1</v>
      </c>
      <c r="D369" s="35" t="str">
        <f aca="false">VLOOKUP(C369, Lookups_Metadata!$A$4:$B$7, 2, FALSE())</f>
        <v>Spring</v>
      </c>
      <c r="E369" s="37" t="n">
        <v>0</v>
      </c>
      <c r="F369" s="37" t="n">
        <v>1</v>
      </c>
      <c r="G369" s="37" t="n">
        <v>16</v>
      </c>
      <c r="H369" s="39" t="b">
        <f aca="false">FALSE()</f>
        <v>0</v>
      </c>
      <c r="I369" s="37" t="n">
        <v>0</v>
      </c>
      <c r="J369" s="35" t="str">
        <f aca="false">INDEX(Lookups_Metadata!$E$4:$E$10, MATCH(I369, Lookups_Metadata!$D$4:$D$10, 0))</f>
        <v>Sunday</v>
      </c>
      <c r="K369" s="35" t="str">
        <f aca="false">IF(H369=TRUE(), "Holiday", IF(OR(I369=0, I369=6), "Weekend", "Weekday"))</f>
        <v>Weekend</v>
      </c>
      <c r="L369" s="35" t="str">
        <f aca="false">IF(AND(K369="Weekday", OR(AND(G369&gt;=7, G369&lt;=9), AND(G369&gt;=17, G369&lt;=19))), "Peak Commute", "Off-Peak")</f>
        <v>Off-Peak</v>
      </c>
      <c r="M369" s="37" t="n">
        <v>1</v>
      </c>
      <c r="N369" s="35" t="str">
        <f aca="false">VLOOKUP(M369, Lookups_Metadata!$G$4:$H$7, 2, FALSE())</f>
        <v>Clear / Few Clouds</v>
      </c>
      <c r="O369" s="40" t="n">
        <v>0.24</v>
      </c>
      <c r="P369" s="40" t="n">
        <v>0.2273</v>
      </c>
      <c r="Q369" s="40" t="n">
        <f aca="false">IF(OR(P369="", ISBLANK(P369)), ROUND(0.9367*O369+0.0175, 4), P369)</f>
        <v>0.2273</v>
      </c>
      <c r="R369" s="35" t="str">
        <f aca="false">IF(OR(P369="", ISBLANK(P369)), "Imputed (Regression/Trend)", "Original")</f>
        <v>Original</v>
      </c>
      <c r="S369" s="40" t="n">
        <v>0.38</v>
      </c>
      <c r="T369" s="40" t="n">
        <v>0.2239</v>
      </c>
      <c r="U369" s="41" t="n">
        <v>22</v>
      </c>
      <c r="V369" s="41" t="n">
        <v>77</v>
      </c>
      <c r="W369" s="41" t="n">
        <f aca="false">U369+V369</f>
        <v>99</v>
      </c>
      <c r="X369" s="42" t="n">
        <f aca="false">U369/W369</f>
        <v>0.222222222222222</v>
      </c>
      <c r="Y369" s="42" t="n">
        <f aca="false">V369/W369</f>
        <v>0.777777777777778</v>
      </c>
      <c r="Z369" s="35" t="str">
        <f aca="false">IF(W369&gt;=150, "High Demand", IF(W369&gt;=50, "Moderate Demand", "Low Demand"))</f>
        <v>Moderate Demand</v>
      </c>
      <c r="AA369" s="39" t="str">
        <f aca="false">TEXT(G369, "00") &amp; ":00"</f>
        <v>16:00</v>
      </c>
      <c r="AB369" s="37" t="n">
        <f aca="false">YEAR(B369)</f>
        <v>2011</v>
      </c>
      <c r="AC369" s="35" t="str">
        <f aca="false">TEXT(B369, "mmmm")</f>
        <v>January</v>
      </c>
      <c r="AD369" s="37" t="n">
        <f aca="false">LEN(TEXT(B369, "YYYY-MM-DD"))</f>
        <v>10</v>
      </c>
      <c r="AE369" s="39" t="str">
        <f aca="false">LEFT(TEXT(B369, "YYYY-MM-DD"), 4)</f>
        <v>2011</v>
      </c>
      <c r="AF369" s="39" t="str">
        <f aca="false">RIGHT(TEXT(B369, "YYYY-MM-DD"), 2)</f>
        <v>16</v>
      </c>
    </row>
    <row r="370" customFormat="false" ht="15" hidden="false" customHeight="false" outlineLevel="0" collapsed="false">
      <c r="A370" s="43" t="n">
        <v>366</v>
      </c>
      <c r="B370" s="44" t="s">
        <v>92</v>
      </c>
      <c r="C370" s="43" t="n">
        <v>1</v>
      </c>
      <c r="D370" s="33" t="str">
        <f aca="false">VLOOKUP(C370, Lookups_Metadata!$A$4:$B$7, 2, FALSE())</f>
        <v>Spring</v>
      </c>
      <c r="E370" s="43" t="n">
        <v>0</v>
      </c>
      <c r="F370" s="43" t="n">
        <v>1</v>
      </c>
      <c r="G370" s="43" t="n">
        <v>17</v>
      </c>
      <c r="H370" s="45" t="b">
        <f aca="false">FALSE()</f>
        <v>0</v>
      </c>
      <c r="I370" s="43" t="n">
        <v>0</v>
      </c>
      <c r="J370" s="33" t="str">
        <f aca="false">INDEX(Lookups_Metadata!$E$4:$E$10, MATCH(I370, Lookups_Metadata!$D$4:$D$10, 0))</f>
        <v>Sunday</v>
      </c>
      <c r="K370" s="33" t="str">
        <f aca="false">IF(H370=TRUE(), "Holiday", IF(OR(I370=0, I370=6), "Weekend", "Weekday"))</f>
        <v>Weekend</v>
      </c>
      <c r="L370" s="33" t="str">
        <f aca="false">IF(AND(K370="Weekday", OR(AND(G370&gt;=7, G370&lt;=9), AND(G370&gt;=17, G370&lt;=19))), "Peak Commute", "Off-Peak")</f>
        <v>Off-Peak</v>
      </c>
      <c r="M370" s="43" t="n">
        <v>1</v>
      </c>
      <c r="N370" s="33" t="str">
        <f aca="false">VLOOKUP(M370, Lookups_Metadata!$G$4:$H$7, 2, FALSE())</f>
        <v>Clear / Few Clouds</v>
      </c>
      <c r="O370" s="46" t="n">
        <v>0.22</v>
      </c>
      <c r="P370" s="46" t="n">
        <v>0.2121</v>
      </c>
      <c r="Q370" s="46" t="n">
        <f aca="false">IF(OR(P370="", ISBLANK(P370)), ROUND(0.9367*O370+0.0175, 4), P370)</f>
        <v>0.2121</v>
      </c>
      <c r="R370" s="33" t="str">
        <f aca="false">IF(OR(P370="", ISBLANK(P370)), "Imputed (Regression/Trend)", "Original")</f>
        <v>Original</v>
      </c>
      <c r="S370" s="46" t="n">
        <v>0.37</v>
      </c>
      <c r="T370" s="46" t="n">
        <v>0.2537</v>
      </c>
      <c r="U370" s="18" t="n">
        <v>23</v>
      </c>
      <c r="V370" s="18" t="n">
        <v>82</v>
      </c>
      <c r="W370" s="18" t="n">
        <f aca="false">U370+V370</f>
        <v>105</v>
      </c>
      <c r="X370" s="47" t="n">
        <f aca="false">U370/W370</f>
        <v>0.219047619047619</v>
      </c>
      <c r="Y370" s="47" t="n">
        <f aca="false">V370/W370</f>
        <v>0.780952380952381</v>
      </c>
      <c r="Z370" s="33" t="str">
        <f aca="false">IF(W370&gt;=150, "High Demand", IF(W370&gt;=50, "Moderate Demand", "Low Demand"))</f>
        <v>Moderate Demand</v>
      </c>
      <c r="AA370" s="45" t="str">
        <f aca="false">TEXT(G370, "00") &amp; ":00"</f>
        <v>17:00</v>
      </c>
      <c r="AB370" s="43" t="n">
        <f aca="false">YEAR(B370)</f>
        <v>2011</v>
      </c>
      <c r="AC370" s="33" t="str">
        <f aca="false">TEXT(B370, "mmmm")</f>
        <v>January</v>
      </c>
      <c r="AD370" s="43" t="n">
        <f aca="false">LEN(TEXT(B370, "YYYY-MM-DD"))</f>
        <v>10</v>
      </c>
      <c r="AE370" s="45" t="str">
        <f aca="false">LEFT(TEXT(B370, "YYYY-MM-DD"), 4)</f>
        <v>2011</v>
      </c>
      <c r="AF370" s="45" t="str">
        <f aca="false">RIGHT(TEXT(B370, "YYYY-MM-DD"), 2)</f>
        <v>16</v>
      </c>
    </row>
    <row r="371" customFormat="false" ht="15" hidden="false" customHeight="false" outlineLevel="0" collapsed="false">
      <c r="A371" s="37" t="n">
        <v>367</v>
      </c>
      <c r="B371" s="38" t="s">
        <v>92</v>
      </c>
      <c r="C371" s="37" t="n">
        <v>1</v>
      </c>
      <c r="D371" s="35" t="str">
        <f aca="false">VLOOKUP(C371, Lookups_Metadata!$A$4:$B$7, 2, FALSE())</f>
        <v>Spring</v>
      </c>
      <c r="E371" s="37" t="n">
        <v>0</v>
      </c>
      <c r="F371" s="37" t="n">
        <v>1</v>
      </c>
      <c r="G371" s="37" t="n">
        <v>18</v>
      </c>
      <c r="H371" s="39" t="b">
        <f aca="false">FALSE()</f>
        <v>0</v>
      </c>
      <c r="I371" s="37" t="n">
        <v>0</v>
      </c>
      <c r="J371" s="35" t="str">
        <f aca="false">INDEX(Lookups_Metadata!$E$4:$E$10, MATCH(I371, Lookups_Metadata!$D$4:$D$10, 0))</f>
        <v>Sunday</v>
      </c>
      <c r="K371" s="35" t="str">
        <f aca="false">IF(H371=TRUE(), "Holiday", IF(OR(I371=0, I371=6), "Weekend", "Weekday"))</f>
        <v>Weekend</v>
      </c>
      <c r="L371" s="35" t="str">
        <f aca="false">IF(AND(K371="Weekday", OR(AND(G371&gt;=7, G371&lt;=9), AND(G371&gt;=17, G371&lt;=19))), "Peak Commute", "Off-Peak")</f>
        <v>Off-Peak</v>
      </c>
      <c r="M371" s="37" t="n">
        <v>1</v>
      </c>
      <c r="N371" s="35" t="str">
        <f aca="false">VLOOKUP(M371, Lookups_Metadata!$G$4:$H$7, 2, FALSE())</f>
        <v>Clear / Few Clouds</v>
      </c>
      <c r="O371" s="40" t="n">
        <v>0.2</v>
      </c>
      <c r="P371" s="40" t="n">
        <v>0.2121</v>
      </c>
      <c r="Q371" s="40" t="n">
        <f aca="false">IF(OR(P371="", ISBLANK(P371)), ROUND(0.9367*O371+0.0175, 4), P371)</f>
        <v>0.2121</v>
      </c>
      <c r="R371" s="35" t="str">
        <f aca="false">IF(OR(P371="", ISBLANK(P371)), "Imputed (Regression/Trend)", "Original")</f>
        <v>Original</v>
      </c>
      <c r="S371" s="40" t="n">
        <v>0.4</v>
      </c>
      <c r="T371" s="40" t="n">
        <v>0.1642</v>
      </c>
      <c r="U371" s="41" t="n">
        <v>11</v>
      </c>
      <c r="V371" s="41" t="n">
        <v>56</v>
      </c>
      <c r="W371" s="41" t="n">
        <f aca="false">U371+V371</f>
        <v>67</v>
      </c>
      <c r="X371" s="42" t="n">
        <f aca="false">U371/W371</f>
        <v>0.164179104477612</v>
      </c>
      <c r="Y371" s="42" t="n">
        <f aca="false">V371/W371</f>
        <v>0.835820895522388</v>
      </c>
      <c r="Z371" s="35" t="str">
        <f aca="false">IF(W371&gt;=150, "High Demand", IF(W371&gt;=50, "Moderate Demand", "Low Demand"))</f>
        <v>Moderate Demand</v>
      </c>
      <c r="AA371" s="39" t="str">
        <f aca="false">TEXT(G371, "00") &amp; ":00"</f>
        <v>18:00</v>
      </c>
      <c r="AB371" s="37" t="n">
        <f aca="false">YEAR(B371)</f>
        <v>2011</v>
      </c>
      <c r="AC371" s="35" t="str">
        <f aca="false">TEXT(B371, "mmmm")</f>
        <v>January</v>
      </c>
      <c r="AD371" s="37" t="n">
        <f aca="false">LEN(TEXT(B371, "YYYY-MM-DD"))</f>
        <v>10</v>
      </c>
      <c r="AE371" s="39" t="str">
        <f aca="false">LEFT(TEXT(B371, "YYYY-MM-DD"), 4)</f>
        <v>2011</v>
      </c>
      <c r="AF371" s="39" t="str">
        <f aca="false">RIGHT(TEXT(B371, "YYYY-MM-DD"), 2)</f>
        <v>16</v>
      </c>
    </row>
    <row r="372" customFormat="false" ht="15" hidden="false" customHeight="false" outlineLevel="0" collapsed="false">
      <c r="A372" s="43" t="n">
        <v>368</v>
      </c>
      <c r="B372" s="44" t="s">
        <v>92</v>
      </c>
      <c r="C372" s="43" t="n">
        <v>1</v>
      </c>
      <c r="D372" s="33" t="str">
        <f aca="false">VLOOKUP(C372, Lookups_Metadata!$A$4:$B$7, 2, FALSE())</f>
        <v>Spring</v>
      </c>
      <c r="E372" s="43" t="n">
        <v>0</v>
      </c>
      <c r="F372" s="43" t="n">
        <v>1</v>
      </c>
      <c r="G372" s="43" t="n">
        <v>19</v>
      </c>
      <c r="H372" s="45" t="b">
        <f aca="false">FALSE()</f>
        <v>0</v>
      </c>
      <c r="I372" s="43" t="n">
        <v>0</v>
      </c>
      <c r="J372" s="33" t="str">
        <f aca="false">INDEX(Lookups_Metadata!$E$4:$E$10, MATCH(I372, Lookups_Metadata!$D$4:$D$10, 0))</f>
        <v>Sunday</v>
      </c>
      <c r="K372" s="33" t="str">
        <f aca="false">IF(H372=TRUE(), "Holiday", IF(OR(I372=0, I372=6), "Weekend", "Weekday"))</f>
        <v>Weekend</v>
      </c>
      <c r="L372" s="33" t="str">
        <f aca="false">IF(AND(K372="Weekday", OR(AND(G372&gt;=7, G372&lt;=9), AND(G372&gt;=17, G372&lt;=19))), "Peak Commute", "Off-Peak")</f>
        <v>Off-Peak</v>
      </c>
      <c r="M372" s="43" t="n">
        <v>1</v>
      </c>
      <c r="N372" s="33" t="str">
        <f aca="false">VLOOKUP(M372, Lookups_Metadata!$G$4:$H$7, 2, FALSE())</f>
        <v>Clear / Few Clouds</v>
      </c>
      <c r="O372" s="46" t="n">
        <v>0.18</v>
      </c>
      <c r="P372" s="46" t="n">
        <v>0.197</v>
      </c>
      <c r="Q372" s="46" t="n">
        <f aca="false">IF(OR(P372="", ISBLANK(P372)), ROUND(0.9367*O372+0.0175, 4), P372)</f>
        <v>0.197</v>
      </c>
      <c r="R372" s="33" t="str">
        <f aca="false">IF(OR(P372="", ISBLANK(P372)), "Imputed (Regression/Trend)", "Original")</f>
        <v>Original</v>
      </c>
      <c r="S372" s="46" t="n">
        <v>0.47</v>
      </c>
      <c r="T372" s="46" t="n">
        <v>0.1343</v>
      </c>
      <c r="U372" s="18" t="n">
        <v>14</v>
      </c>
      <c r="V372" s="18" t="n">
        <v>47</v>
      </c>
      <c r="W372" s="18" t="n">
        <f aca="false">U372+V372</f>
        <v>61</v>
      </c>
      <c r="X372" s="47" t="n">
        <f aca="false">U372/W372</f>
        <v>0.229508196721311</v>
      </c>
      <c r="Y372" s="47" t="n">
        <f aca="false">V372/W372</f>
        <v>0.770491803278689</v>
      </c>
      <c r="Z372" s="33" t="str">
        <f aca="false">IF(W372&gt;=150, "High Demand", IF(W372&gt;=50, "Moderate Demand", "Low Demand"))</f>
        <v>Moderate Demand</v>
      </c>
      <c r="AA372" s="45" t="str">
        <f aca="false">TEXT(G372, "00") &amp; ":00"</f>
        <v>19:00</v>
      </c>
      <c r="AB372" s="43" t="n">
        <f aca="false">YEAR(B372)</f>
        <v>2011</v>
      </c>
      <c r="AC372" s="33" t="str">
        <f aca="false">TEXT(B372, "mmmm")</f>
        <v>January</v>
      </c>
      <c r="AD372" s="43" t="n">
        <f aca="false">LEN(TEXT(B372, "YYYY-MM-DD"))</f>
        <v>10</v>
      </c>
      <c r="AE372" s="45" t="str">
        <f aca="false">LEFT(TEXT(B372, "YYYY-MM-DD"), 4)</f>
        <v>2011</v>
      </c>
      <c r="AF372" s="45" t="str">
        <f aca="false">RIGHT(TEXT(B372, "YYYY-MM-DD"), 2)</f>
        <v>16</v>
      </c>
    </row>
    <row r="373" customFormat="false" ht="15" hidden="false" customHeight="false" outlineLevel="0" collapsed="false">
      <c r="A373" s="37" t="n">
        <v>369</v>
      </c>
      <c r="B373" s="38" t="s">
        <v>92</v>
      </c>
      <c r="C373" s="37" t="n">
        <v>1</v>
      </c>
      <c r="D373" s="35" t="str">
        <f aca="false">VLOOKUP(C373, Lookups_Metadata!$A$4:$B$7, 2, FALSE())</f>
        <v>Spring</v>
      </c>
      <c r="E373" s="37" t="n">
        <v>0</v>
      </c>
      <c r="F373" s="37" t="n">
        <v>1</v>
      </c>
      <c r="G373" s="37" t="n">
        <v>20</v>
      </c>
      <c r="H373" s="39" t="b">
        <f aca="false">FALSE()</f>
        <v>0</v>
      </c>
      <c r="I373" s="37" t="n">
        <v>0</v>
      </c>
      <c r="J373" s="35" t="str">
        <f aca="false">INDEX(Lookups_Metadata!$E$4:$E$10, MATCH(I373, Lookups_Metadata!$D$4:$D$10, 0))</f>
        <v>Sunday</v>
      </c>
      <c r="K373" s="35" t="str">
        <f aca="false">IF(H373=TRUE(), "Holiday", IF(OR(I373=0, I373=6), "Weekend", "Weekday"))</f>
        <v>Weekend</v>
      </c>
      <c r="L373" s="35" t="str">
        <f aca="false">IF(AND(K373="Weekday", OR(AND(G373&gt;=7, G373&lt;=9), AND(G373&gt;=17, G373&lt;=19))), "Peak Commute", "Off-Peak")</f>
        <v>Off-Peak</v>
      </c>
      <c r="M373" s="37" t="n">
        <v>1</v>
      </c>
      <c r="N373" s="35" t="str">
        <f aca="false">VLOOKUP(M373, Lookups_Metadata!$G$4:$H$7, 2, FALSE())</f>
        <v>Clear / Few Clouds</v>
      </c>
      <c r="O373" s="40" t="n">
        <v>0.18</v>
      </c>
      <c r="P373" s="40" t="n">
        <v>0.197</v>
      </c>
      <c r="Q373" s="40" t="n">
        <f aca="false">IF(OR(P373="", ISBLANK(P373)), ROUND(0.9367*O373+0.0175, 4), P373)</f>
        <v>0.197</v>
      </c>
      <c r="R373" s="35" t="str">
        <f aca="false">IF(OR(P373="", ISBLANK(P373)), "Imputed (Regression/Trend)", "Original")</f>
        <v>Original</v>
      </c>
      <c r="S373" s="40" t="n">
        <v>0.47</v>
      </c>
      <c r="T373" s="40" t="n">
        <v>0.1642</v>
      </c>
      <c r="U373" s="41" t="n">
        <v>7</v>
      </c>
      <c r="V373" s="41" t="n">
        <v>50</v>
      </c>
      <c r="W373" s="41" t="n">
        <f aca="false">U373+V373</f>
        <v>57</v>
      </c>
      <c r="X373" s="42" t="n">
        <f aca="false">U373/W373</f>
        <v>0.12280701754386</v>
      </c>
      <c r="Y373" s="42" t="n">
        <f aca="false">V373/W373</f>
        <v>0.87719298245614</v>
      </c>
      <c r="Z373" s="35" t="str">
        <f aca="false">IF(W373&gt;=150, "High Demand", IF(W373&gt;=50, "Moderate Demand", "Low Demand"))</f>
        <v>Moderate Demand</v>
      </c>
      <c r="AA373" s="39" t="str">
        <f aca="false">TEXT(G373, "00") &amp; ":00"</f>
        <v>20:00</v>
      </c>
      <c r="AB373" s="37" t="n">
        <f aca="false">YEAR(B373)</f>
        <v>2011</v>
      </c>
      <c r="AC373" s="35" t="str">
        <f aca="false">TEXT(B373, "mmmm")</f>
        <v>January</v>
      </c>
      <c r="AD373" s="37" t="n">
        <f aca="false">LEN(TEXT(B373, "YYYY-MM-DD"))</f>
        <v>10</v>
      </c>
      <c r="AE373" s="39" t="str">
        <f aca="false">LEFT(TEXT(B373, "YYYY-MM-DD"), 4)</f>
        <v>2011</v>
      </c>
      <c r="AF373" s="39" t="str">
        <f aca="false">RIGHT(TEXT(B373, "YYYY-MM-DD"), 2)</f>
        <v>16</v>
      </c>
    </row>
    <row r="374" customFormat="false" ht="15" hidden="false" customHeight="false" outlineLevel="0" collapsed="false">
      <c r="A374" s="43" t="n">
        <v>370</v>
      </c>
      <c r="B374" s="44" t="s">
        <v>92</v>
      </c>
      <c r="C374" s="43" t="n">
        <v>1</v>
      </c>
      <c r="D374" s="33" t="str">
        <f aca="false">VLOOKUP(C374, Lookups_Metadata!$A$4:$B$7, 2, FALSE())</f>
        <v>Spring</v>
      </c>
      <c r="E374" s="43" t="n">
        <v>0</v>
      </c>
      <c r="F374" s="43" t="n">
        <v>1</v>
      </c>
      <c r="G374" s="43" t="n">
        <v>21</v>
      </c>
      <c r="H374" s="45" t="b">
        <f aca="false">FALSE()</f>
        <v>0</v>
      </c>
      <c r="I374" s="43" t="n">
        <v>0</v>
      </c>
      <c r="J374" s="33" t="str">
        <f aca="false">INDEX(Lookups_Metadata!$E$4:$E$10, MATCH(I374, Lookups_Metadata!$D$4:$D$10, 0))</f>
        <v>Sunday</v>
      </c>
      <c r="K374" s="33" t="str">
        <f aca="false">IF(H374=TRUE(), "Holiday", IF(OR(I374=0, I374=6), "Weekend", "Weekday"))</f>
        <v>Weekend</v>
      </c>
      <c r="L374" s="33" t="str">
        <f aca="false">IF(AND(K374="Weekday", OR(AND(G374&gt;=7, G374&lt;=9), AND(G374&gt;=17, G374&lt;=19))), "Peak Commute", "Off-Peak")</f>
        <v>Off-Peak</v>
      </c>
      <c r="M374" s="43" t="n">
        <v>1</v>
      </c>
      <c r="N374" s="33" t="str">
        <f aca="false">VLOOKUP(M374, Lookups_Metadata!$G$4:$H$7, 2, FALSE())</f>
        <v>Clear / Few Clouds</v>
      </c>
      <c r="O374" s="46" t="n">
        <v>0.18</v>
      </c>
      <c r="P374" s="46" t="n">
        <v>0.197</v>
      </c>
      <c r="Q374" s="46" t="n">
        <f aca="false">IF(OR(P374="", ISBLANK(P374)), ROUND(0.9367*O374+0.0175, 4), P374)</f>
        <v>0.197</v>
      </c>
      <c r="R374" s="33" t="str">
        <f aca="false">IF(OR(P374="", ISBLANK(P374)), "Imputed (Regression/Trend)", "Original")</f>
        <v>Original</v>
      </c>
      <c r="S374" s="46" t="n">
        <v>0.51</v>
      </c>
      <c r="T374" s="46" t="n">
        <v>0.1642</v>
      </c>
      <c r="U374" s="18" t="n">
        <v>6</v>
      </c>
      <c r="V374" s="18" t="n">
        <v>22</v>
      </c>
      <c r="W374" s="18" t="n">
        <f aca="false">U374+V374</f>
        <v>28</v>
      </c>
      <c r="X374" s="47" t="n">
        <f aca="false">U374/W374</f>
        <v>0.214285714285714</v>
      </c>
      <c r="Y374" s="47" t="n">
        <f aca="false">V374/W374</f>
        <v>0.785714285714286</v>
      </c>
      <c r="Z374" s="33" t="str">
        <f aca="false">IF(W374&gt;=150, "High Demand", IF(W374&gt;=50, "Moderate Demand", "Low Demand"))</f>
        <v>Low Demand</v>
      </c>
      <c r="AA374" s="45" t="str">
        <f aca="false">TEXT(G374, "00") &amp; ":00"</f>
        <v>21:00</v>
      </c>
      <c r="AB374" s="43" t="n">
        <f aca="false">YEAR(B374)</f>
        <v>2011</v>
      </c>
      <c r="AC374" s="33" t="str">
        <f aca="false">TEXT(B374, "mmmm")</f>
        <v>January</v>
      </c>
      <c r="AD374" s="43" t="n">
        <f aca="false">LEN(TEXT(B374, "YYYY-MM-DD"))</f>
        <v>10</v>
      </c>
      <c r="AE374" s="45" t="str">
        <f aca="false">LEFT(TEXT(B374, "YYYY-MM-DD"), 4)</f>
        <v>2011</v>
      </c>
      <c r="AF374" s="45" t="str">
        <f aca="false">RIGHT(TEXT(B374, "YYYY-MM-DD"), 2)</f>
        <v>16</v>
      </c>
    </row>
    <row r="375" customFormat="false" ht="15" hidden="false" customHeight="false" outlineLevel="0" collapsed="false">
      <c r="A375" s="37" t="n">
        <v>371</v>
      </c>
      <c r="B375" s="38" t="s">
        <v>92</v>
      </c>
      <c r="C375" s="37" t="n">
        <v>1</v>
      </c>
      <c r="D375" s="35" t="str">
        <f aca="false">VLOOKUP(C375, Lookups_Metadata!$A$4:$B$7, 2, FALSE())</f>
        <v>Spring</v>
      </c>
      <c r="E375" s="37" t="n">
        <v>0</v>
      </c>
      <c r="F375" s="37" t="n">
        <v>1</v>
      </c>
      <c r="G375" s="37" t="n">
        <v>22</v>
      </c>
      <c r="H375" s="39" t="b">
        <f aca="false">FALSE()</f>
        <v>0</v>
      </c>
      <c r="I375" s="37" t="n">
        <v>0</v>
      </c>
      <c r="J375" s="35" t="str">
        <f aca="false">INDEX(Lookups_Metadata!$E$4:$E$10, MATCH(I375, Lookups_Metadata!$D$4:$D$10, 0))</f>
        <v>Sunday</v>
      </c>
      <c r="K375" s="35" t="str">
        <f aca="false">IF(H375=TRUE(), "Holiday", IF(OR(I375=0, I375=6), "Weekend", "Weekday"))</f>
        <v>Weekend</v>
      </c>
      <c r="L375" s="35" t="str">
        <f aca="false">IF(AND(K375="Weekday", OR(AND(G375&gt;=7, G375&lt;=9), AND(G375&gt;=17, G375&lt;=19))), "Peak Commute", "Off-Peak")</f>
        <v>Off-Peak</v>
      </c>
      <c r="M375" s="37" t="n">
        <v>2</v>
      </c>
      <c r="N375" s="35" t="str">
        <f aca="false">VLOOKUP(M375, Lookups_Metadata!$G$4:$H$7, 2, FALSE())</f>
        <v>Mist / Cloudy</v>
      </c>
      <c r="O375" s="40" t="n">
        <v>0.2</v>
      </c>
      <c r="P375" s="40" t="n">
        <v>0.2121</v>
      </c>
      <c r="Q375" s="40" t="n">
        <f aca="false">IF(OR(P375="", ISBLANK(P375)), ROUND(0.9367*O375+0.0175, 4), P375)</f>
        <v>0.2121</v>
      </c>
      <c r="R375" s="35" t="str">
        <f aca="false">IF(OR(P375="", ISBLANK(P375)), "Imputed (Regression/Trend)", "Original")</f>
        <v>Original</v>
      </c>
      <c r="S375" s="40" t="n">
        <v>0.49</v>
      </c>
      <c r="T375" s="40" t="n">
        <v>0.1343</v>
      </c>
      <c r="U375" s="41" t="n">
        <v>2</v>
      </c>
      <c r="V375" s="41" t="n">
        <v>19</v>
      </c>
      <c r="W375" s="41" t="n">
        <f aca="false">U375+V375</f>
        <v>21</v>
      </c>
      <c r="X375" s="42" t="n">
        <f aca="false">U375/W375</f>
        <v>0.0952380952380952</v>
      </c>
      <c r="Y375" s="42" t="n">
        <f aca="false">V375/W375</f>
        <v>0.904761904761905</v>
      </c>
      <c r="Z375" s="35" t="str">
        <f aca="false">IF(W375&gt;=150, "High Demand", IF(W375&gt;=50, "Moderate Demand", "Low Demand"))</f>
        <v>Low Demand</v>
      </c>
      <c r="AA375" s="39" t="str">
        <f aca="false">TEXT(G375, "00") &amp; ":00"</f>
        <v>22:00</v>
      </c>
      <c r="AB375" s="37" t="n">
        <f aca="false">YEAR(B375)</f>
        <v>2011</v>
      </c>
      <c r="AC375" s="35" t="str">
        <f aca="false">TEXT(B375, "mmmm")</f>
        <v>January</v>
      </c>
      <c r="AD375" s="37" t="n">
        <f aca="false">LEN(TEXT(B375, "YYYY-MM-DD"))</f>
        <v>10</v>
      </c>
      <c r="AE375" s="39" t="str">
        <f aca="false">LEFT(TEXT(B375, "YYYY-MM-DD"), 4)</f>
        <v>2011</v>
      </c>
      <c r="AF375" s="39" t="str">
        <f aca="false">RIGHT(TEXT(B375, "YYYY-MM-DD"), 2)</f>
        <v>16</v>
      </c>
    </row>
    <row r="376" customFormat="false" ht="15" hidden="false" customHeight="false" outlineLevel="0" collapsed="false">
      <c r="A376" s="43" t="n">
        <v>372</v>
      </c>
      <c r="B376" s="44" t="s">
        <v>92</v>
      </c>
      <c r="C376" s="43" t="n">
        <v>1</v>
      </c>
      <c r="D376" s="33" t="str">
        <f aca="false">VLOOKUP(C376, Lookups_Metadata!$A$4:$B$7, 2, FALSE())</f>
        <v>Spring</v>
      </c>
      <c r="E376" s="43" t="n">
        <v>0</v>
      </c>
      <c r="F376" s="43" t="n">
        <v>1</v>
      </c>
      <c r="G376" s="43" t="n">
        <v>23</v>
      </c>
      <c r="H376" s="45" t="b">
        <f aca="false">FALSE()</f>
        <v>0</v>
      </c>
      <c r="I376" s="43" t="n">
        <v>0</v>
      </c>
      <c r="J376" s="33" t="str">
        <f aca="false">INDEX(Lookups_Metadata!$E$4:$E$10, MATCH(I376, Lookups_Metadata!$D$4:$D$10, 0))</f>
        <v>Sunday</v>
      </c>
      <c r="K376" s="33" t="str">
        <f aca="false">IF(H376=TRUE(), "Holiday", IF(OR(I376=0, I376=6), "Weekend", "Weekday"))</f>
        <v>Weekend</v>
      </c>
      <c r="L376" s="33" t="str">
        <f aca="false">IF(AND(K376="Weekday", OR(AND(G376&gt;=7, G376&lt;=9), AND(G376&gt;=17, G376&lt;=19))), "Peak Commute", "Off-Peak")</f>
        <v>Off-Peak</v>
      </c>
      <c r="M376" s="43" t="n">
        <v>2</v>
      </c>
      <c r="N376" s="33" t="str">
        <f aca="false">VLOOKUP(M376, Lookups_Metadata!$G$4:$H$7, 2, FALSE())</f>
        <v>Mist / Cloudy</v>
      </c>
      <c r="O376" s="46" t="n">
        <v>0.2</v>
      </c>
      <c r="P376" s="46" t="n">
        <v>0.2273</v>
      </c>
      <c r="Q376" s="46" t="n">
        <f aca="false">IF(OR(P376="", ISBLANK(P376)), ROUND(0.9367*O376+0.0175, 4), P376)</f>
        <v>0.2273</v>
      </c>
      <c r="R376" s="33" t="str">
        <f aca="false">IF(OR(P376="", ISBLANK(P376)), "Imputed (Regression/Trend)", "Original")</f>
        <v>Original</v>
      </c>
      <c r="S376" s="46" t="n">
        <v>0.4</v>
      </c>
      <c r="T376" s="46" t="n">
        <v>0.1045</v>
      </c>
      <c r="U376" s="18" t="n">
        <v>0</v>
      </c>
      <c r="V376" s="18" t="n">
        <v>18</v>
      </c>
      <c r="W376" s="18" t="n">
        <f aca="false">U376+V376</f>
        <v>18</v>
      </c>
      <c r="X376" s="47" t="n">
        <f aca="false">U376/W376</f>
        <v>0</v>
      </c>
      <c r="Y376" s="47" t="n">
        <f aca="false">V376/W376</f>
        <v>1</v>
      </c>
      <c r="Z376" s="33" t="str">
        <f aca="false">IF(W376&gt;=150, "High Demand", IF(W376&gt;=50, "Moderate Demand", "Low Demand"))</f>
        <v>Low Demand</v>
      </c>
      <c r="AA376" s="45" t="str">
        <f aca="false">TEXT(G376, "00") &amp; ":00"</f>
        <v>23:00</v>
      </c>
      <c r="AB376" s="43" t="n">
        <f aca="false">YEAR(B376)</f>
        <v>2011</v>
      </c>
      <c r="AC376" s="33" t="str">
        <f aca="false">TEXT(B376, "mmmm")</f>
        <v>January</v>
      </c>
      <c r="AD376" s="43" t="n">
        <f aca="false">LEN(TEXT(B376, "YYYY-MM-DD"))</f>
        <v>10</v>
      </c>
      <c r="AE376" s="45" t="str">
        <f aca="false">LEFT(TEXT(B376, "YYYY-MM-DD"), 4)</f>
        <v>2011</v>
      </c>
      <c r="AF376" s="45" t="str">
        <f aca="false">RIGHT(TEXT(B376, "YYYY-MM-DD"), 2)</f>
        <v>16</v>
      </c>
    </row>
    <row r="377" customFormat="false" ht="15" hidden="false" customHeight="false" outlineLevel="0" collapsed="false">
      <c r="A377" s="37" t="n">
        <v>373</v>
      </c>
      <c r="B377" s="38" t="s">
        <v>93</v>
      </c>
      <c r="C377" s="37" t="n">
        <v>1</v>
      </c>
      <c r="D377" s="35" t="str">
        <f aca="false">VLOOKUP(C377, Lookups_Metadata!$A$4:$B$7, 2, FALSE())</f>
        <v>Spring</v>
      </c>
      <c r="E377" s="37" t="n">
        <v>0</v>
      </c>
      <c r="F377" s="37" t="n">
        <v>1</v>
      </c>
      <c r="G377" s="37" t="n">
        <v>0</v>
      </c>
      <c r="H377" s="39" t="b">
        <f aca="false">TRUE()</f>
        <v>1</v>
      </c>
      <c r="I377" s="37" t="n">
        <v>1</v>
      </c>
      <c r="J377" s="35" t="str">
        <f aca="false">INDEX(Lookups_Metadata!$E$4:$E$10, MATCH(I377, Lookups_Metadata!$D$4:$D$10, 0))</f>
        <v>Monday</v>
      </c>
      <c r="K377" s="35" t="str">
        <f aca="false">IF(H377=TRUE(), "Holiday", IF(OR(I377=0, I377=6), "Weekend", "Weekday"))</f>
        <v>Holiday</v>
      </c>
      <c r="L377" s="35" t="str">
        <f aca="false">IF(AND(K377="Weekday", OR(AND(G377&gt;=7, G377&lt;=9), AND(G377&gt;=17, G377&lt;=19))), "Peak Commute", "Off-Peak")</f>
        <v>Off-Peak</v>
      </c>
      <c r="M377" s="37" t="n">
        <v>2</v>
      </c>
      <c r="N377" s="35" t="str">
        <f aca="false">VLOOKUP(M377, Lookups_Metadata!$G$4:$H$7, 2, FALSE())</f>
        <v>Mist / Cloudy</v>
      </c>
      <c r="O377" s="40" t="n">
        <v>0.2</v>
      </c>
      <c r="P377" s="40" t="n">
        <v>0.197</v>
      </c>
      <c r="Q377" s="40" t="n">
        <f aca="false">IF(OR(P377="", ISBLANK(P377)), ROUND(0.9367*O377+0.0175, 4), P377)</f>
        <v>0.197</v>
      </c>
      <c r="R377" s="35" t="str">
        <f aca="false">IF(OR(P377="", ISBLANK(P377)), "Imputed (Regression/Trend)", "Original")</f>
        <v>Original</v>
      </c>
      <c r="S377" s="40" t="n">
        <v>0.47</v>
      </c>
      <c r="T377" s="40" t="n">
        <v>0.2239</v>
      </c>
      <c r="U377" s="41" t="n">
        <v>1</v>
      </c>
      <c r="V377" s="41" t="n">
        <v>16</v>
      </c>
      <c r="W377" s="41" t="n">
        <f aca="false">U377+V377</f>
        <v>17</v>
      </c>
      <c r="X377" s="42" t="n">
        <f aca="false">U377/W377</f>
        <v>0.0588235294117647</v>
      </c>
      <c r="Y377" s="42" t="n">
        <f aca="false">V377/W377</f>
        <v>0.941176470588235</v>
      </c>
      <c r="Z377" s="35" t="str">
        <f aca="false">IF(W377&gt;=150, "High Demand", IF(W377&gt;=50, "Moderate Demand", "Low Demand"))</f>
        <v>Low Demand</v>
      </c>
      <c r="AA377" s="39" t="str">
        <f aca="false">TEXT(G377, "00") &amp; ":00"</f>
        <v>00:00</v>
      </c>
      <c r="AB377" s="37" t="n">
        <f aca="false">YEAR(B377)</f>
        <v>2011</v>
      </c>
      <c r="AC377" s="35" t="str">
        <f aca="false">TEXT(B377, "mmmm")</f>
        <v>January</v>
      </c>
      <c r="AD377" s="37" t="n">
        <f aca="false">LEN(TEXT(B377, "YYYY-MM-DD"))</f>
        <v>10</v>
      </c>
      <c r="AE377" s="39" t="str">
        <f aca="false">LEFT(TEXT(B377, "YYYY-MM-DD"), 4)</f>
        <v>2011</v>
      </c>
      <c r="AF377" s="39" t="str">
        <f aca="false">RIGHT(TEXT(B377, "YYYY-MM-DD"), 2)</f>
        <v>17</v>
      </c>
    </row>
    <row r="378" customFormat="false" ht="15" hidden="false" customHeight="false" outlineLevel="0" collapsed="false">
      <c r="A378" s="43" t="n">
        <v>374</v>
      </c>
      <c r="B378" s="44" t="s">
        <v>93</v>
      </c>
      <c r="C378" s="43" t="n">
        <v>1</v>
      </c>
      <c r="D378" s="33" t="str">
        <f aca="false">VLOOKUP(C378, Lookups_Metadata!$A$4:$B$7, 2, FALSE())</f>
        <v>Spring</v>
      </c>
      <c r="E378" s="43" t="n">
        <v>0</v>
      </c>
      <c r="F378" s="43" t="n">
        <v>1</v>
      </c>
      <c r="G378" s="43" t="n">
        <v>1</v>
      </c>
      <c r="H378" s="45" t="b">
        <f aca="false">TRUE()</f>
        <v>1</v>
      </c>
      <c r="I378" s="43" t="n">
        <v>1</v>
      </c>
      <c r="J378" s="33" t="str">
        <f aca="false">INDEX(Lookups_Metadata!$E$4:$E$10, MATCH(I378, Lookups_Metadata!$D$4:$D$10, 0))</f>
        <v>Monday</v>
      </c>
      <c r="K378" s="33" t="str">
        <f aca="false">IF(H378=TRUE(), "Holiday", IF(OR(I378=0, I378=6), "Weekend", "Weekday"))</f>
        <v>Holiday</v>
      </c>
      <c r="L378" s="33" t="str">
        <f aca="false">IF(AND(K378="Weekday", OR(AND(G378&gt;=7, G378&lt;=9), AND(G378&gt;=17, G378&lt;=19))), "Peak Commute", "Off-Peak")</f>
        <v>Off-Peak</v>
      </c>
      <c r="M378" s="43" t="n">
        <v>2</v>
      </c>
      <c r="N378" s="33" t="str">
        <f aca="false">VLOOKUP(M378, Lookups_Metadata!$G$4:$H$7, 2, FALSE())</f>
        <v>Mist / Cloudy</v>
      </c>
      <c r="O378" s="46" t="n">
        <v>0.2</v>
      </c>
      <c r="P378" s="46" t="n">
        <v>0.197</v>
      </c>
      <c r="Q378" s="46" t="n">
        <f aca="false">IF(OR(P378="", ISBLANK(P378)), ROUND(0.9367*O378+0.0175, 4), P378)</f>
        <v>0.197</v>
      </c>
      <c r="R378" s="33" t="str">
        <f aca="false">IF(OR(P378="", ISBLANK(P378)), "Imputed (Regression/Trend)", "Original")</f>
        <v>Original</v>
      </c>
      <c r="S378" s="46" t="n">
        <v>0.44</v>
      </c>
      <c r="T378" s="46" t="n">
        <v>0.194</v>
      </c>
      <c r="U378" s="18" t="n">
        <v>1</v>
      </c>
      <c r="V378" s="18" t="n">
        <v>15</v>
      </c>
      <c r="W378" s="18" t="n">
        <f aca="false">U378+V378</f>
        <v>16</v>
      </c>
      <c r="X378" s="47" t="n">
        <f aca="false">U378/W378</f>
        <v>0.0625</v>
      </c>
      <c r="Y378" s="47" t="n">
        <f aca="false">V378/W378</f>
        <v>0.9375</v>
      </c>
      <c r="Z378" s="33" t="str">
        <f aca="false">IF(W378&gt;=150, "High Demand", IF(W378&gt;=50, "Moderate Demand", "Low Demand"))</f>
        <v>Low Demand</v>
      </c>
      <c r="AA378" s="45" t="str">
        <f aca="false">TEXT(G378, "00") &amp; ":00"</f>
        <v>01:00</v>
      </c>
      <c r="AB378" s="43" t="n">
        <f aca="false">YEAR(B378)</f>
        <v>2011</v>
      </c>
      <c r="AC378" s="33" t="str">
        <f aca="false">TEXT(B378, "mmmm")</f>
        <v>January</v>
      </c>
      <c r="AD378" s="43" t="n">
        <f aca="false">LEN(TEXT(B378, "YYYY-MM-DD"))</f>
        <v>10</v>
      </c>
      <c r="AE378" s="45" t="str">
        <f aca="false">LEFT(TEXT(B378, "YYYY-MM-DD"), 4)</f>
        <v>2011</v>
      </c>
      <c r="AF378" s="45" t="str">
        <f aca="false">RIGHT(TEXT(B378, "YYYY-MM-DD"), 2)</f>
        <v>17</v>
      </c>
    </row>
    <row r="379" customFormat="false" ht="15" hidden="false" customHeight="false" outlineLevel="0" collapsed="false">
      <c r="A379" s="37" t="n">
        <v>375</v>
      </c>
      <c r="B379" s="38" t="s">
        <v>93</v>
      </c>
      <c r="C379" s="37" t="n">
        <v>1</v>
      </c>
      <c r="D379" s="35" t="str">
        <f aca="false">VLOOKUP(C379, Lookups_Metadata!$A$4:$B$7, 2, FALSE())</f>
        <v>Spring</v>
      </c>
      <c r="E379" s="37" t="n">
        <v>0</v>
      </c>
      <c r="F379" s="37" t="n">
        <v>1</v>
      </c>
      <c r="G379" s="37" t="n">
        <v>2</v>
      </c>
      <c r="H379" s="39" t="b">
        <f aca="false">TRUE()</f>
        <v>1</v>
      </c>
      <c r="I379" s="37" t="n">
        <v>1</v>
      </c>
      <c r="J379" s="35" t="str">
        <f aca="false">INDEX(Lookups_Metadata!$E$4:$E$10, MATCH(I379, Lookups_Metadata!$D$4:$D$10, 0))</f>
        <v>Monday</v>
      </c>
      <c r="K379" s="35" t="str">
        <f aca="false">IF(H379=TRUE(), "Holiday", IF(OR(I379=0, I379=6), "Weekend", "Weekday"))</f>
        <v>Holiday</v>
      </c>
      <c r="L379" s="35" t="str">
        <f aca="false">IF(AND(K379="Weekday", OR(AND(G379&gt;=7, G379&lt;=9), AND(G379&gt;=17, G379&lt;=19))), "Peak Commute", "Off-Peak")</f>
        <v>Off-Peak</v>
      </c>
      <c r="M379" s="37" t="n">
        <v>2</v>
      </c>
      <c r="N379" s="35" t="str">
        <f aca="false">VLOOKUP(M379, Lookups_Metadata!$G$4:$H$7, 2, FALSE())</f>
        <v>Mist / Cloudy</v>
      </c>
      <c r="O379" s="40" t="n">
        <v>0.18</v>
      </c>
      <c r="P379" s="40" t="n">
        <v>0.1667</v>
      </c>
      <c r="Q379" s="40" t="n">
        <f aca="false">IF(OR(P379="", ISBLANK(P379)), ROUND(0.9367*O379+0.0175, 4), P379)</f>
        <v>0.1667</v>
      </c>
      <c r="R379" s="35" t="str">
        <f aca="false">IF(OR(P379="", ISBLANK(P379)), "Imputed (Regression/Trend)", "Original")</f>
        <v>Original</v>
      </c>
      <c r="S379" s="40" t="n">
        <v>0.43</v>
      </c>
      <c r="T379" s="40" t="n">
        <v>0.2537</v>
      </c>
      <c r="U379" s="41" t="n">
        <v>0</v>
      </c>
      <c r="V379" s="41" t="n">
        <v>8</v>
      </c>
      <c r="W379" s="41" t="n">
        <f aca="false">U379+V379</f>
        <v>8</v>
      </c>
      <c r="X379" s="42" t="n">
        <f aca="false">U379/W379</f>
        <v>0</v>
      </c>
      <c r="Y379" s="42" t="n">
        <f aca="false">V379/W379</f>
        <v>1</v>
      </c>
      <c r="Z379" s="35" t="str">
        <f aca="false">IF(W379&gt;=150, "High Demand", IF(W379&gt;=50, "Moderate Demand", "Low Demand"))</f>
        <v>Low Demand</v>
      </c>
      <c r="AA379" s="39" t="str">
        <f aca="false">TEXT(G379, "00") &amp; ":00"</f>
        <v>02:00</v>
      </c>
      <c r="AB379" s="37" t="n">
        <f aca="false">YEAR(B379)</f>
        <v>2011</v>
      </c>
      <c r="AC379" s="35" t="str">
        <f aca="false">TEXT(B379, "mmmm")</f>
        <v>January</v>
      </c>
      <c r="AD379" s="37" t="n">
        <f aca="false">LEN(TEXT(B379, "YYYY-MM-DD"))</f>
        <v>10</v>
      </c>
      <c r="AE379" s="39" t="str">
        <f aca="false">LEFT(TEXT(B379, "YYYY-MM-DD"), 4)</f>
        <v>2011</v>
      </c>
      <c r="AF379" s="39" t="str">
        <f aca="false">RIGHT(TEXT(B379, "YYYY-MM-DD"), 2)</f>
        <v>17</v>
      </c>
    </row>
    <row r="380" customFormat="false" ht="15" hidden="false" customHeight="false" outlineLevel="0" collapsed="false">
      <c r="A380" s="43" t="n">
        <v>376</v>
      </c>
      <c r="B380" s="44" t="s">
        <v>93</v>
      </c>
      <c r="C380" s="43" t="n">
        <v>1</v>
      </c>
      <c r="D380" s="33" t="str">
        <f aca="false">VLOOKUP(C380, Lookups_Metadata!$A$4:$B$7, 2, FALSE())</f>
        <v>Spring</v>
      </c>
      <c r="E380" s="43" t="n">
        <v>0</v>
      </c>
      <c r="F380" s="43" t="n">
        <v>1</v>
      </c>
      <c r="G380" s="43" t="n">
        <v>3</v>
      </c>
      <c r="H380" s="45" t="b">
        <f aca="false">TRUE()</f>
        <v>1</v>
      </c>
      <c r="I380" s="43" t="n">
        <v>1</v>
      </c>
      <c r="J380" s="33" t="str">
        <f aca="false">INDEX(Lookups_Metadata!$E$4:$E$10, MATCH(I380, Lookups_Metadata!$D$4:$D$10, 0))</f>
        <v>Monday</v>
      </c>
      <c r="K380" s="33" t="str">
        <f aca="false">IF(H380=TRUE(), "Holiday", IF(OR(I380=0, I380=6), "Weekend", "Weekday"))</f>
        <v>Holiday</v>
      </c>
      <c r="L380" s="33" t="str">
        <f aca="false">IF(AND(K380="Weekday", OR(AND(G380&gt;=7, G380&lt;=9), AND(G380&gt;=17, G380&lt;=19))), "Peak Commute", "Off-Peak")</f>
        <v>Off-Peak</v>
      </c>
      <c r="M380" s="43" t="n">
        <v>2</v>
      </c>
      <c r="N380" s="33" t="str">
        <f aca="false">VLOOKUP(M380, Lookups_Metadata!$G$4:$H$7, 2, FALSE())</f>
        <v>Mist / Cloudy</v>
      </c>
      <c r="O380" s="46" t="n">
        <v>0.18</v>
      </c>
      <c r="P380" s="46" t="n">
        <v>0.1818</v>
      </c>
      <c r="Q380" s="46" t="n">
        <f aca="false">IF(OR(P380="", ISBLANK(P380)), ROUND(0.9367*O380+0.0175, 4), P380)</f>
        <v>0.1818</v>
      </c>
      <c r="R380" s="33" t="str">
        <f aca="false">IF(OR(P380="", ISBLANK(P380)), "Imputed (Regression/Trend)", "Original")</f>
        <v>Original</v>
      </c>
      <c r="S380" s="46" t="n">
        <v>0.43</v>
      </c>
      <c r="T380" s="46" t="n">
        <v>0.194</v>
      </c>
      <c r="U380" s="18" t="n">
        <v>0</v>
      </c>
      <c r="V380" s="18" t="n">
        <v>2</v>
      </c>
      <c r="W380" s="18" t="n">
        <f aca="false">U380+V380</f>
        <v>2</v>
      </c>
      <c r="X380" s="47" t="n">
        <f aca="false">U380/W380</f>
        <v>0</v>
      </c>
      <c r="Y380" s="47" t="n">
        <f aca="false">V380/W380</f>
        <v>1</v>
      </c>
      <c r="Z380" s="33" t="str">
        <f aca="false">IF(W380&gt;=150, "High Demand", IF(W380&gt;=50, "Moderate Demand", "Low Demand"))</f>
        <v>Low Demand</v>
      </c>
      <c r="AA380" s="45" t="str">
        <f aca="false">TEXT(G380, "00") &amp; ":00"</f>
        <v>03:00</v>
      </c>
      <c r="AB380" s="43" t="n">
        <f aca="false">YEAR(B380)</f>
        <v>2011</v>
      </c>
      <c r="AC380" s="33" t="str">
        <f aca="false">TEXT(B380, "mmmm")</f>
        <v>January</v>
      </c>
      <c r="AD380" s="43" t="n">
        <f aca="false">LEN(TEXT(B380, "YYYY-MM-DD"))</f>
        <v>10</v>
      </c>
      <c r="AE380" s="45" t="str">
        <f aca="false">LEFT(TEXT(B380, "YYYY-MM-DD"), 4)</f>
        <v>2011</v>
      </c>
      <c r="AF380" s="45" t="str">
        <f aca="false">RIGHT(TEXT(B380, "YYYY-MM-DD"), 2)</f>
        <v>17</v>
      </c>
    </row>
    <row r="381" customFormat="false" ht="15" hidden="false" customHeight="false" outlineLevel="0" collapsed="false">
      <c r="A381" s="37" t="n">
        <v>377</v>
      </c>
      <c r="B381" s="38" t="s">
        <v>93</v>
      </c>
      <c r="C381" s="37" t="n">
        <v>1</v>
      </c>
      <c r="D381" s="35" t="str">
        <f aca="false">VLOOKUP(C381, Lookups_Metadata!$A$4:$B$7, 2, FALSE())</f>
        <v>Spring</v>
      </c>
      <c r="E381" s="37" t="n">
        <v>0</v>
      </c>
      <c r="F381" s="37" t="n">
        <v>1</v>
      </c>
      <c r="G381" s="37" t="n">
        <v>4</v>
      </c>
      <c r="H381" s="39" t="b">
        <f aca="false">TRUE()</f>
        <v>1</v>
      </c>
      <c r="I381" s="37" t="n">
        <v>1</v>
      </c>
      <c r="J381" s="35" t="str">
        <f aca="false">INDEX(Lookups_Metadata!$E$4:$E$10, MATCH(I381, Lookups_Metadata!$D$4:$D$10, 0))</f>
        <v>Monday</v>
      </c>
      <c r="K381" s="35" t="str">
        <f aca="false">IF(H381=TRUE(), "Holiday", IF(OR(I381=0, I381=6), "Weekend", "Weekday"))</f>
        <v>Holiday</v>
      </c>
      <c r="L381" s="35" t="str">
        <f aca="false">IF(AND(K381="Weekday", OR(AND(G381&gt;=7, G381&lt;=9), AND(G381&gt;=17, G381&lt;=19))), "Peak Commute", "Off-Peak")</f>
        <v>Off-Peak</v>
      </c>
      <c r="M381" s="37" t="n">
        <v>2</v>
      </c>
      <c r="N381" s="35" t="str">
        <f aca="false">VLOOKUP(M381, Lookups_Metadata!$G$4:$H$7, 2, FALSE())</f>
        <v>Mist / Cloudy</v>
      </c>
      <c r="O381" s="40" t="n">
        <v>0.18</v>
      </c>
      <c r="P381" s="40" t="n">
        <v>0.197</v>
      </c>
      <c r="Q381" s="40" t="n">
        <f aca="false">IF(OR(P381="", ISBLANK(P381)), ROUND(0.9367*O381+0.0175, 4), P381)</f>
        <v>0.197</v>
      </c>
      <c r="R381" s="35" t="str">
        <f aca="false">IF(OR(P381="", ISBLANK(P381)), "Imputed (Regression/Trend)", "Original")</f>
        <v>Original</v>
      </c>
      <c r="S381" s="40" t="n">
        <v>0.43</v>
      </c>
      <c r="T381" s="40" t="n">
        <v>0.1343</v>
      </c>
      <c r="U381" s="41" t="n">
        <v>1</v>
      </c>
      <c r="V381" s="41" t="n">
        <v>2</v>
      </c>
      <c r="W381" s="41" t="n">
        <f aca="false">U381+V381</f>
        <v>3</v>
      </c>
      <c r="X381" s="42" t="n">
        <f aca="false">U381/W381</f>
        <v>0.333333333333333</v>
      </c>
      <c r="Y381" s="42" t="n">
        <f aca="false">V381/W381</f>
        <v>0.666666666666667</v>
      </c>
      <c r="Z381" s="35" t="str">
        <f aca="false">IF(W381&gt;=150, "High Demand", IF(W381&gt;=50, "Moderate Demand", "Low Demand"))</f>
        <v>Low Demand</v>
      </c>
      <c r="AA381" s="39" t="str">
        <f aca="false">TEXT(G381, "00") &amp; ":00"</f>
        <v>04:00</v>
      </c>
      <c r="AB381" s="37" t="n">
        <f aca="false">YEAR(B381)</f>
        <v>2011</v>
      </c>
      <c r="AC381" s="35" t="str">
        <f aca="false">TEXT(B381, "mmmm")</f>
        <v>January</v>
      </c>
      <c r="AD381" s="37" t="n">
        <f aca="false">LEN(TEXT(B381, "YYYY-MM-DD"))</f>
        <v>10</v>
      </c>
      <c r="AE381" s="39" t="str">
        <f aca="false">LEFT(TEXT(B381, "YYYY-MM-DD"), 4)</f>
        <v>2011</v>
      </c>
      <c r="AF381" s="39" t="str">
        <f aca="false">RIGHT(TEXT(B381, "YYYY-MM-DD"), 2)</f>
        <v>17</v>
      </c>
    </row>
    <row r="382" customFormat="false" ht="15" hidden="false" customHeight="false" outlineLevel="0" collapsed="false">
      <c r="A382" s="43" t="n">
        <v>378</v>
      </c>
      <c r="B382" s="44" t="s">
        <v>93</v>
      </c>
      <c r="C382" s="43" t="n">
        <v>1</v>
      </c>
      <c r="D382" s="33" t="str">
        <f aca="false">VLOOKUP(C382, Lookups_Metadata!$A$4:$B$7, 2, FALSE())</f>
        <v>Spring</v>
      </c>
      <c r="E382" s="43" t="n">
        <v>0</v>
      </c>
      <c r="F382" s="43" t="n">
        <v>1</v>
      </c>
      <c r="G382" s="43" t="n">
        <v>5</v>
      </c>
      <c r="H382" s="45" t="b">
        <f aca="false">TRUE()</f>
        <v>1</v>
      </c>
      <c r="I382" s="43" t="n">
        <v>1</v>
      </c>
      <c r="J382" s="33" t="str">
        <f aca="false">INDEX(Lookups_Metadata!$E$4:$E$10, MATCH(I382, Lookups_Metadata!$D$4:$D$10, 0))</f>
        <v>Monday</v>
      </c>
      <c r="K382" s="33" t="str">
        <f aca="false">IF(H382=TRUE(), "Holiday", IF(OR(I382=0, I382=6), "Weekend", "Weekday"))</f>
        <v>Holiday</v>
      </c>
      <c r="L382" s="33" t="str">
        <f aca="false">IF(AND(K382="Weekday", OR(AND(G382&gt;=7, G382&lt;=9), AND(G382&gt;=17, G382&lt;=19))), "Peak Commute", "Off-Peak")</f>
        <v>Off-Peak</v>
      </c>
      <c r="M382" s="43" t="n">
        <v>2</v>
      </c>
      <c r="N382" s="33" t="str">
        <f aca="false">VLOOKUP(M382, Lookups_Metadata!$G$4:$H$7, 2, FALSE())</f>
        <v>Mist / Cloudy</v>
      </c>
      <c r="O382" s="46" t="n">
        <v>0.18</v>
      </c>
      <c r="P382" s="46" t="n">
        <v>0.197</v>
      </c>
      <c r="Q382" s="46" t="n">
        <f aca="false">IF(OR(P382="", ISBLANK(P382)), ROUND(0.9367*O382+0.0175, 4), P382)</f>
        <v>0.197</v>
      </c>
      <c r="R382" s="33" t="str">
        <f aca="false">IF(OR(P382="", ISBLANK(P382)), "Imputed (Regression/Trend)", "Original")</f>
        <v>Original</v>
      </c>
      <c r="S382" s="46" t="n">
        <v>0.43</v>
      </c>
      <c r="T382" s="46" t="n">
        <v>0.1642</v>
      </c>
      <c r="U382" s="18" t="n">
        <v>0</v>
      </c>
      <c r="V382" s="18" t="n">
        <v>1</v>
      </c>
      <c r="W382" s="18" t="n">
        <f aca="false">U382+V382</f>
        <v>1</v>
      </c>
      <c r="X382" s="47" t="n">
        <f aca="false">U382/W382</f>
        <v>0</v>
      </c>
      <c r="Y382" s="47" t="n">
        <f aca="false">V382/W382</f>
        <v>1</v>
      </c>
      <c r="Z382" s="33" t="str">
        <f aca="false">IF(W382&gt;=150, "High Demand", IF(W382&gt;=50, "Moderate Demand", "Low Demand"))</f>
        <v>Low Demand</v>
      </c>
      <c r="AA382" s="45" t="str">
        <f aca="false">TEXT(G382, "00") &amp; ":00"</f>
        <v>05:00</v>
      </c>
      <c r="AB382" s="43" t="n">
        <f aca="false">YEAR(B382)</f>
        <v>2011</v>
      </c>
      <c r="AC382" s="33" t="str">
        <f aca="false">TEXT(B382, "mmmm")</f>
        <v>January</v>
      </c>
      <c r="AD382" s="43" t="n">
        <f aca="false">LEN(TEXT(B382, "YYYY-MM-DD"))</f>
        <v>10</v>
      </c>
      <c r="AE382" s="45" t="str">
        <f aca="false">LEFT(TEXT(B382, "YYYY-MM-DD"), 4)</f>
        <v>2011</v>
      </c>
      <c r="AF382" s="45" t="str">
        <f aca="false">RIGHT(TEXT(B382, "YYYY-MM-DD"), 2)</f>
        <v>17</v>
      </c>
    </row>
    <row r="383" customFormat="false" ht="15" hidden="false" customHeight="false" outlineLevel="0" collapsed="false">
      <c r="A383" s="37" t="n">
        <v>379</v>
      </c>
      <c r="B383" s="38" t="s">
        <v>93</v>
      </c>
      <c r="C383" s="37" t="n">
        <v>1</v>
      </c>
      <c r="D383" s="35" t="str">
        <f aca="false">VLOOKUP(C383, Lookups_Metadata!$A$4:$B$7, 2, FALSE())</f>
        <v>Spring</v>
      </c>
      <c r="E383" s="37" t="n">
        <v>0</v>
      </c>
      <c r="F383" s="37" t="n">
        <v>1</v>
      </c>
      <c r="G383" s="37" t="n">
        <v>6</v>
      </c>
      <c r="H383" s="39" t="b">
        <f aca="false">TRUE()</f>
        <v>1</v>
      </c>
      <c r="I383" s="37" t="n">
        <v>1</v>
      </c>
      <c r="J383" s="35" t="str">
        <f aca="false">INDEX(Lookups_Metadata!$E$4:$E$10, MATCH(I383, Lookups_Metadata!$D$4:$D$10, 0))</f>
        <v>Monday</v>
      </c>
      <c r="K383" s="35" t="str">
        <f aca="false">IF(H383=TRUE(), "Holiday", IF(OR(I383=0, I383=6), "Weekend", "Weekday"))</f>
        <v>Holiday</v>
      </c>
      <c r="L383" s="35" t="str">
        <f aca="false">IF(AND(K383="Weekday", OR(AND(G383&gt;=7, G383&lt;=9), AND(G383&gt;=17, G383&lt;=19))), "Peak Commute", "Off-Peak")</f>
        <v>Off-Peak</v>
      </c>
      <c r="M383" s="37" t="n">
        <v>2</v>
      </c>
      <c r="N383" s="35" t="str">
        <f aca="false">VLOOKUP(M383, Lookups_Metadata!$G$4:$H$7, 2, FALSE())</f>
        <v>Mist / Cloudy</v>
      </c>
      <c r="O383" s="40" t="n">
        <v>0.18</v>
      </c>
      <c r="P383" s="40" t="n">
        <v>0.1818</v>
      </c>
      <c r="Q383" s="40" t="n">
        <f aca="false">IF(OR(P383="", ISBLANK(P383)), ROUND(0.9367*O383+0.0175, 4), P383)</f>
        <v>0.1818</v>
      </c>
      <c r="R383" s="35" t="str">
        <f aca="false">IF(OR(P383="", ISBLANK(P383)), "Imputed (Regression/Trend)", "Original")</f>
        <v>Original</v>
      </c>
      <c r="S383" s="40" t="n">
        <v>0.43</v>
      </c>
      <c r="T383" s="40" t="n">
        <v>0.194</v>
      </c>
      <c r="U383" s="41" t="n">
        <v>0</v>
      </c>
      <c r="V383" s="41" t="n">
        <v>5</v>
      </c>
      <c r="W383" s="41" t="n">
        <f aca="false">U383+V383</f>
        <v>5</v>
      </c>
      <c r="X383" s="42" t="n">
        <f aca="false">U383/W383</f>
        <v>0</v>
      </c>
      <c r="Y383" s="42" t="n">
        <f aca="false">V383/W383</f>
        <v>1</v>
      </c>
      <c r="Z383" s="35" t="str">
        <f aca="false">IF(W383&gt;=150, "High Demand", IF(W383&gt;=50, "Moderate Demand", "Low Demand"))</f>
        <v>Low Demand</v>
      </c>
      <c r="AA383" s="39" t="str">
        <f aca="false">TEXT(G383, "00") &amp; ":00"</f>
        <v>06:00</v>
      </c>
      <c r="AB383" s="37" t="n">
        <f aca="false">YEAR(B383)</f>
        <v>2011</v>
      </c>
      <c r="AC383" s="35" t="str">
        <f aca="false">TEXT(B383, "mmmm")</f>
        <v>January</v>
      </c>
      <c r="AD383" s="37" t="n">
        <f aca="false">LEN(TEXT(B383, "YYYY-MM-DD"))</f>
        <v>10</v>
      </c>
      <c r="AE383" s="39" t="str">
        <f aca="false">LEFT(TEXT(B383, "YYYY-MM-DD"), 4)</f>
        <v>2011</v>
      </c>
      <c r="AF383" s="39" t="str">
        <f aca="false">RIGHT(TEXT(B383, "YYYY-MM-DD"), 2)</f>
        <v>17</v>
      </c>
    </row>
    <row r="384" customFormat="false" ht="15" hidden="false" customHeight="false" outlineLevel="0" collapsed="false">
      <c r="A384" s="43" t="n">
        <v>380</v>
      </c>
      <c r="B384" s="44" t="s">
        <v>93</v>
      </c>
      <c r="C384" s="43" t="n">
        <v>1</v>
      </c>
      <c r="D384" s="33" t="str">
        <f aca="false">VLOOKUP(C384, Lookups_Metadata!$A$4:$B$7, 2, FALSE())</f>
        <v>Spring</v>
      </c>
      <c r="E384" s="43" t="n">
        <v>0</v>
      </c>
      <c r="F384" s="43" t="n">
        <v>1</v>
      </c>
      <c r="G384" s="43" t="n">
        <v>7</v>
      </c>
      <c r="H384" s="45" t="b">
        <f aca="false">TRUE()</f>
        <v>1</v>
      </c>
      <c r="I384" s="43" t="n">
        <v>1</v>
      </c>
      <c r="J384" s="33" t="str">
        <f aca="false">INDEX(Lookups_Metadata!$E$4:$E$10, MATCH(I384, Lookups_Metadata!$D$4:$D$10, 0))</f>
        <v>Monday</v>
      </c>
      <c r="K384" s="33" t="str">
        <f aca="false">IF(H384=TRUE(), "Holiday", IF(OR(I384=0, I384=6), "Weekend", "Weekday"))</f>
        <v>Holiday</v>
      </c>
      <c r="L384" s="33" t="str">
        <f aca="false">IF(AND(K384="Weekday", OR(AND(G384&gt;=7, G384&lt;=9), AND(G384&gt;=17, G384&lt;=19))), "Peak Commute", "Off-Peak")</f>
        <v>Off-Peak</v>
      </c>
      <c r="M384" s="43" t="n">
        <v>2</v>
      </c>
      <c r="N384" s="33" t="str">
        <f aca="false">VLOOKUP(M384, Lookups_Metadata!$G$4:$H$7, 2, FALSE())</f>
        <v>Mist / Cloudy</v>
      </c>
      <c r="O384" s="46" t="n">
        <v>0.16</v>
      </c>
      <c r="P384" s="46" t="n">
        <v>0.1818</v>
      </c>
      <c r="Q384" s="46" t="n">
        <f aca="false">IF(OR(P384="", ISBLANK(P384)), ROUND(0.9367*O384+0.0175, 4), P384)</f>
        <v>0.1818</v>
      </c>
      <c r="R384" s="33" t="str">
        <f aca="false">IF(OR(P384="", ISBLANK(P384)), "Imputed (Regression/Trend)", "Original")</f>
        <v>Original</v>
      </c>
      <c r="S384" s="46" t="n">
        <v>0.5</v>
      </c>
      <c r="T384" s="46" t="n">
        <v>0.1343</v>
      </c>
      <c r="U384" s="18" t="n">
        <v>4</v>
      </c>
      <c r="V384" s="18" t="n">
        <v>9</v>
      </c>
      <c r="W384" s="18" t="n">
        <f aca="false">U384+V384</f>
        <v>13</v>
      </c>
      <c r="X384" s="47" t="n">
        <f aca="false">U384/W384</f>
        <v>0.307692307692308</v>
      </c>
      <c r="Y384" s="47" t="n">
        <f aca="false">V384/W384</f>
        <v>0.692307692307692</v>
      </c>
      <c r="Z384" s="33" t="str">
        <f aca="false">IF(W384&gt;=150, "High Demand", IF(W384&gt;=50, "Moderate Demand", "Low Demand"))</f>
        <v>Low Demand</v>
      </c>
      <c r="AA384" s="45" t="str">
        <f aca="false">TEXT(G384, "00") &amp; ":00"</f>
        <v>07:00</v>
      </c>
      <c r="AB384" s="43" t="n">
        <f aca="false">YEAR(B384)</f>
        <v>2011</v>
      </c>
      <c r="AC384" s="33" t="str">
        <f aca="false">TEXT(B384, "mmmm")</f>
        <v>January</v>
      </c>
      <c r="AD384" s="43" t="n">
        <f aca="false">LEN(TEXT(B384, "YYYY-MM-DD"))</f>
        <v>10</v>
      </c>
      <c r="AE384" s="45" t="str">
        <f aca="false">LEFT(TEXT(B384, "YYYY-MM-DD"), 4)</f>
        <v>2011</v>
      </c>
      <c r="AF384" s="45" t="str">
        <f aca="false">RIGHT(TEXT(B384, "YYYY-MM-DD"), 2)</f>
        <v>17</v>
      </c>
    </row>
    <row r="385" customFormat="false" ht="15" hidden="false" customHeight="false" outlineLevel="0" collapsed="false">
      <c r="A385" s="37" t="n">
        <v>381</v>
      </c>
      <c r="B385" s="38" t="s">
        <v>93</v>
      </c>
      <c r="C385" s="37" t="n">
        <v>1</v>
      </c>
      <c r="D385" s="35" t="str">
        <f aca="false">VLOOKUP(C385, Lookups_Metadata!$A$4:$B$7, 2, FALSE())</f>
        <v>Spring</v>
      </c>
      <c r="E385" s="37" t="n">
        <v>0</v>
      </c>
      <c r="F385" s="37" t="n">
        <v>1</v>
      </c>
      <c r="G385" s="37" t="n">
        <v>8</v>
      </c>
      <c r="H385" s="39" t="b">
        <f aca="false">TRUE()</f>
        <v>1</v>
      </c>
      <c r="I385" s="37" t="n">
        <v>1</v>
      </c>
      <c r="J385" s="35" t="str">
        <f aca="false">INDEX(Lookups_Metadata!$E$4:$E$10, MATCH(I385, Lookups_Metadata!$D$4:$D$10, 0))</f>
        <v>Monday</v>
      </c>
      <c r="K385" s="35" t="str">
        <f aca="false">IF(H385=TRUE(), "Holiday", IF(OR(I385=0, I385=6), "Weekend", "Weekday"))</f>
        <v>Holiday</v>
      </c>
      <c r="L385" s="35" t="str">
        <f aca="false">IF(AND(K385="Weekday", OR(AND(G385&gt;=7, G385&lt;=9), AND(G385&gt;=17, G385&lt;=19))), "Peak Commute", "Off-Peak")</f>
        <v>Off-Peak</v>
      </c>
      <c r="M385" s="37" t="n">
        <v>2</v>
      </c>
      <c r="N385" s="35" t="str">
        <f aca="false">VLOOKUP(M385, Lookups_Metadata!$G$4:$H$7, 2, FALSE())</f>
        <v>Mist / Cloudy</v>
      </c>
      <c r="O385" s="40" t="n">
        <v>0.16</v>
      </c>
      <c r="P385" s="40" t="n">
        <v>0.1515</v>
      </c>
      <c r="Q385" s="40" t="n">
        <f aca="false">IF(OR(P385="", ISBLANK(P385)), ROUND(0.9367*O385+0.0175, 4), P385)</f>
        <v>0.1515</v>
      </c>
      <c r="R385" s="35" t="str">
        <f aca="false">IF(OR(P385="", ISBLANK(P385)), "Imputed (Regression/Trend)", "Original")</f>
        <v>Original</v>
      </c>
      <c r="S385" s="40" t="n">
        <v>0.47</v>
      </c>
      <c r="T385" s="40" t="n">
        <v>0.2239</v>
      </c>
      <c r="U385" s="41" t="n">
        <v>3</v>
      </c>
      <c r="V385" s="41" t="n">
        <v>30</v>
      </c>
      <c r="W385" s="41" t="n">
        <f aca="false">U385+V385</f>
        <v>33</v>
      </c>
      <c r="X385" s="42" t="n">
        <f aca="false">U385/W385</f>
        <v>0.0909090909090909</v>
      </c>
      <c r="Y385" s="42" t="n">
        <f aca="false">V385/W385</f>
        <v>0.909090909090909</v>
      </c>
      <c r="Z385" s="35" t="str">
        <f aca="false">IF(W385&gt;=150, "High Demand", IF(W385&gt;=50, "Moderate Demand", "Low Demand"))</f>
        <v>Low Demand</v>
      </c>
      <c r="AA385" s="39" t="str">
        <f aca="false">TEXT(G385, "00") &amp; ":00"</f>
        <v>08:00</v>
      </c>
      <c r="AB385" s="37" t="n">
        <f aca="false">YEAR(B385)</f>
        <v>2011</v>
      </c>
      <c r="AC385" s="35" t="str">
        <f aca="false">TEXT(B385, "mmmm")</f>
        <v>January</v>
      </c>
      <c r="AD385" s="37" t="n">
        <f aca="false">LEN(TEXT(B385, "YYYY-MM-DD"))</f>
        <v>10</v>
      </c>
      <c r="AE385" s="39" t="str">
        <f aca="false">LEFT(TEXT(B385, "YYYY-MM-DD"), 4)</f>
        <v>2011</v>
      </c>
      <c r="AF385" s="39" t="str">
        <f aca="false">RIGHT(TEXT(B385, "YYYY-MM-DD"), 2)</f>
        <v>17</v>
      </c>
    </row>
    <row r="386" customFormat="false" ht="15" hidden="false" customHeight="false" outlineLevel="0" collapsed="false">
      <c r="A386" s="43" t="n">
        <v>382</v>
      </c>
      <c r="B386" s="44" t="s">
        <v>93</v>
      </c>
      <c r="C386" s="43" t="n">
        <v>1</v>
      </c>
      <c r="D386" s="33" t="str">
        <f aca="false">VLOOKUP(C386, Lookups_Metadata!$A$4:$B$7, 2, FALSE())</f>
        <v>Spring</v>
      </c>
      <c r="E386" s="43" t="n">
        <v>0</v>
      </c>
      <c r="F386" s="43" t="n">
        <v>1</v>
      </c>
      <c r="G386" s="43" t="n">
        <v>9</v>
      </c>
      <c r="H386" s="45" t="b">
        <f aca="false">TRUE()</f>
        <v>1</v>
      </c>
      <c r="I386" s="43" t="n">
        <v>1</v>
      </c>
      <c r="J386" s="33" t="str">
        <f aca="false">INDEX(Lookups_Metadata!$E$4:$E$10, MATCH(I386, Lookups_Metadata!$D$4:$D$10, 0))</f>
        <v>Monday</v>
      </c>
      <c r="K386" s="33" t="str">
        <f aca="false">IF(H386=TRUE(), "Holiday", IF(OR(I386=0, I386=6), "Weekend", "Weekday"))</f>
        <v>Holiday</v>
      </c>
      <c r="L386" s="33" t="str">
        <f aca="false">IF(AND(K386="Weekday", OR(AND(G386&gt;=7, G386&lt;=9), AND(G386&gt;=17, G386&lt;=19))), "Peak Commute", "Off-Peak")</f>
        <v>Off-Peak</v>
      </c>
      <c r="M386" s="43" t="n">
        <v>2</v>
      </c>
      <c r="N386" s="33" t="str">
        <f aca="false">VLOOKUP(M386, Lookups_Metadata!$G$4:$H$7, 2, FALSE())</f>
        <v>Mist / Cloudy</v>
      </c>
      <c r="O386" s="46" t="n">
        <v>0.16</v>
      </c>
      <c r="P386" s="46" t="n">
        <v>0.1515</v>
      </c>
      <c r="Q386" s="46" t="n">
        <f aca="false">IF(OR(P386="", ISBLANK(P386)), ROUND(0.9367*O386+0.0175, 4), P386)</f>
        <v>0.1515</v>
      </c>
      <c r="R386" s="33" t="str">
        <f aca="false">IF(OR(P386="", ISBLANK(P386)), "Imputed (Regression/Trend)", "Original")</f>
        <v>Original</v>
      </c>
      <c r="S386" s="46" t="n">
        <v>0.47</v>
      </c>
      <c r="T386" s="46" t="n">
        <v>0.2239</v>
      </c>
      <c r="U386" s="18" t="n">
        <v>8</v>
      </c>
      <c r="V386" s="18" t="n">
        <v>39</v>
      </c>
      <c r="W386" s="18" t="n">
        <f aca="false">U386+V386</f>
        <v>47</v>
      </c>
      <c r="X386" s="47" t="n">
        <f aca="false">U386/W386</f>
        <v>0.170212765957447</v>
      </c>
      <c r="Y386" s="47" t="n">
        <f aca="false">V386/W386</f>
        <v>0.829787234042553</v>
      </c>
      <c r="Z386" s="33" t="str">
        <f aca="false">IF(W386&gt;=150, "High Demand", IF(W386&gt;=50, "Moderate Demand", "Low Demand"))</f>
        <v>Low Demand</v>
      </c>
      <c r="AA386" s="45" t="str">
        <f aca="false">TEXT(G386, "00") &amp; ":00"</f>
        <v>09:00</v>
      </c>
      <c r="AB386" s="43" t="n">
        <f aca="false">YEAR(B386)</f>
        <v>2011</v>
      </c>
      <c r="AC386" s="33" t="str">
        <f aca="false">TEXT(B386, "mmmm")</f>
        <v>January</v>
      </c>
      <c r="AD386" s="43" t="n">
        <f aca="false">LEN(TEXT(B386, "YYYY-MM-DD"))</f>
        <v>10</v>
      </c>
      <c r="AE386" s="45" t="str">
        <f aca="false">LEFT(TEXT(B386, "YYYY-MM-DD"), 4)</f>
        <v>2011</v>
      </c>
      <c r="AF386" s="45" t="str">
        <f aca="false">RIGHT(TEXT(B386, "YYYY-MM-DD"), 2)</f>
        <v>17</v>
      </c>
    </row>
    <row r="387" customFormat="false" ht="15" hidden="false" customHeight="false" outlineLevel="0" collapsed="false">
      <c r="A387" s="37" t="n">
        <v>383</v>
      </c>
      <c r="B387" s="38" t="s">
        <v>93</v>
      </c>
      <c r="C387" s="37" t="n">
        <v>1</v>
      </c>
      <c r="D387" s="35" t="str">
        <f aca="false">VLOOKUP(C387, Lookups_Metadata!$A$4:$B$7, 2, FALSE())</f>
        <v>Spring</v>
      </c>
      <c r="E387" s="37" t="n">
        <v>0</v>
      </c>
      <c r="F387" s="37" t="n">
        <v>1</v>
      </c>
      <c r="G387" s="37" t="n">
        <v>10</v>
      </c>
      <c r="H387" s="39" t="b">
        <f aca="false">TRUE()</f>
        <v>1</v>
      </c>
      <c r="I387" s="37" t="n">
        <v>1</v>
      </c>
      <c r="J387" s="35" t="str">
        <f aca="false">INDEX(Lookups_Metadata!$E$4:$E$10, MATCH(I387, Lookups_Metadata!$D$4:$D$10, 0))</f>
        <v>Monday</v>
      </c>
      <c r="K387" s="35" t="str">
        <f aca="false">IF(H387=TRUE(), "Holiday", IF(OR(I387=0, I387=6), "Weekend", "Weekday"))</f>
        <v>Holiday</v>
      </c>
      <c r="L387" s="35" t="str">
        <f aca="false">IF(AND(K387="Weekday", OR(AND(G387&gt;=7, G387&lt;=9), AND(G387&gt;=17, G387&lt;=19))), "Peak Commute", "Off-Peak")</f>
        <v>Off-Peak</v>
      </c>
      <c r="M387" s="37" t="n">
        <v>2</v>
      </c>
      <c r="N387" s="35" t="str">
        <f aca="false">VLOOKUP(M387, Lookups_Metadata!$G$4:$H$7, 2, FALSE())</f>
        <v>Mist / Cloudy</v>
      </c>
      <c r="O387" s="40" t="n">
        <v>0.16</v>
      </c>
      <c r="P387" s="40" t="n">
        <v>0.1515</v>
      </c>
      <c r="Q387" s="40" t="n">
        <f aca="false">IF(OR(P387="", ISBLANK(P387)), ROUND(0.9367*O387+0.0175, 4), P387)</f>
        <v>0.1515</v>
      </c>
      <c r="R387" s="35" t="str">
        <f aca="false">IF(OR(P387="", ISBLANK(P387)), "Imputed (Regression/Trend)", "Original")</f>
        <v>Original</v>
      </c>
      <c r="S387" s="40" t="n">
        <v>0.5</v>
      </c>
      <c r="T387" s="40" t="n">
        <v>0.2537</v>
      </c>
      <c r="U387" s="41" t="n">
        <v>7</v>
      </c>
      <c r="V387" s="41" t="n">
        <v>50</v>
      </c>
      <c r="W387" s="41" t="n">
        <f aca="false">U387+V387</f>
        <v>57</v>
      </c>
      <c r="X387" s="42" t="n">
        <f aca="false">U387/W387</f>
        <v>0.12280701754386</v>
      </c>
      <c r="Y387" s="42" t="n">
        <f aca="false">V387/W387</f>
        <v>0.87719298245614</v>
      </c>
      <c r="Z387" s="35" t="str">
        <f aca="false">IF(W387&gt;=150, "High Demand", IF(W387&gt;=50, "Moderate Demand", "Low Demand"))</f>
        <v>Moderate Demand</v>
      </c>
      <c r="AA387" s="39" t="str">
        <f aca="false">TEXT(G387, "00") &amp; ":00"</f>
        <v>10:00</v>
      </c>
      <c r="AB387" s="37" t="n">
        <f aca="false">YEAR(B387)</f>
        <v>2011</v>
      </c>
      <c r="AC387" s="35" t="str">
        <f aca="false">TEXT(B387, "mmmm")</f>
        <v>January</v>
      </c>
      <c r="AD387" s="37" t="n">
        <f aca="false">LEN(TEXT(B387, "YYYY-MM-DD"))</f>
        <v>10</v>
      </c>
      <c r="AE387" s="39" t="str">
        <f aca="false">LEFT(TEXT(B387, "YYYY-MM-DD"), 4)</f>
        <v>2011</v>
      </c>
      <c r="AF387" s="39" t="str">
        <f aca="false">RIGHT(TEXT(B387, "YYYY-MM-DD"), 2)</f>
        <v>17</v>
      </c>
    </row>
    <row r="388" customFormat="false" ht="15" hidden="false" customHeight="false" outlineLevel="0" collapsed="false">
      <c r="A388" s="43" t="n">
        <v>384</v>
      </c>
      <c r="B388" s="44" t="s">
        <v>93</v>
      </c>
      <c r="C388" s="43" t="n">
        <v>1</v>
      </c>
      <c r="D388" s="33" t="str">
        <f aca="false">VLOOKUP(C388, Lookups_Metadata!$A$4:$B$7, 2, FALSE())</f>
        <v>Spring</v>
      </c>
      <c r="E388" s="43" t="n">
        <v>0</v>
      </c>
      <c r="F388" s="43" t="n">
        <v>1</v>
      </c>
      <c r="G388" s="43" t="n">
        <v>11</v>
      </c>
      <c r="H388" s="45" t="b">
        <f aca="false">TRUE()</f>
        <v>1</v>
      </c>
      <c r="I388" s="43" t="n">
        <v>1</v>
      </c>
      <c r="J388" s="33" t="str">
        <f aca="false">INDEX(Lookups_Metadata!$E$4:$E$10, MATCH(I388, Lookups_Metadata!$D$4:$D$10, 0))</f>
        <v>Monday</v>
      </c>
      <c r="K388" s="33" t="str">
        <f aca="false">IF(H388=TRUE(), "Holiday", IF(OR(I388=0, I388=6), "Weekend", "Weekday"))</f>
        <v>Holiday</v>
      </c>
      <c r="L388" s="33" t="str">
        <f aca="false">IF(AND(K388="Weekday", OR(AND(G388&gt;=7, G388&lt;=9), AND(G388&gt;=17, G388&lt;=19))), "Peak Commute", "Off-Peak")</f>
        <v>Off-Peak</v>
      </c>
      <c r="M388" s="43" t="n">
        <v>2</v>
      </c>
      <c r="N388" s="33" t="str">
        <f aca="false">VLOOKUP(M388, Lookups_Metadata!$G$4:$H$7, 2, FALSE())</f>
        <v>Mist / Cloudy</v>
      </c>
      <c r="O388" s="46" t="n">
        <v>0.16</v>
      </c>
      <c r="P388" s="46" t="n">
        <v>0.1515</v>
      </c>
      <c r="Q388" s="46" t="n">
        <f aca="false">IF(OR(P388="", ISBLANK(P388)), ROUND(0.9367*O388+0.0175, 4), P388)</f>
        <v>0.1515</v>
      </c>
      <c r="R388" s="33" t="str">
        <f aca="false">IF(OR(P388="", ISBLANK(P388)), "Imputed (Regression/Trend)", "Original")</f>
        <v>Original</v>
      </c>
      <c r="S388" s="46" t="n">
        <v>0.55</v>
      </c>
      <c r="T388" s="46" t="n">
        <v>0.194</v>
      </c>
      <c r="U388" s="18" t="n">
        <v>9</v>
      </c>
      <c r="V388" s="18" t="n">
        <v>55</v>
      </c>
      <c r="W388" s="18" t="n">
        <f aca="false">U388+V388</f>
        <v>64</v>
      </c>
      <c r="X388" s="47" t="n">
        <f aca="false">U388/W388</f>
        <v>0.140625</v>
      </c>
      <c r="Y388" s="47" t="n">
        <f aca="false">V388/W388</f>
        <v>0.859375</v>
      </c>
      <c r="Z388" s="33" t="str">
        <f aca="false">IF(W388&gt;=150, "High Demand", IF(W388&gt;=50, "Moderate Demand", "Low Demand"))</f>
        <v>Moderate Demand</v>
      </c>
      <c r="AA388" s="45" t="str">
        <f aca="false">TEXT(G388, "00") &amp; ":00"</f>
        <v>11:00</v>
      </c>
      <c r="AB388" s="43" t="n">
        <f aca="false">YEAR(B388)</f>
        <v>2011</v>
      </c>
      <c r="AC388" s="33" t="str">
        <f aca="false">TEXT(B388, "mmmm")</f>
        <v>January</v>
      </c>
      <c r="AD388" s="43" t="n">
        <f aca="false">LEN(TEXT(B388, "YYYY-MM-DD"))</f>
        <v>10</v>
      </c>
      <c r="AE388" s="45" t="str">
        <f aca="false">LEFT(TEXT(B388, "YYYY-MM-DD"), 4)</f>
        <v>2011</v>
      </c>
      <c r="AF388" s="45" t="str">
        <f aca="false">RIGHT(TEXT(B388, "YYYY-MM-DD"), 2)</f>
        <v>17</v>
      </c>
    </row>
    <row r="389" customFormat="false" ht="15" hidden="false" customHeight="false" outlineLevel="0" collapsed="false">
      <c r="A389" s="37" t="n">
        <v>385</v>
      </c>
      <c r="B389" s="38" t="s">
        <v>93</v>
      </c>
      <c r="C389" s="37" t="n">
        <v>1</v>
      </c>
      <c r="D389" s="35" t="str">
        <f aca="false">VLOOKUP(C389, Lookups_Metadata!$A$4:$B$7, 2, FALSE())</f>
        <v>Spring</v>
      </c>
      <c r="E389" s="37" t="n">
        <v>0</v>
      </c>
      <c r="F389" s="37" t="n">
        <v>1</v>
      </c>
      <c r="G389" s="37" t="n">
        <v>12</v>
      </c>
      <c r="H389" s="39" t="b">
        <f aca="false">TRUE()</f>
        <v>1</v>
      </c>
      <c r="I389" s="37" t="n">
        <v>1</v>
      </c>
      <c r="J389" s="35" t="str">
        <f aca="false">INDEX(Lookups_Metadata!$E$4:$E$10, MATCH(I389, Lookups_Metadata!$D$4:$D$10, 0))</f>
        <v>Monday</v>
      </c>
      <c r="K389" s="35" t="str">
        <f aca="false">IF(H389=TRUE(), "Holiday", IF(OR(I389=0, I389=6), "Weekend", "Weekday"))</f>
        <v>Holiday</v>
      </c>
      <c r="L389" s="35" t="str">
        <f aca="false">IF(AND(K389="Weekday", OR(AND(G389&gt;=7, G389&lt;=9), AND(G389&gt;=17, G389&lt;=19))), "Peak Commute", "Off-Peak")</f>
        <v>Off-Peak</v>
      </c>
      <c r="M389" s="37" t="n">
        <v>2</v>
      </c>
      <c r="N389" s="35" t="str">
        <f aca="false">VLOOKUP(M389, Lookups_Metadata!$G$4:$H$7, 2, FALSE())</f>
        <v>Mist / Cloudy</v>
      </c>
      <c r="O389" s="40" t="n">
        <v>0.18</v>
      </c>
      <c r="P389" s="40" t="n">
        <v>0.197</v>
      </c>
      <c r="Q389" s="40" t="n">
        <f aca="false">IF(OR(P389="", ISBLANK(P389)), ROUND(0.9367*O389+0.0175, 4), P389)</f>
        <v>0.197</v>
      </c>
      <c r="R389" s="35" t="str">
        <f aca="false">IF(OR(P389="", ISBLANK(P389)), "Imputed (Regression/Trend)", "Original")</f>
        <v>Original</v>
      </c>
      <c r="S389" s="40" t="n">
        <v>0.47</v>
      </c>
      <c r="T389" s="40" t="n">
        <v>0.1343</v>
      </c>
      <c r="U389" s="41" t="n">
        <v>10</v>
      </c>
      <c r="V389" s="41" t="n">
        <v>70</v>
      </c>
      <c r="W389" s="41" t="n">
        <f aca="false">U389+V389</f>
        <v>80</v>
      </c>
      <c r="X389" s="42" t="n">
        <f aca="false">U389/W389</f>
        <v>0.125</v>
      </c>
      <c r="Y389" s="42" t="n">
        <f aca="false">V389/W389</f>
        <v>0.875</v>
      </c>
      <c r="Z389" s="35" t="str">
        <f aca="false">IF(W389&gt;=150, "High Demand", IF(W389&gt;=50, "Moderate Demand", "Low Demand"))</f>
        <v>Moderate Demand</v>
      </c>
      <c r="AA389" s="39" t="str">
        <f aca="false">TEXT(G389, "00") &amp; ":00"</f>
        <v>12:00</v>
      </c>
      <c r="AB389" s="37" t="n">
        <f aca="false">YEAR(B389)</f>
        <v>2011</v>
      </c>
      <c r="AC389" s="35" t="str">
        <f aca="false">TEXT(B389, "mmmm")</f>
        <v>January</v>
      </c>
      <c r="AD389" s="37" t="n">
        <f aca="false">LEN(TEXT(B389, "YYYY-MM-DD"))</f>
        <v>10</v>
      </c>
      <c r="AE389" s="39" t="str">
        <f aca="false">LEFT(TEXT(B389, "YYYY-MM-DD"), 4)</f>
        <v>2011</v>
      </c>
      <c r="AF389" s="39" t="str">
        <f aca="false">RIGHT(TEXT(B389, "YYYY-MM-DD"), 2)</f>
        <v>17</v>
      </c>
    </row>
    <row r="390" customFormat="false" ht="15" hidden="false" customHeight="false" outlineLevel="0" collapsed="false">
      <c r="A390" s="43" t="n">
        <v>386</v>
      </c>
      <c r="B390" s="44" t="s">
        <v>93</v>
      </c>
      <c r="C390" s="43" t="n">
        <v>1</v>
      </c>
      <c r="D390" s="33" t="str">
        <f aca="false">VLOOKUP(C390, Lookups_Metadata!$A$4:$B$7, 2, FALSE())</f>
        <v>Spring</v>
      </c>
      <c r="E390" s="43" t="n">
        <v>0</v>
      </c>
      <c r="F390" s="43" t="n">
        <v>1</v>
      </c>
      <c r="G390" s="43" t="n">
        <v>13</v>
      </c>
      <c r="H390" s="45" t="b">
        <f aca="false">TRUE()</f>
        <v>1</v>
      </c>
      <c r="I390" s="43" t="n">
        <v>1</v>
      </c>
      <c r="J390" s="33" t="str">
        <f aca="false">INDEX(Lookups_Metadata!$E$4:$E$10, MATCH(I390, Lookups_Metadata!$D$4:$D$10, 0))</f>
        <v>Monday</v>
      </c>
      <c r="K390" s="33" t="str">
        <f aca="false">IF(H390=TRUE(), "Holiday", IF(OR(I390=0, I390=6), "Weekend", "Weekday"))</f>
        <v>Holiday</v>
      </c>
      <c r="L390" s="33" t="str">
        <f aca="false">IF(AND(K390="Weekday", OR(AND(G390&gt;=7, G390&lt;=9), AND(G390&gt;=17, G390&lt;=19))), "Peak Commute", "Off-Peak")</f>
        <v>Off-Peak</v>
      </c>
      <c r="M390" s="43" t="n">
        <v>2</v>
      </c>
      <c r="N390" s="33" t="str">
        <f aca="false">VLOOKUP(M390, Lookups_Metadata!$G$4:$H$7, 2, FALSE())</f>
        <v>Mist / Cloudy</v>
      </c>
      <c r="O390" s="46" t="n">
        <v>0.18</v>
      </c>
      <c r="P390" s="46" t="n">
        <v>0.197</v>
      </c>
      <c r="Q390" s="46" t="n">
        <f aca="false">IF(OR(P390="", ISBLANK(P390)), ROUND(0.9367*O390+0.0175, 4), P390)</f>
        <v>0.197</v>
      </c>
      <c r="R390" s="33" t="str">
        <f aca="false">IF(OR(P390="", ISBLANK(P390)), "Imputed (Regression/Trend)", "Original")</f>
        <v>Original</v>
      </c>
      <c r="S390" s="46" t="n">
        <v>0.47</v>
      </c>
      <c r="T390" s="46" t="n">
        <v>0.1343</v>
      </c>
      <c r="U390" s="18" t="n">
        <v>13</v>
      </c>
      <c r="V390" s="18" t="n">
        <v>80</v>
      </c>
      <c r="W390" s="18" t="n">
        <f aca="false">U390+V390</f>
        <v>93</v>
      </c>
      <c r="X390" s="47" t="n">
        <f aca="false">U390/W390</f>
        <v>0.139784946236559</v>
      </c>
      <c r="Y390" s="47" t="n">
        <f aca="false">V390/W390</f>
        <v>0.860215053763441</v>
      </c>
      <c r="Z390" s="33" t="str">
        <f aca="false">IF(W390&gt;=150, "High Demand", IF(W390&gt;=50, "Moderate Demand", "Low Demand"))</f>
        <v>Moderate Demand</v>
      </c>
      <c r="AA390" s="45" t="str">
        <f aca="false">TEXT(G390, "00") &amp; ":00"</f>
        <v>13:00</v>
      </c>
      <c r="AB390" s="43" t="n">
        <f aca="false">YEAR(B390)</f>
        <v>2011</v>
      </c>
      <c r="AC390" s="33" t="str">
        <f aca="false">TEXT(B390, "mmmm")</f>
        <v>January</v>
      </c>
      <c r="AD390" s="43" t="n">
        <f aca="false">LEN(TEXT(B390, "YYYY-MM-DD"))</f>
        <v>10</v>
      </c>
      <c r="AE390" s="45" t="str">
        <f aca="false">LEFT(TEXT(B390, "YYYY-MM-DD"), 4)</f>
        <v>2011</v>
      </c>
      <c r="AF390" s="45" t="str">
        <f aca="false">RIGHT(TEXT(B390, "YYYY-MM-DD"), 2)</f>
        <v>17</v>
      </c>
    </row>
    <row r="391" customFormat="false" ht="15" hidden="false" customHeight="false" outlineLevel="0" collapsed="false">
      <c r="A391" s="37" t="n">
        <v>387</v>
      </c>
      <c r="B391" s="38" t="s">
        <v>93</v>
      </c>
      <c r="C391" s="37" t="n">
        <v>1</v>
      </c>
      <c r="D391" s="35" t="str">
        <f aca="false">VLOOKUP(C391, Lookups_Metadata!$A$4:$B$7, 2, FALSE())</f>
        <v>Spring</v>
      </c>
      <c r="E391" s="37" t="n">
        <v>0</v>
      </c>
      <c r="F391" s="37" t="n">
        <v>1</v>
      </c>
      <c r="G391" s="37" t="n">
        <v>14</v>
      </c>
      <c r="H391" s="39" t="b">
        <f aca="false">TRUE()</f>
        <v>1</v>
      </c>
      <c r="I391" s="37" t="n">
        <v>1</v>
      </c>
      <c r="J391" s="35" t="str">
        <f aca="false">INDEX(Lookups_Metadata!$E$4:$E$10, MATCH(I391, Lookups_Metadata!$D$4:$D$10, 0))</f>
        <v>Monday</v>
      </c>
      <c r="K391" s="35" t="str">
        <f aca="false">IF(H391=TRUE(), "Holiday", IF(OR(I391=0, I391=6), "Weekend", "Weekday"))</f>
        <v>Holiday</v>
      </c>
      <c r="L391" s="35" t="str">
        <f aca="false">IF(AND(K391="Weekday", OR(AND(G391&gt;=7, G391&lt;=9), AND(G391&gt;=17, G391&lt;=19))), "Peak Commute", "Off-Peak")</f>
        <v>Off-Peak</v>
      </c>
      <c r="M391" s="37" t="n">
        <v>2</v>
      </c>
      <c r="N391" s="35" t="str">
        <f aca="false">VLOOKUP(M391, Lookups_Metadata!$G$4:$H$7, 2, FALSE())</f>
        <v>Mist / Cloudy</v>
      </c>
      <c r="O391" s="40" t="n">
        <v>0.18</v>
      </c>
      <c r="P391" s="40" t="n">
        <v>0.2121</v>
      </c>
      <c r="Q391" s="40" t="n">
        <f aca="false">IF(OR(P391="", ISBLANK(P391)), ROUND(0.9367*O391+0.0175, 4), P391)</f>
        <v>0.2121</v>
      </c>
      <c r="R391" s="35" t="str">
        <f aca="false">IF(OR(P391="", ISBLANK(P391)), "Imputed (Regression/Trend)", "Original")</f>
        <v>Original</v>
      </c>
      <c r="S391" s="40" t="n">
        <v>0.43</v>
      </c>
      <c r="T391" s="40" t="n">
        <v>0.1045</v>
      </c>
      <c r="U391" s="41" t="n">
        <v>12</v>
      </c>
      <c r="V391" s="41" t="n">
        <v>74</v>
      </c>
      <c r="W391" s="41" t="n">
        <f aca="false">U391+V391</f>
        <v>86</v>
      </c>
      <c r="X391" s="42" t="n">
        <f aca="false">U391/W391</f>
        <v>0.13953488372093</v>
      </c>
      <c r="Y391" s="42" t="n">
        <f aca="false">V391/W391</f>
        <v>0.86046511627907</v>
      </c>
      <c r="Z391" s="35" t="str">
        <f aca="false">IF(W391&gt;=150, "High Demand", IF(W391&gt;=50, "Moderate Demand", "Low Demand"))</f>
        <v>Moderate Demand</v>
      </c>
      <c r="AA391" s="39" t="str">
        <f aca="false">TEXT(G391, "00") &amp; ":00"</f>
        <v>14:00</v>
      </c>
      <c r="AB391" s="37" t="n">
        <f aca="false">YEAR(B391)</f>
        <v>2011</v>
      </c>
      <c r="AC391" s="35" t="str">
        <f aca="false">TEXT(B391, "mmmm")</f>
        <v>January</v>
      </c>
      <c r="AD391" s="37" t="n">
        <f aca="false">LEN(TEXT(B391, "YYYY-MM-DD"))</f>
        <v>10</v>
      </c>
      <c r="AE391" s="39" t="str">
        <f aca="false">LEFT(TEXT(B391, "YYYY-MM-DD"), 4)</f>
        <v>2011</v>
      </c>
      <c r="AF391" s="39" t="str">
        <f aca="false">RIGHT(TEXT(B391, "YYYY-MM-DD"), 2)</f>
        <v>17</v>
      </c>
    </row>
    <row r="392" customFormat="false" ht="15" hidden="false" customHeight="false" outlineLevel="0" collapsed="false">
      <c r="A392" s="43" t="n">
        <v>388</v>
      </c>
      <c r="B392" s="44" t="s">
        <v>93</v>
      </c>
      <c r="C392" s="43" t="n">
        <v>1</v>
      </c>
      <c r="D392" s="33" t="str">
        <f aca="false">VLOOKUP(C392, Lookups_Metadata!$A$4:$B$7, 2, FALSE())</f>
        <v>Spring</v>
      </c>
      <c r="E392" s="43" t="n">
        <v>0</v>
      </c>
      <c r="F392" s="43" t="n">
        <v>1</v>
      </c>
      <c r="G392" s="43" t="n">
        <v>15</v>
      </c>
      <c r="H392" s="45" t="b">
        <f aca="false">TRUE()</f>
        <v>1</v>
      </c>
      <c r="I392" s="43" t="n">
        <v>1</v>
      </c>
      <c r="J392" s="33" t="str">
        <f aca="false">INDEX(Lookups_Metadata!$E$4:$E$10, MATCH(I392, Lookups_Metadata!$D$4:$D$10, 0))</f>
        <v>Monday</v>
      </c>
      <c r="K392" s="33" t="str">
        <f aca="false">IF(H392=TRUE(), "Holiday", IF(OR(I392=0, I392=6), "Weekend", "Weekday"))</f>
        <v>Holiday</v>
      </c>
      <c r="L392" s="33" t="str">
        <f aca="false">IF(AND(K392="Weekday", OR(AND(G392&gt;=7, G392&lt;=9), AND(G392&gt;=17, G392&lt;=19))), "Peak Commute", "Off-Peak")</f>
        <v>Off-Peak</v>
      </c>
      <c r="M392" s="43" t="n">
        <v>2</v>
      </c>
      <c r="N392" s="33" t="str">
        <f aca="false">VLOOKUP(M392, Lookups_Metadata!$G$4:$H$7, 2, FALSE())</f>
        <v>Mist / Cloudy</v>
      </c>
      <c r="O392" s="46" t="n">
        <v>0.2</v>
      </c>
      <c r="P392" s="46" t="n">
        <v>0.2121</v>
      </c>
      <c r="Q392" s="46" t="n">
        <f aca="false">IF(OR(P392="", ISBLANK(P392)), ROUND(0.9367*O392+0.0175, 4), P392)</f>
        <v>0.2121</v>
      </c>
      <c r="R392" s="33" t="str">
        <f aca="false">IF(OR(P392="", ISBLANK(P392)), "Imputed (Regression/Trend)", "Original")</f>
        <v>Original</v>
      </c>
      <c r="S392" s="46" t="n">
        <v>0.47</v>
      </c>
      <c r="T392" s="46" t="n">
        <v>0.1642</v>
      </c>
      <c r="U392" s="18" t="n">
        <v>21</v>
      </c>
      <c r="V392" s="18" t="n">
        <v>72</v>
      </c>
      <c r="W392" s="18" t="n">
        <f aca="false">U392+V392</f>
        <v>93</v>
      </c>
      <c r="X392" s="47" t="n">
        <f aca="false">U392/W392</f>
        <v>0.225806451612903</v>
      </c>
      <c r="Y392" s="47" t="n">
        <f aca="false">V392/W392</f>
        <v>0.774193548387097</v>
      </c>
      <c r="Z392" s="33" t="str">
        <f aca="false">IF(W392&gt;=150, "High Demand", IF(W392&gt;=50, "Moderate Demand", "Low Demand"))</f>
        <v>Moderate Demand</v>
      </c>
      <c r="AA392" s="45" t="str">
        <f aca="false">TEXT(G392, "00") &amp; ":00"</f>
        <v>15:00</v>
      </c>
      <c r="AB392" s="43" t="n">
        <f aca="false">YEAR(B392)</f>
        <v>2011</v>
      </c>
      <c r="AC392" s="33" t="str">
        <f aca="false">TEXT(B392, "mmmm")</f>
        <v>January</v>
      </c>
      <c r="AD392" s="43" t="n">
        <f aca="false">LEN(TEXT(B392, "YYYY-MM-DD"))</f>
        <v>10</v>
      </c>
      <c r="AE392" s="45" t="str">
        <f aca="false">LEFT(TEXT(B392, "YYYY-MM-DD"), 4)</f>
        <v>2011</v>
      </c>
      <c r="AF392" s="45" t="str">
        <f aca="false">RIGHT(TEXT(B392, "YYYY-MM-DD"), 2)</f>
        <v>17</v>
      </c>
    </row>
    <row r="393" customFormat="false" ht="15" hidden="false" customHeight="false" outlineLevel="0" collapsed="false">
      <c r="A393" s="37" t="n">
        <v>389</v>
      </c>
      <c r="B393" s="38" t="s">
        <v>93</v>
      </c>
      <c r="C393" s="37" t="n">
        <v>1</v>
      </c>
      <c r="D393" s="35" t="str">
        <f aca="false">VLOOKUP(C393, Lookups_Metadata!$A$4:$B$7, 2, FALSE())</f>
        <v>Spring</v>
      </c>
      <c r="E393" s="37" t="n">
        <v>0</v>
      </c>
      <c r="F393" s="37" t="n">
        <v>1</v>
      </c>
      <c r="G393" s="37" t="n">
        <v>16</v>
      </c>
      <c r="H393" s="39" t="b">
        <f aca="false">TRUE()</f>
        <v>1</v>
      </c>
      <c r="I393" s="37" t="n">
        <v>1</v>
      </c>
      <c r="J393" s="35" t="str">
        <f aca="false">INDEX(Lookups_Metadata!$E$4:$E$10, MATCH(I393, Lookups_Metadata!$D$4:$D$10, 0))</f>
        <v>Monday</v>
      </c>
      <c r="K393" s="35" t="str">
        <f aca="false">IF(H393=TRUE(), "Holiday", IF(OR(I393=0, I393=6), "Weekend", "Weekday"))</f>
        <v>Holiday</v>
      </c>
      <c r="L393" s="35" t="str">
        <f aca="false">IF(AND(K393="Weekday", OR(AND(G393&gt;=7, G393&lt;=9), AND(G393&gt;=17, G393&lt;=19))), "Peak Commute", "Off-Peak")</f>
        <v>Off-Peak</v>
      </c>
      <c r="M393" s="37" t="n">
        <v>2</v>
      </c>
      <c r="N393" s="35" t="str">
        <f aca="false">VLOOKUP(M393, Lookups_Metadata!$G$4:$H$7, 2, FALSE())</f>
        <v>Mist / Cloudy</v>
      </c>
      <c r="O393" s="40" t="n">
        <v>0.2</v>
      </c>
      <c r="P393" s="40" t="n">
        <v>0.2121</v>
      </c>
      <c r="Q393" s="40" t="n">
        <f aca="false">IF(OR(P393="", ISBLANK(P393)), ROUND(0.9367*O393+0.0175, 4), P393)</f>
        <v>0.2121</v>
      </c>
      <c r="R393" s="35" t="str">
        <f aca="false">IF(OR(P393="", ISBLANK(P393)), "Imputed (Regression/Trend)", "Original")</f>
        <v>Original</v>
      </c>
      <c r="S393" s="40" t="n">
        <v>0.47</v>
      </c>
      <c r="T393" s="40" t="n">
        <v>0.1642</v>
      </c>
      <c r="U393" s="41" t="n">
        <v>6</v>
      </c>
      <c r="V393" s="41" t="n">
        <v>76</v>
      </c>
      <c r="W393" s="41" t="n">
        <f aca="false">U393+V393</f>
        <v>82</v>
      </c>
      <c r="X393" s="42" t="n">
        <f aca="false">U393/W393</f>
        <v>0.0731707317073171</v>
      </c>
      <c r="Y393" s="42" t="n">
        <f aca="false">V393/W393</f>
        <v>0.926829268292683</v>
      </c>
      <c r="Z393" s="35" t="str">
        <f aca="false">IF(W393&gt;=150, "High Demand", IF(W393&gt;=50, "Moderate Demand", "Low Demand"))</f>
        <v>Moderate Demand</v>
      </c>
      <c r="AA393" s="39" t="str">
        <f aca="false">TEXT(G393, "00") &amp; ":00"</f>
        <v>16:00</v>
      </c>
      <c r="AB393" s="37" t="n">
        <f aca="false">YEAR(B393)</f>
        <v>2011</v>
      </c>
      <c r="AC393" s="35" t="str">
        <f aca="false">TEXT(B393, "mmmm")</f>
        <v>January</v>
      </c>
      <c r="AD393" s="37" t="n">
        <f aca="false">LEN(TEXT(B393, "YYYY-MM-DD"))</f>
        <v>10</v>
      </c>
      <c r="AE393" s="39" t="str">
        <f aca="false">LEFT(TEXT(B393, "YYYY-MM-DD"), 4)</f>
        <v>2011</v>
      </c>
      <c r="AF393" s="39" t="str">
        <f aca="false">RIGHT(TEXT(B393, "YYYY-MM-DD"), 2)</f>
        <v>17</v>
      </c>
    </row>
    <row r="394" customFormat="false" ht="15" hidden="false" customHeight="false" outlineLevel="0" collapsed="false">
      <c r="A394" s="43" t="n">
        <v>390</v>
      </c>
      <c r="B394" s="44" t="s">
        <v>93</v>
      </c>
      <c r="C394" s="43" t="n">
        <v>1</v>
      </c>
      <c r="D394" s="33" t="str">
        <f aca="false">VLOOKUP(C394, Lookups_Metadata!$A$4:$B$7, 2, FALSE())</f>
        <v>Spring</v>
      </c>
      <c r="E394" s="43" t="n">
        <v>0</v>
      </c>
      <c r="F394" s="43" t="n">
        <v>1</v>
      </c>
      <c r="G394" s="43" t="n">
        <v>17</v>
      </c>
      <c r="H394" s="45" t="b">
        <f aca="false">TRUE()</f>
        <v>1</v>
      </c>
      <c r="I394" s="43" t="n">
        <v>1</v>
      </c>
      <c r="J394" s="33" t="str">
        <f aca="false">INDEX(Lookups_Metadata!$E$4:$E$10, MATCH(I394, Lookups_Metadata!$D$4:$D$10, 0))</f>
        <v>Monday</v>
      </c>
      <c r="K394" s="33" t="str">
        <f aca="false">IF(H394=TRUE(), "Holiday", IF(OR(I394=0, I394=6), "Weekend", "Weekday"))</f>
        <v>Holiday</v>
      </c>
      <c r="L394" s="33" t="str">
        <f aca="false">IF(AND(K394="Weekday", OR(AND(G394&gt;=7, G394&lt;=9), AND(G394&gt;=17, G394&lt;=19))), "Peak Commute", "Off-Peak")</f>
        <v>Off-Peak</v>
      </c>
      <c r="M394" s="43" t="n">
        <v>1</v>
      </c>
      <c r="N394" s="33" t="str">
        <f aca="false">VLOOKUP(M394, Lookups_Metadata!$G$4:$H$7, 2, FALSE())</f>
        <v>Clear / Few Clouds</v>
      </c>
      <c r="O394" s="46" t="n">
        <v>0.2</v>
      </c>
      <c r="P394" s="46" t="n">
        <v>0.197</v>
      </c>
      <c r="Q394" s="46" t="n">
        <f aca="false">IF(OR(P394="", ISBLANK(P394)), ROUND(0.9367*O394+0.0175, 4), P394)</f>
        <v>0.197</v>
      </c>
      <c r="R394" s="33" t="str">
        <f aca="false">IF(OR(P394="", ISBLANK(P394)), "Imputed (Regression/Trend)", "Original")</f>
        <v>Original</v>
      </c>
      <c r="S394" s="46" t="n">
        <v>0.51</v>
      </c>
      <c r="T394" s="46" t="n">
        <v>0.194</v>
      </c>
      <c r="U394" s="18" t="n">
        <v>4</v>
      </c>
      <c r="V394" s="18" t="n">
        <v>67</v>
      </c>
      <c r="W394" s="18" t="n">
        <f aca="false">U394+V394</f>
        <v>71</v>
      </c>
      <c r="X394" s="47" t="n">
        <f aca="false">U394/W394</f>
        <v>0.0563380281690141</v>
      </c>
      <c r="Y394" s="47" t="n">
        <f aca="false">V394/W394</f>
        <v>0.943661971830986</v>
      </c>
      <c r="Z394" s="33" t="str">
        <f aca="false">IF(W394&gt;=150, "High Demand", IF(W394&gt;=50, "Moderate Demand", "Low Demand"))</f>
        <v>Moderate Demand</v>
      </c>
      <c r="AA394" s="45" t="str">
        <f aca="false">TEXT(G394, "00") &amp; ":00"</f>
        <v>17:00</v>
      </c>
      <c r="AB394" s="43" t="n">
        <f aca="false">YEAR(B394)</f>
        <v>2011</v>
      </c>
      <c r="AC394" s="33" t="str">
        <f aca="false">TEXT(B394, "mmmm")</f>
        <v>January</v>
      </c>
      <c r="AD394" s="43" t="n">
        <f aca="false">LEN(TEXT(B394, "YYYY-MM-DD"))</f>
        <v>10</v>
      </c>
      <c r="AE394" s="45" t="str">
        <f aca="false">LEFT(TEXT(B394, "YYYY-MM-DD"), 4)</f>
        <v>2011</v>
      </c>
      <c r="AF394" s="45" t="str">
        <f aca="false">RIGHT(TEXT(B394, "YYYY-MM-DD"), 2)</f>
        <v>17</v>
      </c>
    </row>
    <row r="395" customFormat="false" ht="15" hidden="false" customHeight="false" outlineLevel="0" collapsed="false">
      <c r="A395" s="37" t="n">
        <v>391</v>
      </c>
      <c r="B395" s="38" t="s">
        <v>93</v>
      </c>
      <c r="C395" s="37" t="n">
        <v>1</v>
      </c>
      <c r="D395" s="35" t="str">
        <f aca="false">VLOOKUP(C395, Lookups_Metadata!$A$4:$B$7, 2, FALSE())</f>
        <v>Spring</v>
      </c>
      <c r="E395" s="37" t="n">
        <v>0</v>
      </c>
      <c r="F395" s="37" t="n">
        <v>1</v>
      </c>
      <c r="G395" s="37" t="n">
        <v>18</v>
      </c>
      <c r="H395" s="39" t="b">
        <f aca="false">TRUE()</f>
        <v>1</v>
      </c>
      <c r="I395" s="37" t="n">
        <v>1</v>
      </c>
      <c r="J395" s="35" t="str">
        <f aca="false">INDEX(Lookups_Metadata!$E$4:$E$10, MATCH(I395, Lookups_Metadata!$D$4:$D$10, 0))</f>
        <v>Monday</v>
      </c>
      <c r="K395" s="35" t="str">
        <f aca="false">IF(H395=TRUE(), "Holiday", IF(OR(I395=0, I395=6), "Weekend", "Weekday"))</f>
        <v>Holiday</v>
      </c>
      <c r="L395" s="35" t="str">
        <f aca="false">IF(AND(K395="Weekday", OR(AND(G395&gt;=7, G395&lt;=9), AND(G395&gt;=17, G395&lt;=19))), "Peak Commute", "Off-Peak")</f>
        <v>Off-Peak</v>
      </c>
      <c r="M395" s="37" t="n">
        <v>2</v>
      </c>
      <c r="N395" s="35" t="str">
        <f aca="false">VLOOKUP(M395, Lookups_Metadata!$G$4:$H$7, 2, FALSE())</f>
        <v>Mist / Cloudy</v>
      </c>
      <c r="O395" s="40" t="n">
        <v>0.18</v>
      </c>
      <c r="P395" s="40" t="n">
        <v>0.1667</v>
      </c>
      <c r="Q395" s="40" t="n">
        <f aca="false">IF(OR(P395="", ISBLANK(P395)), ROUND(0.9367*O395+0.0175, 4), P395)</f>
        <v>0.1667</v>
      </c>
      <c r="R395" s="35" t="str">
        <f aca="false">IF(OR(P395="", ISBLANK(P395)), "Imputed (Regression/Trend)", "Original")</f>
        <v>Original</v>
      </c>
      <c r="S395" s="40" t="n">
        <v>0.55</v>
      </c>
      <c r="T395" s="40" t="n">
        <v>0.2537</v>
      </c>
      <c r="U395" s="41" t="n">
        <v>7</v>
      </c>
      <c r="V395" s="41" t="n">
        <v>85</v>
      </c>
      <c r="W395" s="41" t="n">
        <f aca="false">U395+V395</f>
        <v>92</v>
      </c>
      <c r="X395" s="42" t="n">
        <f aca="false">U395/W395</f>
        <v>0.0760869565217391</v>
      </c>
      <c r="Y395" s="42" t="n">
        <f aca="false">V395/W395</f>
        <v>0.923913043478261</v>
      </c>
      <c r="Z395" s="35" t="str">
        <f aca="false">IF(W395&gt;=150, "High Demand", IF(W395&gt;=50, "Moderate Demand", "Low Demand"))</f>
        <v>Moderate Demand</v>
      </c>
      <c r="AA395" s="39" t="str">
        <f aca="false">TEXT(G395, "00") &amp; ":00"</f>
        <v>18:00</v>
      </c>
      <c r="AB395" s="37" t="n">
        <f aca="false">YEAR(B395)</f>
        <v>2011</v>
      </c>
      <c r="AC395" s="35" t="str">
        <f aca="false">TEXT(B395, "mmmm")</f>
        <v>January</v>
      </c>
      <c r="AD395" s="37" t="n">
        <f aca="false">LEN(TEXT(B395, "YYYY-MM-DD"))</f>
        <v>10</v>
      </c>
      <c r="AE395" s="39" t="str">
        <f aca="false">LEFT(TEXT(B395, "YYYY-MM-DD"), 4)</f>
        <v>2011</v>
      </c>
      <c r="AF395" s="39" t="str">
        <f aca="false">RIGHT(TEXT(B395, "YYYY-MM-DD"), 2)</f>
        <v>17</v>
      </c>
    </row>
    <row r="396" customFormat="false" ht="15" hidden="false" customHeight="false" outlineLevel="0" collapsed="false">
      <c r="A396" s="43" t="n">
        <v>392</v>
      </c>
      <c r="B396" s="44" t="s">
        <v>93</v>
      </c>
      <c r="C396" s="43" t="n">
        <v>1</v>
      </c>
      <c r="D396" s="33" t="str">
        <f aca="false">VLOOKUP(C396, Lookups_Metadata!$A$4:$B$7, 2, FALSE())</f>
        <v>Spring</v>
      </c>
      <c r="E396" s="43" t="n">
        <v>0</v>
      </c>
      <c r="F396" s="43" t="n">
        <v>1</v>
      </c>
      <c r="G396" s="43" t="n">
        <v>19</v>
      </c>
      <c r="H396" s="45" t="b">
        <f aca="false">TRUE()</f>
        <v>1</v>
      </c>
      <c r="I396" s="43" t="n">
        <v>1</v>
      </c>
      <c r="J396" s="33" t="str">
        <f aca="false">INDEX(Lookups_Metadata!$E$4:$E$10, MATCH(I396, Lookups_Metadata!$D$4:$D$10, 0))</f>
        <v>Monday</v>
      </c>
      <c r="K396" s="33" t="str">
        <f aca="false">IF(H396=TRUE(), "Holiday", IF(OR(I396=0, I396=6), "Weekend", "Weekday"))</f>
        <v>Holiday</v>
      </c>
      <c r="L396" s="33" t="str">
        <f aca="false">IF(AND(K396="Weekday", OR(AND(G396&gt;=7, G396&lt;=9), AND(G396&gt;=17, G396&lt;=19))), "Peak Commute", "Off-Peak")</f>
        <v>Off-Peak</v>
      </c>
      <c r="M396" s="43" t="n">
        <v>3</v>
      </c>
      <c r="N396" s="33" t="str">
        <f aca="false">VLOOKUP(M396, Lookups_Metadata!$G$4:$H$7, 2, FALSE())</f>
        <v>Light Snow / Light Rain</v>
      </c>
      <c r="O396" s="46" t="n">
        <v>0.18</v>
      </c>
      <c r="P396" s="46" t="n">
        <v>0.1818</v>
      </c>
      <c r="Q396" s="46" t="n">
        <f aca="false">IF(OR(P396="", ISBLANK(P396)), ROUND(0.9367*O396+0.0175, 4), P396)</f>
        <v>0.1818</v>
      </c>
      <c r="R396" s="33" t="str">
        <f aca="false">IF(OR(P396="", ISBLANK(P396)), "Imputed (Regression/Trend)", "Original")</f>
        <v>Original</v>
      </c>
      <c r="S396" s="46" t="n">
        <v>0.59</v>
      </c>
      <c r="T396" s="46" t="n">
        <v>0.194</v>
      </c>
      <c r="U396" s="18" t="n">
        <v>2</v>
      </c>
      <c r="V396" s="18" t="n">
        <v>58</v>
      </c>
      <c r="W396" s="18" t="n">
        <f aca="false">U396+V396</f>
        <v>60</v>
      </c>
      <c r="X396" s="47" t="n">
        <f aca="false">U396/W396</f>
        <v>0.0333333333333333</v>
      </c>
      <c r="Y396" s="47" t="n">
        <f aca="false">V396/W396</f>
        <v>0.966666666666667</v>
      </c>
      <c r="Z396" s="33" t="str">
        <f aca="false">IF(W396&gt;=150, "High Demand", IF(W396&gt;=50, "Moderate Demand", "Low Demand"))</f>
        <v>Moderate Demand</v>
      </c>
      <c r="AA396" s="45" t="str">
        <f aca="false">TEXT(G396, "00") &amp; ":00"</f>
        <v>19:00</v>
      </c>
      <c r="AB396" s="43" t="n">
        <f aca="false">YEAR(B396)</f>
        <v>2011</v>
      </c>
      <c r="AC396" s="33" t="str">
        <f aca="false">TEXT(B396, "mmmm")</f>
        <v>January</v>
      </c>
      <c r="AD396" s="43" t="n">
        <f aca="false">LEN(TEXT(B396, "YYYY-MM-DD"))</f>
        <v>10</v>
      </c>
      <c r="AE396" s="45" t="str">
        <f aca="false">LEFT(TEXT(B396, "YYYY-MM-DD"), 4)</f>
        <v>2011</v>
      </c>
      <c r="AF396" s="45" t="str">
        <f aca="false">RIGHT(TEXT(B396, "YYYY-MM-DD"), 2)</f>
        <v>17</v>
      </c>
    </row>
    <row r="397" customFormat="false" ht="15" hidden="false" customHeight="false" outlineLevel="0" collapsed="false">
      <c r="A397" s="37" t="n">
        <v>393</v>
      </c>
      <c r="B397" s="38" t="s">
        <v>93</v>
      </c>
      <c r="C397" s="37" t="n">
        <v>1</v>
      </c>
      <c r="D397" s="35" t="str">
        <f aca="false">VLOOKUP(C397, Lookups_Metadata!$A$4:$B$7, 2, FALSE())</f>
        <v>Spring</v>
      </c>
      <c r="E397" s="37" t="n">
        <v>0</v>
      </c>
      <c r="F397" s="37" t="n">
        <v>1</v>
      </c>
      <c r="G397" s="37" t="n">
        <v>20</v>
      </c>
      <c r="H397" s="39" t="b">
        <f aca="false">TRUE()</f>
        <v>1</v>
      </c>
      <c r="I397" s="37" t="n">
        <v>1</v>
      </c>
      <c r="J397" s="35" t="str">
        <f aca="false">INDEX(Lookups_Metadata!$E$4:$E$10, MATCH(I397, Lookups_Metadata!$D$4:$D$10, 0))</f>
        <v>Monday</v>
      </c>
      <c r="K397" s="35" t="str">
        <f aca="false">IF(H397=TRUE(), "Holiday", IF(OR(I397=0, I397=6), "Weekend", "Weekday"))</f>
        <v>Holiday</v>
      </c>
      <c r="L397" s="35" t="str">
        <f aca="false">IF(AND(K397="Weekday", OR(AND(G397&gt;=7, G397&lt;=9), AND(G397&gt;=17, G397&lt;=19))), "Peak Commute", "Off-Peak")</f>
        <v>Off-Peak</v>
      </c>
      <c r="M397" s="37" t="n">
        <v>3</v>
      </c>
      <c r="N397" s="35" t="str">
        <f aca="false">VLOOKUP(M397, Lookups_Metadata!$G$4:$H$7, 2, FALSE())</f>
        <v>Light Snow / Light Rain</v>
      </c>
      <c r="O397" s="40" t="n">
        <v>0.16</v>
      </c>
      <c r="P397" s="40" t="n">
        <v>0.1515</v>
      </c>
      <c r="Q397" s="40" t="n">
        <f aca="false">IF(OR(P397="", ISBLANK(P397)), ROUND(0.9367*O397+0.0175, 4), P397)</f>
        <v>0.1515</v>
      </c>
      <c r="R397" s="35" t="str">
        <f aca="false">IF(OR(P397="", ISBLANK(P397)), "Imputed (Regression/Trend)", "Original")</f>
        <v>Original</v>
      </c>
      <c r="S397" s="40" t="n">
        <v>0.8</v>
      </c>
      <c r="T397" s="40" t="n">
        <v>0.194</v>
      </c>
      <c r="U397" s="41" t="n">
        <v>4</v>
      </c>
      <c r="V397" s="41" t="n">
        <v>29</v>
      </c>
      <c r="W397" s="41" t="n">
        <f aca="false">U397+V397</f>
        <v>33</v>
      </c>
      <c r="X397" s="42" t="n">
        <f aca="false">U397/W397</f>
        <v>0.121212121212121</v>
      </c>
      <c r="Y397" s="42" t="n">
        <f aca="false">V397/W397</f>
        <v>0.878787878787879</v>
      </c>
      <c r="Z397" s="35" t="str">
        <f aca="false">IF(W397&gt;=150, "High Demand", IF(W397&gt;=50, "Moderate Demand", "Low Demand"))</f>
        <v>Low Demand</v>
      </c>
      <c r="AA397" s="39" t="str">
        <f aca="false">TEXT(G397, "00") &amp; ":00"</f>
        <v>20:00</v>
      </c>
      <c r="AB397" s="37" t="n">
        <f aca="false">YEAR(B397)</f>
        <v>2011</v>
      </c>
      <c r="AC397" s="35" t="str">
        <f aca="false">TEXT(B397, "mmmm")</f>
        <v>January</v>
      </c>
      <c r="AD397" s="37" t="n">
        <f aca="false">LEN(TEXT(B397, "YYYY-MM-DD"))</f>
        <v>10</v>
      </c>
      <c r="AE397" s="39" t="str">
        <f aca="false">LEFT(TEXT(B397, "YYYY-MM-DD"), 4)</f>
        <v>2011</v>
      </c>
      <c r="AF397" s="39" t="str">
        <f aca="false">RIGHT(TEXT(B397, "YYYY-MM-DD"), 2)</f>
        <v>17</v>
      </c>
    </row>
    <row r="398" customFormat="false" ht="15" hidden="false" customHeight="false" outlineLevel="0" collapsed="false">
      <c r="A398" s="43" t="n">
        <v>394</v>
      </c>
      <c r="B398" s="44" t="s">
        <v>93</v>
      </c>
      <c r="C398" s="43" t="n">
        <v>1</v>
      </c>
      <c r="D398" s="33" t="str">
        <f aca="false">VLOOKUP(C398, Lookups_Metadata!$A$4:$B$7, 2, FALSE())</f>
        <v>Spring</v>
      </c>
      <c r="E398" s="43" t="n">
        <v>0</v>
      </c>
      <c r="F398" s="43" t="n">
        <v>1</v>
      </c>
      <c r="G398" s="43" t="n">
        <v>21</v>
      </c>
      <c r="H398" s="45" t="b">
        <f aca="false">TRUE()</f>
        <v>1</v>
      </c>
      <c r="I398" s="43" t="n">
        <v>1</v>
      </c>
      <c r="J398" s="33" t="str">
        <f aca="false">INDEX(Lookups_Metadata!$E$4:$E$10, MATCH(I398, Lookups_Metadata!$D$4:$D$10, 0))</f>
        <v>Monday</v>
      </c>
      <c r="K398" s="33" t="str">
        <f aca="false">IF(H398=TRUE(), "Holiday", IF(OR(I398=0, I398=6), "Weekend", "Weekday"))</f>
        <v>Holiday</v>
      </c>
      <c r="L398" s="33" t="str">
        <f aca="false">IF(AND(K398="Weekday", OR(AND(G398&gt;=7, G398&lt;=9), AND(G398&gt;=17, G398&lt;=19))), "Peak Commute", "Off-Peak")</f>
        <v>Off-Peak</v>
      </c>
      <c r="M398" s="43" t="n">
        <v>3</v>
      </c>
      <c r="N398" s="33" t="str">
        <f aca="false">VLOOKUP(M398, Lookups_Metadata!$G$4:$H$7, 2, FALSE())</f>
        <v>Light Snow / Light Rain</v>
      </c>
      <c r="O398" s="46" t="n">
        <v>0.16</v>
      </c>
      <c r="P398" s="46" t="n">
        <v>0.1515</v>
      </c>
      <c r="Q398" s="46" t="n">
        <f aca="false">IF(OR(P398="", ISBLANK(P398)), ROUND(0.9367*O398+0.0175, 4), P398)</f>
        <v>0.1515</v>
      </c>
      <c r="R398" s="33" t="str">
        <f aca="false">IF(OR(P398="", ISBLANK(P398)), "Imputed (Regression/Trend)", "Original")</f>
        <v>Original</v>
      </c>
      <c r="S398" s="46" t="n">
        <v>0.8</v>
      </c>
      <c r="T398" s="46" t="n">
        <v>0.194</v>
      </c>
      <c r="U398" s="18" t="n">
        <v>3</v>
      </c>
      <c r="V398" s="18" t="n">
        <v>24</v>
      </c>
      <c r="W398" s="18" t="n">
        <f aca="false">U398+V398</f>
        <v>27</v>
      </c>
      <c r="X398" s="47" t="n">
        <f aca="false">U398/W398</f>
        <v>0.111111111111111</v>
      </c>
      <c r="Y398" s="47" t="n">
        <f aca="false">V398/W398</f>
        <v>0.888888888888889</v>
      </c>
      <c r="Z398" s="33" t="str">
        <f aca="false">IF(W398&gt;=150, "High Demand", IF(W398&gt;=50, "Moderate Demand", "Low Demand"))</f>
        <v>Low Demand</v>
      </c>
      <c r="AA398" s="45" t="str">
        <f aca="false">TEXT(G398, "00") &amp; ":00"</f>
        <v>21:00</v>
      </c>
      <c r="AB398" s="43" t="n">
        <f aca="false">YEAR(B398)</f>
        <v>2011</v>
      </c>
      <c r="AC398" s="33" t="str">
        <f aca="false">TEXT(B398, "mmmm")</f>
        <v>January</v>
      </c>
      <c r="AD398" s="43" t="n">
        <f aca="false">LEN(TEXT(B398, "YYYY-MM-DD"))</f>
        <v>10</v>
      </c>
      <c r="AE398" s="45" t="str">
        <f aca="false">LEFT(TEXT(B398, "YYYY-MM-DD"), 4)</f>
        <v>2011</v>
      </c>
      <c r="AF398" s="45" t="str">
        <f aca="false">RIGHT(TEXT(B398, "YYYY-MM-DD"), 2)</f>
        <v>17</v>
      </c>
    </row>
    <row r="399" customFormat="false" ht="15" hidden="false" customHeight="false" outlineLevel="0" collapsed="false">
      <c r="A399" s="37" t="n">
        <v>395</v>
      </c>
      <c r="B399" s="38" t="s">
        <v>93</v>
      </c>
      <c r="C399" s="37" t="n">
        <v>1</v>
      </c>
      <c r="D399" s="35" t="str">
        <f aca="false">VLOOKUP(C399, Lookups_Metadata!$A$4:$B$7, 2, FALSE())</f>
        <v>Spring</v>
      </c>
      <c r="E399" s="37" t="n">
        <v>0</v>
      </c>
      <c r="F399" s="37" t="n">
        <v>1</v>
      </c>
      <c r="G399" s="37" t="n">
        <v>22</v>
      </c>
      <c r="H399" s="39" t="b">
        <f aca="false">TRUE()</f>
        <v>1</v>
      </c>
      <c r="I399" s="37" t="n">
        <v>1</v>
      </c>
      <c r="J399" s="35" t="str">
        <f aca="false">INDEX(Lookups_Metadata!$E$4:$E$10, MATCH(I399, Lookups_Metadata!$D$4:$D$10, 0))</f>
        <v>Monday</v>
      </c>
      <c r="K399" s="35" t="str">
        <f aca="false">IF(H399=TRUE(), "Holiday", IF(OR(I399=0, I399=6), "Weekend", "Weekday"))</f>
        <v>Holiday</v>
      </c>
      <c r="L399" s="35" t="str">
        <f aca="false">IF(AND(K399="Weekday", OR(AND(G399&gt;=7, G399&lt;=9), AND(G399&gt;=17, G399&lt;=19))), "Peak Commute", "Off-Peak")</f>
        <v>Off-Peak</v>
      </c>
      <c r="M399" s="37" t="n">
        <v>3</v>
      </c>
      <c r="N399" s="35" t="str">
        <f aca="false">VLOOKUP(M399, Lookups_Metadata!$G$4:$H$7, 2, FALSE())</f>
        <v>Light Snow / Light Rain</v>
      </c>
      <c r="O399" s="40" t="n">
        <v>0.14</v>
      </c>
      <c r="P399" s="40" t="n">
        <v>0.1212</v>
      </c>
      <c r="Q399" s="40" t="n">
        <f aca="false">IF(OR(P399="", ISBLANK(P399)), ROUND(0.9367*O399+0.0175, 4), P399)</f>
        <v>0.1212</v>
      </c>
      <c r="R399" s="35" t="str">
        <f aca="false">IF(OR(P399="", ISBLANK(P399)), "Imputed (Regression/Trend)", "Original")</f>
        <v>Original</v>
      </c>
      <c r="S399" s="40" t="n">
        <v>0.93</v>
      </c>
      <c r="T399" s="40" t="n">
        <v>0.2537</v>
      </c>
      <c r="U399" s="41" t="n">
        <v>0</v>
      </c>
      <c r="V399" s="41" t="n">
        <v>13</v>
      </c>
      <c r="W399" s="41" t="n">
        <f aca="false">U399+V399</f>
        <v>13</v>
      </c>
      <c r="X399" s="42" t="n">
        <f aca="false">U399/W399</f>
        <v>0</v>
      </c>
      <c r="Y399" s="42" t="n">
        <f aca="false">V399/W399</f>
        <v>1</v>
      </c>
      <c r="Z399" s="35" t="str">
        <f aca="false">IF(W399&gt;=150, "High Demand", IF(W399&gt;=50, "Moderate Demand", "Low Demand"))</f>
        <v>Low Demand</v>
      </c>
      <c r="AA399" s="39" t="str">
        <f aca="false">TEXT(G399, "00") &amp; ":00"</f>
        <v>22:00</v>
      </c>
      <c r="AB399" s="37" t="n">
        <f aca="false">YEAR(B399)</f>
        <v>2011</v>
      </c>
      <c r="AC399" s="35" t="str">
        <f aca="false">TEXT(B399, "mmmm")</f>
        <v>January</v>
      </c>
      <c r="AD399" s="37" t="n">
        <f aca="false">LEN(TEXT(B399, "YYYY-MM-DD"))</f>
        <v>10</v>
      </c>
      <c r="AE399" s="39" t="str">
        <f aca="false">LEFT(TEXT(B399, "YYYY-MM-DD"), 4)</f>
        <v>2011</v>
      </c>
      <c r="AF399" s="39" t="str">
        <f aca="false">RIGHT(TEXT(B399, "YYYY-MM-DD"), 2)</f>
        <v>17</v>
      </c>
    </row>
    <row r="400" customFormat="false" ht="15" hidden="false" customHeight="false" outlineLevel="0" collapsed="false">
      <c r="A400" s="43" t="n">
        <v>396</v>
      </c>
      <c r="B400" s="44" t="s">
        <v>93</v>
      </c>
      <c r="C400" s="43" t="n">
        <v>1</v>
      </c>
      <c r="D400" s="33" t="str">
        <f aca="false">VLOOKUP(C400, Lookups_Metadata!$A$4:$B$7, 2, FALSE())</f>
        <v>Spring</v>
      </c>
      <c r="E400" s="43" t="n">
        <v>0</v>
      </c>
      <c r="F400" s="43" t="n">
        <v>1</v>
      </c>
      <c r="G400" s="43" t="n">
        <v>23</v>
      </c>
      <c r="H400" s="45" t="b">
        <f aca="false">TRUE()</f>
        <v>1</v>
      </c>
      <c r="I400" s="43" t="n">
        <v>1</v>
      </c>
      <c r="J400" s="33" t="str">
        <f aca="false">INDEX(Lookups_Metadata!$E$4:$E$10, MATCH(I400, Lookups_Metadata!$D$4:$D$10, 0))</f>
        <v>Monday</v>
      </c>
      <c r="K400" s="33" t="str">
        <f aca="false">IF(H400=TRUE(), "Holiday", IF(OR(I400=0, I400=6), "Weekend", "Weekday"))</f>
        <v>Holiday</v>
      </c>
      <c r="L400" s="33" t="str">
        <f aca="false">IF(AND(K400="Weekday", OR(AND(G400&gt;=7, G400&lt;=9), AND(G400&gt;=17, G400&lt;=19))), "Peak Commute", "Off-Peak")</f>
        <v>Off-Peak</v>
      </c>
      <c r="M400" s="43" t="n">
        <v>3</v>
      </c>
      <c r="N400" s="33" t="str">
        <f aca="false">VLOOKUP(M400, Lookups_Metadata!$G$4:$H$7, 2, FALSE())</f>
        <v>Light Snow / Light Rain</v>
      </c>
      <c r="O400" s="46" t="n">
        <v>0.16</v>
      </c>
      <c r="P400" s="46" t="n">
        <v>0.1364</v>
      </c>
      <c r="Q400" s="46" t="n">
        <f aca="false">IF(OR(P400="", ISBLANK(P400)), ROUND(0.9367*O400+0.0175, 4), P400)</f>
        <v>0.1364</v>
      </c>
      <c r="R400" s="33" t="str">
        <f aca="false">IF(OR(P400="", ISBLANK(P400)), "Imputed (Regression/Trend)", "Original")</f>
        <v>Original</v>
      </c>
      <c r="S400" s="46" t="n">
        <v>0.86</v>
      </c>
      <c r="T400" s="46" t="n">
        <v>0.2836</v>
      </c>
      <c r="U400" s="18" t="n">
        <v>1</v>
      </c>
      <c r="V400" s="18" t="n">
        <v>3</v>
      </c>
      <c r="W400" s="18" t="n">
        <f aca="false">U400+V400</f>
        <v>4</v>
      </c>
      <c r="X400" s="47" t="n">
        <f aca="false">U400/W400</f>
        <v>0.25</v>
      </c>
      <c r="Y400" s="47" t="n">
        <f aca="false">V400/W400</f>
        <v>0.75</v>
      </c>
      <c r="Z400" s="33" t="str">
        <f aca="false">IF(W400&gt;=150, "High Demand", IF(W400&gt;=50, "Moderate Demand", "Low Demand"))</f>
        <v>Low Demand</v>
      </c>
      <c r="AA400" s="45" t="str">
        <f aca="false">TEXT(G400, "00") &amp; ":00"</f>
        <v>23:00</v>
      </c>
      <c r="AB400" s="43" t="n">
        <f aca="false">YEAR(B400)</f>
        <v>2011</v>
      </c>
      <c r="AC400" s="33" t="str">
        <f aca="false">TEXT(B400, "mmmm")</f>
        <v>January</v>
      </c>
      <c r="AD400" s="43" t="n">
        <f aca="false">LEN(TEXT(B400, "YYYY-MM-DD"))</f>
        <v>10</v>
      </c>
      <c r="AE400" s="45" t="str">
        <f aca="false">LEFT(TEXT(B400, "YYYY-MM-DD"), 4)</f>
        <v>2011</v>
      </c>
      <c r="AF400" s="45" t="str">
        <f aca="false">RIGHT(TEXT(B400, "YYYY-MM-DD"), 2)</f>
        <v>17</v>
      </c>
    </row>
    <row r="401" customFormat="false" ht="15" hidden="false" customHeight="false" outlineLevel="0" collapsed="false">
      <c r="A401" s="37" t="n">
        <v>397</v>
      </c>
      <c r="B401" s="38" t="s">
        <v>94</v>
      </c>
      <c r="C401" s="37" t="n">
        <v>1</v>
      </c>
      <c r="D401" s="35" t="str">
        <f aca="false">VLOOKUP(C401, Lookups_Metadata!$A$4:$B$7, 2, FALSE())</f>
        <v>Spring</v>
      </c>
      <c r="E401" s="37" t="n">
        <v>0</v>
      </c>
      <c r="F401" s="37" t="n">
        <v>1</v>
      </c>
      <c r="G401" s="37" t="n">
        <v>12</v>
      </c>
      <c r="H401" s="39" t="b">
        <f aca="false">FALSE()</f>
        <v>0</v>
      </c>
      <c r="I401" s="37" t="n">
        <v>2</v>
      </c>
      <c r="J401" s="35" t="str">
        <f aca="false">INDEX(Lookups_Metadata!$E$4:$E$10, MATCH(I401, Lookups_Metadata!$D$4:$D$10, 0))</f>
        <v>Tuesday</v>
      </c>
      <c r="K401" s="35" t="str">
        <f aca="false">IF(H401=TRUE(), "Holiday", IF(OR(I401=0, I401=6), "Weekend", "Weekday"))</f>
        <v>Weekday</v>
      </c>
      <c r="L401" s="35" t="str">
        <f aca="false">IF(AND(K401="Weekday", OR(AND(G401&gt;=7, G401&lt;=9), AND(G401&gt;=17, G401&lt;=19))), "Peak Commute", "Off-Peak")</f>
        <v>Off-Peak</v>
      </c>
      <c r="M401" s="37" t="n">
        <v>2</v>
      </c>
      <c r="N401" s="35" t="str">
        <f aca="false">VLOOKUP(M401, Lookups_Metadata!$G$4:$H$7, 2, FALSE())</f>
        <v>Mist / Cloudy</v>
      </c>
      <c r="O401" s="40" t="n">
        <v>0.2</v>
      </c>
      <c r="P401" s="40" t="n">
        <v>0.1818</v>
      </c>
      <c r="Q401" s="40" t="n">
        <f aca="false">IF(OR(P401="", ISBLANK(P401)), ROUND(0.9367*O401+0.0175, 4), P401)</f>
        <v>0.1818</v>
      </c>
      <c r="R401" s="35" t="str">
        <f aca="false">IF(OR(P401="", ISBLANK(P401)), "Imputed (Regression/Trend)", "Original")</f>
        <v>Original</v>
      </c>
      <c r="S401" s="40" t="n">
        <v>0.86</v>
      </c>
      <c r="T401" s="40" t="n">
        <v>0.3284</v>
      </c>
      <c r="U401" s="41" t="n">
        <v>0</v>
      </c>
      <c r="V401" s="41" t="n">
        <v>3</v>
      </c>
      <c r="W401" s="41" t="n">
        <f aca="false">U401+V401</f>
        <v>3</v>
      </c>
      <c r="X401" s="42" t="n">
        <f aca="false">U401/W401</f>
        <v>0</v>
      </c>
      <c r="Y401" s="42" t="n">
        <f aca="false">V401/W401</f>
        <v>1</v>
      </c>
      <c r="Z401" s="35" t="str">
        <f aca="false">IF(W401&gt;=150, "High Demand", IF(W401&gt;=50, "Moderate Demand", "Low Demand"))</f>
        <v>Low Demand</v>
      </c>
      <c r="AA401" s="39" t="str">
        <f aca="false">TEXT(G401, "00") &amp; ":00"</f>
        <v>12:00</v>
      </c>
      <c r="AB401" s="37" t="n">
        <f aca="false">YEAR(B401)</f>
        <v>2011</v>
      </c>
      <c r="AC401" s="35" t="str">
        <f aca="false">TEXT(B401, "mmmm")</f>
        <v>January</v>
      </c>
      <c r="AD401" s="37" t="n">
        <f aca="false">LEN(TEXT(B401, "YYYY-MM-DD"))</f>
        <v>10</v>
      </c>
      <c r="AE401" s="39" t="str">
        <f aca="false">LEFT(TEXT(B401, "YYYY-MM-DD"), 4)</f>
        <v>2011</v>
      </c>
      <c r="AF401" s="39" t="str">
        <f aca="false">RIGHT(TEXT(B401, "YYYY-MM-DD"), 2)</f>
        <v>18</v>
      </c>
    </row>
    <row r="402" customFormat="false" ht="15" hidden="false" customHeight="false" outlineLevel="0" collapsed="false">
      <c r="A402" s="43" t="n">
        <v>398</v>
      </c>
      <c r="B402" s="44" t="s">
        <v>94</v>
      </c>
      <c r="C402" s="43" t="n">
        <v>1</v>
      </c>
      <c r="D402" s="33" t="str">
        <f aca="false">VLOOKUP(C402, Lookups_Metadata!$A$4:$B$7, 2, FALSE())</f>
        <v>Spring</v>
      </c>
      <c r="E402" s="43" t="n">
        <v>0</v>
      </c>
      <c r="F402" s="43" t="n">
        <v>1</v>
      </c>
      <c r="G402" s="43" t="n">
        <v>13</v>
      </c>
      <c r="H402" s="45" t="b">
        <f aca="false">FALSE()</f>
        <v>0</v>
      </c>
      <c r="I402" s="43" t="n">
        <v>2</v>
      </c>
      <c r="J402" s="33" t="str">
        <f aca="false">INDEX(Lookups_Metadata!$E$4:$E$10, MATCH(I402, Lookups_Metadata!$D$4:$D$10, 0))</f>
        <v>Tuesday</v>
      </c>
      <c r="K402" s="33" t="str">
        <f aca="false">IF(H402=TRUE(), "Holiday", IF(OR(I402=0, I402=6), "Weekend", "Weekday"))</f>
        <v>Weekday</v>
      </c>
      <c r="L402" s="33" t="str">
        <f aca="false">IF(AND(K402="Weekday", OR(AND(G402&gt;=7, G402&lt;=9), AND(G402&gt;=17, G402&lt;=19))), "Peak Commute", "Off-Peak")</f>
        <v>Off-Peak</v>
      </c>
      <c r="M402" s="43" t="n">
        <v>2</v>
      </c>
      <c r="N402" s="33" t="str">
        <f aca="false">VLOOKUP(M402, Lookups_Metadata!$G$4:$H$7, 2, FALSE())</f>
        <v>Mist / Cloudy</v>
      </c>
      <c r="O402" s="46" t="n">
        <v>0.2</v>
      </c>
      <c r="P402" s="46" t="n">
        <v>0.197</v>
      </c>
      <c r="Q402" s="46" t="n">
        <f aca="false">IF(OR(P402="", ISBLANK(P402)), ROUND(0.9367*O402+0.0175, 4), P402)</f>
        <v>0.197</v>
      </c>
      <c r="R402" s="33" t="str">
        <f aca="false">IF(OR(P402="", ISBLANK(P402)), "Imputed (Regression/Trend)", "Original")</f>
        <v>Original</v>
      </c>
      <c r="S402" s="46" t="n">
        <v>0.86</v>
      </c>
      <c r="T402" s="46" t="n">
        <v>0.2239</v>
      </c>
      <c r="U402" s="18" t="n">
        <v>0</v>
      </c>
      <c r="V402" s="18" t="n">
        <v>22</v>
      </c>
      <c r="W402" s="18" t="n">
        <f aca="false">U402+V402</f>
        <v>22</v>
      </c>
      <c r="X402" s="47" t="n">
        <f aca="false">U402/W402</f>
        <v>0</v>
      </c>
      <c r="Y402" s="47" t="n">
        <f aca="false">V402/W402</f>
        <v>1</v>
      </c>
      <c r="Z402" s="33" t="str">
        <f aca="false">IF(W402&gt;=150, "High Demand", IF(W402&gt;=50, "Moderate Demand", "Low Demand"))</f>
        <v>Low Demand</v>
      </c>
      <c r="AA402" s="45" t="str">
        <f aca="false">TEXT(G402, "00") &amp; ":00"</f>
        <v>13:00</v>
      </c>
      <c r="AB402" s="43" t="n">
        <f aca="false">YEAR(B402)</f>
        <v>2011</v>
      </c>
      <c r="AC402" s="33" t="str">
        <f aca="false">TEXT(B402, "mmmm")</f>
        <v>January</v>
      </c>
      <c r="AD402" s="43" t="n">
        <f aca="false">LEN(TEXT(B402, "YYYY-MM-DD"))</f>
        <v>10</v>
      </c>
      <c r="AE402" s="45" t="str">
        <f aca="false">LEFT(TEXT(B402, "YYYY-MM-DD"), 4)</f>
        <v>2011</v>
      </c>
      <c r="AF402" s="45" t="str">
        <f aca="false">RIGHT(TEXT(B402, "YYYY-MM-DD"), 2)</f>
        <v>18</v>
      </c>
    </row>
    <row r="403" customFormat="false" ht="15" hidden="false" customHeight="false" outlineLevel="0" collapsed="false">
      <c r="A403" s="37" t="n">
        <v>399</v>
      </c>
      <c r="B403" s="38" t="s">
        <v>94</v>
      </c>
      <c r="C403" s="37" t="n">
        <v>1</v>
      </c>
      <c r="D403" s="35" t="str">
        <f aca="false">VLOOKUP(C403, Lookups_Metadata!$A$4:$B$7, 2, FALSE())</f>
        <v>Spring</v>
      </c>
      <c r="E403" s="37" t="n">
        <v>0</v>
      </c>
      <c r="F403" s="37" t="n">
        <v>1</v>
      </c>
      <c r="G403" s="37" t="n">
        <v>14</v>
      </c>
      <c r="H403" s="39" t="b">
        <f aca="false">FALSE()</f>
        <v>0</v>
      </c>
      <c r="I403" s="37" t="n">
        <v>2</v>
      </c>
      <c r="J403" s="35" t="str">
        <f aca="false">INDEX(Lookups_Metadata!$E$4:$E$10, MATCH(I403, Lookups_Metadata!$D$4:$D$10, 0))</f>
        <v>Tuesday</v>
      </c>
      <c r="K403" s="35" t="str">
        <f aca="false">IF(H403=TRUE(), "Holiday", IF(OR(I403=0, I403=6), "Weekend", "Weekday"))</f>
        <v>Weekday</v>
      </c>
      <c r="L403" s="35" t="str">
        <f aca="false">IF(AND(K403="Weekday", OR(AND(G403&gt;=7, G403&lt;=9), AND(G403&gt;=17, G403&lt;=19))), "Peak Commute", "Off-Peak")</f>
        <v>Off-Peak</v>
      </c>
      <c r="M403" s="37" t="n">
        <v>2</v>
      </c>
      <c r="N403" s="35" t="str">
        <f aca="false">VLOOKUP(M403, Lookups_Metadata!$G$4:$H$7, 2, FALSE())</f>
        <v>Mist / Cloudy</v>
      </c>
      <c r="O403" s="40" t="n">
        <v>0.22</v>
      </c>
      <c r="P403" s="40" t="n">
        <v>0.2273</v>
      </c>
      <c r="Q403" s="40" t="n">
        <f aca="false">IF(OR(P403="", ISBLANK(P403)), ROUND(0.9367*O403+0.0175, 4), P403)</f>
        <v>0.2273</v>
      </c>
      <c r="R403" s="35" t="str">
        <f aca="false">IF(OR(P403="", ISBLANK(P403)), "Imputed (Regression/Trend)", "Original")</f>
        <v>Original</v>
      </c>
      <c r="S403" s="40" t="n">
        <v>0.8</v>
      </c>
      <c r="T403" s="40" t="n">
        <v>0.1642</v>
      </c>
      <c r="U403" s="41" t="n">
        <v>2</v>
      </c>
      <c r="V403" s="41" t="n">
        <v>26</v>
      </c>
      <c r="W403" s="41" t="n">
        <f aca="false">U403+V403</f>
        <v>28</v>
      </c>
      <c r="X403" s="42" t="n">
        <f aca="false">U403/W403</f>
        <v>0.0714285714285714</v>
      </c>
      <c r="Y403" s="42" t="n">
        <f aca="false">V403/W403</f>
        <v>0.928571428571429</v>
      </c>
      <c r="Z403" s="35" t="str">
        <f aca="false">IF(W403&gt;=150, "High Demand", IF(W403&gt;=50, "Moderate Demand", "Low Demand"))</f>
        <v>Low Demand</v>
      </c>
      <c r="AA403" s="39" t="str">
        <f aca="false">TEXT(G403, "00") &amp; ":00"</f>
        <v>14:00</v>
      </c>
      <c r="AB403" s="37" t="n">
        <f aca="false">YEAR(B403)</f>
        <v>2011</v>
      </c>
      <c r="AC403" s="35" t="str">
        <f aca="false">TEXT(B403, "mmmm")</f>
        <v>January</v>
      </c>
      <c r="AD403" s="37" t="n">
        <f aca="false">LEN(TEXT(B403, "YYYY-MM-DD"))</f>
        <v>10</v>
      </c>
      <c r="AE403" s="39" t="str">
        <f aca="false">LEFT(TEXT(B403, "YYYY-MM-DD"), 4)</f>
        <v>2011</v>
      </c>
      <c r="AF403" s="39" t="str">
        <f aca="false">RIGHT(TEXT(B403, "YYYY-MM-DD"), 2)</f>
        <v>18</v>
      </c>
    </row>
    <row r="404" customFormat="false" ht="15" hidden="false" customHeight="false" outlineLevel="0" collapsed="false">
      <c r="A404" s="43" t="n">
        <v>400</v>
      </c>
      <c r="B404" s="44" t="s">
        <v>94</v>
      </c>
      <c r="C404" s="43" t="n">
        <v>1</v>
      </c>
      <c r="D404" s="33" t="str">
        <f aca="false">VLOOKUP(C404, Lookups_Metadata!$A$4:$B$7, 2, FALSE())</f>
        <v>Spring</v>
      </c>
      <c r="E404" s="43" t="n">
        <v>0</v>
      </c>
      <c r="F404" s="43" t="n">
        <v>1</v>
      </c>
      <c r="G404" s="43" t="n">
        <v>15</v>
      </c>
      <c r="H404" s="45" t="b">
        <f aca="false">FALSE()</f>
        <v>0</v>
      </c>
      <c r="I404" s="43" t="n">
        <v>2</v>
      </c>
      <c r="J404" s="33" t="str">
        <f aca="false">INDEX(Lookups_Metadata!$E$4:$E$10, MATCH(I404, Lookups_Metadata!$D$4:$D$10, 0))</f>
        <v>Tuesday</v>
      </c>
      <c r="K404" s="33" t="str">
        <f aca="false">IF(H404=TRUE(), "Holiday", IF(OR(I404=0, I404=6), "Weekend", "Weekday"))</f>
        <v>Weekday</v>
      </c>
      <c r="L404" s="33" t="str">
        <f aca="false">IF(AND(K404="Weekday", OR(AND(G404&gt;=7, G404&lt;=9), AND(G404&gt;=17, G404&lt;=19))), "Peak Commute", "Off-Peak")</f>
        <v>Off-Peak</v>
      </c>
      <c r="M404" s="43" t="n">
        <v>2</v>
      </c>
      <c r="N404" s="33" t="str">
        <f aca="false">VLOOKUP(M404, Lookups_Metadata!$G$4:$H$7, 2, FALSE())</f>
        <v>Mist / Cloudy</v>
      </c>
      <c r="O404" s="46" t="n">
        <v>0.22</v>
      </c>
      <c r="P404" s="46" t="n">
        <v>0.2273</v>
      </c>
      <c r="Q404" s="46" t="n">
        <f aca="false">IF(OR(P404="", ISBLANK(P404)), ROUND(0.9367*O404+0.0175, 4), P404)</f>
        <v>0.2273</v>
      </c>
      <c r="R404" s="33" t="str">
        <f aca="false">IF(OR(P404="", ISBLANK(P404)), "Imputed (Regression/Trend)", "Original")</f>
        <v>Original</v>
      </c>
      <c r="S404" s="46" t="n">
        <v>0.87</v>
      </c>
      <c r="T404" s="46" t="n">
        <v>0.1642</v>
      </c>
      <c r="U404" s="18" t="n">
        <v>3</v>
      </c>
      <c r="V404" s="18" t="n">
        <v>32</v>
      </c>
      <c r="W404" s="18" t="n">
        <f aca="false">U404+V404</f>
        <v>35</v>
      </c>
      <c r="X404" s="47" t="n">
        <f aca="false">U404/W404</f>
        <v>0.0857142857142857</v>
      </c>
      <c r="Y404" s="47" t="n">
        <f aca="false">V404/W404</f>
        <v>0.914285714285714</v>
      </c>
      <c r="Z404" s="33" t="str">
        <f aca="false">IF(W404&gt;=150, "High Demand", IF(W404&gt;=50, "Moderate Demand", "Low Demand"))</f>
        <v>Low Demand</v>
      </c>
      <c r="AA404" s="45" t="str">
        <f aca="false">TEXT(G404, "00") &amp; ":00"</f>
        <v>15:00</v>
      </c>
      <c r="AB404" s="43" t="n">
        <f aca="false">YEAR(B404)</f>
        <v>2011</v>
      </c>
      <c r="AC404" s="33" t="str">
        <f aca="false">TEXT(B404, "mmmm")</f>
        <v>January</v>
      </c>
      <c r="AD404" s="43" t="n">
        <f aca="false">LEN(TEXT(B404, "YYYY-MM-DD"))</f>
        <v>10</v>
      </c>
      <c r="AE404" s="45" t="str">
        <f aca="false">LEFT(TEXT(B404, "YYYY-MM-DD"), 4)</f>
        <v>2011</v>
      </c>
      <c r="AF404" s="45" t="str">
        <f aca="false">RIGHT(TEXT(B404, "YYYY-MM-DD"), 2)</f>
        <v>18</v>
      </c>
    </row>
    <row r="405" customFormat="false" ht="15" hidden="false" customHeight="false" outlineLevel="0" collapsed="false">
      <c r="A405" s="37" t="n">
        <v>401</v>
      </c>
      <c r="B405" s="38" t="s">
        <v>94</v>
      </c>
      <c r="C405" s="37" t="n">
        <v>1</v>
      </c>
      <c r="D405" s="35" t="str">
        <f aca="false">VLOOKUP(C405, Lookups_Metadata!$A$4:$B$7, 2, FALSE())</f>
        <v>Spring</v>
      </c>
      <c r="E405" s="37" t="n">
        <v>0</v>
      </c>
      <c r="F405" s="37" t="n">
        <v>1</v>
      </c>
      <c r="G405" s="37" t="n">
        <v>16</v>
      </c>
      <c r="H405" s="39" t="b">
        <f aca="false">FALSE()</f>
        <v>0</v>
      </c>
      <c r="I405" s="37" t="n">
        <v>2</v>
      </c>
      <c r="J405" s="35" t="str">
        <f aca="false">INDEX(Lookups_Metadata!$E$4:$E$10, MATCH(I405, Lookups_Metadata!$D$4:$D$10, 0))</f>
        <v>Tuesday</v>
      </c>
      <c r="K405" s="35" t="str">
        <f aca="false">IF(H405=TRUE(), "Holiday", IF(OR(I405=0, I405=6), "Weekend", "Weekday"))</f>
        <v>Weekday</v>
      </c>
      <c r="L405" s="35" t="str">
        <f aca="false">IF(AND(K405="Weekday", OR(AND(G405&gt;=7, G405&lt;=9), AND(G405&gt;=17, G405&lt;=19))), "Peak Commute", "Off-Peak")</f>
        <v>Off-Peak</v>
      </c>
      <c r="M405" s="37" t="n">
        <v>2</v>
      </c>
      <c r="N405" s="35" t="str">
        <f aca="false">VLOOKUP(M405, Lookups_Metadata!$G$4:$H$7, 2, FALSE())</f>
        <v>Mist / Cloudy</v>
      </c>
      <c r="O405" s="40" t="n">
        <v>0.22</v>
      </c>
      <c r="P405" s="40" t="n">
        <v>0.2273</v>
      </c>
      <c r="Q405" s="40" t="n">
        <f aca="false">IF(OR(P405="", ISBLANK(P405)), ROUND(0.9367*O405+0.0175, 4), P405)</f>
        <v>0.2273</v>
      </c>
      <c r="R405" s="35" t="str">
        <f aca="false">IF(OR(P405="", ISBLANK(P405)), "Imputed (Regression/Trend)", "Original")</f>
        <v>Original</v>
      </c>
      <c r="S405" s="40" t="n">
        <v>0.87</v>
      </c>
      <c r="T405" s="40" t="n">
        <v>0.194</v>
      </c>
      <c r="U405" s="41" t="n">
        <v>0</v>
      </c>
      <c r="V405" s="41" t="n">
        <v>61</v>
      </c>
      <c r="W405" s="41" t="n">
        <f aca="false">U405+V405</f>
        <v>61</v>
      </c>
      <c r="X405" s="42" t="n">
        <f aca="false">U405/W405</f>
        <v>0</v>
      </c>
      <c r="Y405" s="42" t="n">
        <f aca="false">V405/W405</f>
        <v>1</v>
      </c>
      <c r="Z405" s="35" t="str">
        <f aca="false">IF(W405&gt;=150, "High Demand", IF(W405&gt;=50, "Moderate Demand", "Low Demand"))</f>
        <v>Moderate Demand</v>
      </c>
      <c r="AA405" s="39" t="str">
        <f aca="false">TEXT(G405, "00") &amp; ":00"</f>
        <v>16:00</v>
      </c>
      <c r="AB405" s="37" t="n">
        <f aca="false">YEAR(B405)</f>
        <v>2011</v>
      </c>
      <c r="AC405" s="35" t="str">
        <f aca="false">TEXT(B405, "mmmm")</f>
        <v>January</v>
      </c>
      <c r="AD405" s="37" t="n">
        <f aca="false">LEN(TEXT(B405, "YYYY-MM-DD"))</f>
        <v>10</v>
      </c>
      <c r="AE405" s="39" t="str">
        <f aca="false">LEFT(TEXT(B405, "YYYY-MM-DD"), 4)</f>
        <v>2011</v>
      </c>
      <c r="AF405" s="39" t="str">
        <f aca="false">RIGHT(TEXT(B405, "YYYY-MM-DD"), 2)</f>
        <v>18</v>
      </c>
    </row>
    <row r="406" customFormat="false" ht="15" hidden="false" customHeight="false" outlineLevel="0" collapsed="false">
      <c r="A406" s="43" t="n">
        <v>402</v>
      </c>
      <c r="B406" s="44" t="s">
        <v>94</v>
      </c>
      <c r="C406" s="43" t="n">
        <v>1</v>
      </c>
      <c r="D406" s="33" t="str">
        <f aca="false">VLOOKUP(C406, Lookups_Metadata!$A$4:$B$7, 2, FALSE())</f>
        <v>Spring</v>
      </c>
      <c r="E406" s="43" t="n">
        <v>0</v>
      </c>
      <c r="F406" s="43" t="n">
        <v>1</v>
      </c>
      <c r="G406" s="43" t="n">
        <v>17</v>
      </c>
      <c r="H406" s="45" t="b">
        <f aca="false">FALSE()</f>
        <v>0</v>
      </c>
      <c r="I406" s="43" t="n">
        <v>2</v>
      </c>
      <c r="J406" s="33" t="str">
        <f aca="false">INDEX(Lookups_Metadata!$E$4:$E$10, MATCH(I406, Lookups_Metadata!$D$4:$D$10, 0))</f>
        <v>Tuesday</v>
      </c>
      <c r="K406" s="33" t="str">
        <f aca="false">IF(H406=TRUE(), "Holiday", IF(OR(I406=0, I406=6), "Weekend", "Weekday"))</f>
        <v>Weekday</v>
      </c>
      <c r="L406" s="33" t="str">
        <f aca="false">IF(AND(K406="Weekday", OR(AND(G406&gt;=7, G406&lt;=9), AND(G406&gt;=17, G406&lt;=19))), "Peak Commute", "Off-Peak")</f>
        <v>Peak Commute</v>
      </c>
      <c r="M406" s="43" t="n">
        <v>2</v>
      </c>
      <c r="N406" s="33" t="str">
        <f aca="false">VLOOKUP(M406, Lookups_Metadata!$G$4:$H$7, 2, FALSE())</f>
        <v>Mist / Cloudy</v>
      </c>
      <c r="O406" s="46" t="n">
        <v>0.22</v>
      </c>
      <c r="P406" s="46" t="n">
        <v>0.2273</v>
      </c>
      <c r="Q406" s="46" t="n">
        <f aca="false">IF(OR(P406="", ISBLANK(P406)), ROUND(0.9367*O406+0.0175, 4), P406)</f>
        <v>0.2273</v>
      </c>
      <c r="R406" s="33" t="str">
        <f aca="false">IF(OR(P406="", ISBLANK(P406)), "Imputed (Regression/Trend)", "Original")</f>
        <v>Original</v>
      </c>
      <c r="S406" s="46" t="n">
        <v>0.82</v>
      </c>
      <c r="T406" s="46" t="n">
        <v>0.194</v>
      </c>
      <c r="U406" s="18" t="n">
        <v>1</v>
      </c>
      <c r="V406" s="18" t="n">
        <v>124</v>
      </c>
      <c r="W406" s="18" t="n">
        <f aca="false">U406+V406</f>
        <v>125</v>
      </c>
      <c r="X406" s="47" t="n">
        <f aca="false">U406/W406</f>
        <v>0.008</v>
      </c>
      <c r="Y406" s="47" t="n">
        <f aca="false">V406/W406</f>
        <v>0.992</v>
      </c>
      <c r="Z406" s="33" t="str">
        <f aca="false">IF(W406&gt;=150, "High Demand", IF(W406&gt;=50, "Moderate Demand", "Low Demand"))</f>
        <v>Moderate Demand</v>
      </c>
      <c r="AA406" s="45" t="str">
        <f aca="false">TEXT(G406, "00") &amp; ":00"</f>
        <v>17:00</v>
      </c>
      <c r="AB406" s="43" t="n">
        <f aca="false">YEAR(B406)</f>
        <v>2011</v>
      </c>
      <c r="AC406" s="33" t="str">
        <f aca="false">TEXT(B406, "mmmm")</f>
        <v>January</v>
      </c>
      <c r="AD406" s="43" t="n">
        <f aca="false">LEN(TEXT(B406, "YYYY-MM-DD"))</f>
        <v>10</v>
      </c>
      <c r="AE406" s="45" t="str">
        <f aca="false">LEFT(TEXT(B406, "YYYY-MM-DD"), 4)</f>
        <v>2011</v>
      </c>
      <c r="AF406" s="45" t="str">
        <f aca="false">RIGHT(TEXT(B406, "YYYY-MM-DD"), 2)</f>
        <v>18</v>
      </c>
    </row>
    <row r="407" customFormat="false" ht="15" hidden="false" customHeight="false" outlineLevel="0" collapsed="false">
      <c r="A407" s="37" t="n">
        <v>403</v>
      </c>
      <c r="B407" s="38" t="s">
        <v>94</v>
      </c>
      <c r="C407" s="37" t="n">
        <v>1</v>
      </c>
      <c r="D407" s="35" t="str">
        <f aca="false">VLOOKUP(C407, Lookups_Metadata!$A$4:$B$7, 2, FALSE())</f>
        <v>Spring</v>
      </c>
      <c r="E407" s="37" t="n">
        <v>0</v>
      </c>
      <c r="F407" s="37" t="n">
        <v>1</v>
      </c>
      <c r="G407" s="37" t="n">
        <v>18</v>
      </c>
      <c r="H407" s="39" t="b">
        <f aca="false">FALSE()</f>
        <v>0</v>
      </c>
      <c r="I407" s="37" t="n">
        <v>2</v>
      </c>
      <c r="J407" s="35" t="str">
        <f aca="false">INDEX(Lookups_Metadata!$E$4:$E$10, MATCH(I407, Lookups_Metadata!$D$4:$D$10, 0))</f>
        <v>Tuesday</v>
      </c>
      <c r="K407" s="35" t="str">
        <f aca="false">IF(H407=TRUE(), "Holiday", IF(OR(I407=0, I407=6), "Weekend", "Weekday"))</f>
        <v>Weekday</v>
      </c>
      <c r="L407" s="35" t="str">
        <f aca="false">IF(AND(K407="Weekday", OR(AND(G407&gt;=7, G407&lt;=9), AND(G407&gt;=17, G407&lt;=19))), "Peak Commute", "Off-Peak")</f>
        <v>Peak Commute</v>
      </c>
      <c r="M407" s="37" t="n">
        <v>2</v>
      </c>
      <c r="N407" s="35" t="str">
        <f aca="false">VLOOKUP(M407, Lookups_Metadata!$G$4:$H$7, 2, FALSE())</f>
        <v>Mist / Cloudy</v>
      </c>
      <c r="O407" s="40" t="n">
        <v>0.22</v>
      </c>
      <c r="P407" s="40" t="n">
        <v>0.2273</v>
      </c>
      <c r="Q407" s="40" t="n">
        <f aca="false">IF(OR(P407="", ISBLANK(P407)), ROUND(0.9367*O407+0.0175, 4), P407)</f>
        <v>0.2273</v>
      </c>
      <c r="R407" s="35" t="str">
        <f aca="false">IF(OR(P407="", ISBLANK(P407)), "Imputed (Regression/Trend)", "Original")</f>
        <v>Original</v>
      </c>
      <c r="S407" s="40" t="n">
        <v>0.8</v>
      </c>
      <c r="T407" s="40" t="n">
        <v>0.1642</v>
      </c>
      <c r="U407" s="41" t="n">
        <v>1</v>
      </c>
      <c r="V407" s="41" t="n">
        <v>132</v>
      </c>
      <c r="W407" s="41" t="n">
        <f aca="false">U407+V407</f>
        <v>133</v>
      </c>
      <c r="X407" s="42" t="n">
        <f aca="false">U407/W407</f>
        <v>0.0075187969924812</v>
      </c>
      <c r="Y407" s="42" t="n">
        <f aca="false">V407/W407</f>
        <v>0.992481203007519</v>
      </c>
      <c r="Z407" s="35" t="str">
        <f aca="false">IF(W407&gt;=150, "High Demand", IF(W407&gt;=50, "Moderate Demand", "Low Demand"))</f>
        <v>Moderate Demand</v>
      </c>
      <c r="AA407" s="39" t="str">
        <f aca="false">TEXT(G407, "00") &amp; ":00"</f>
        <v>18:00</v>
      </c>
      <c r="AB407" s="37" t="n">
        <f aca="false">YEAR(B407)</f>
        <v>2011</v>
      </c>
      <c r="AC407" s="35" t="str">
        <f aca="false">TEXT(B407, "mmmm")</f>
        <v>January</v>
      </c>
      <c r="AD407" s="37" t="n">
        <f aca="false">LEN(TEXT(B407, "YYYY-MM-DD"))</f>
        <v>10</v>
      </c>
      <c r="AE407" s="39" t="str">
        <f aca="false">LEFT(TEXT(B407, "YYYY-MM-DD"), 4)</f>
        <v>2011</v>
      </c>
      <c r="AF407" s="39" t="str">
        <f aca="false">RIGHT(TEXT(B407, "YYYY-MM-DD"), 2)</f>
        <v>18</v>
      </c>
    </row>
    <row r="408" customFormat="false" ht="15" hidden="false" customHeight="false" outlineLevel="0" collapsed="false">
      <c r="A408" s="43" t="n">
        <v>404</v>
      </c>
      <c r="B408" s="44" t="s">
        <v>94</v>
      </c>
      <c r="C408" s="43" t="n">
        <v>1</v>
      </c>
      <c r="D408" s="33" t="str">
        <f aca="false">VLOOKUP(C408, Lookups_Metadata!$A$4:$B$7, 2, FALSE())</f>
        <v>Spring</v>
      </c>
      <c r="E408" s="43" t="n">
        <v>0</v>
      </c>
      <c r="F408" s="43" t="n">
        <v>1</v>
      </c>
      <c r="G408" s="43" t="n">
        <v>19</v>
      </c>
      <c r="H408" s="45" t="b">
        <f aca="false">FALSE()</f>
        <v>0</v>
      </c>
      <c r="I408" s="43" t="n">
        <v>2</v>
      </c>
      <c r="J408" s="33" t="str">
        <f aca="false">INDEX(Lookups_Metadata!$E$4:$E$10, MATCH(I408, Lookups_Metadata!$D$4:$D$10, 0))</f>
        <v>Tuesday</v>
      </c>
      <c r="K408" s="33" t="str">
        <f aca="false">IF(H408=TRUE(), "Holiday", IF(OR(I408=0, I408=6), "Weekend", "Weekday"))</f>
        <v>Weekday</v>
      </c>
      <c r="L408" s="33" t="str">
        <f aca="false">IF(AND(K408="Weekday", OR(AND(G408&gt;=7, G408&lt;=9), AND(G408&gt;=17, G408&lt;=19))), "Peak Commute", "Off-Peak")</f>
        <v>Peak Commute</v>
      </c>
      <c r="M408" s="43" t="n">
        <v>2</v>
      </c>
      <c r="N408" s="33" t="str">
        <f aca="false">VLOOKUP(M408, Lookups_Metadata!$G$4:$H$7, 2, FALSE())</f>
        <v>Mist / Cloudy</v>
      </c>
      <c r="O408" s="46" t="n">
        <v>0.22</v>
      </c>
      <c r="P408" s="46" t="n">
        <v>0.2273</v>
      </c>
      <c r="Q408" s="46" t="n">
        <f aca="false">IF(OR(P408="", ISBLANK(P408)), ROUND(0.9367*O408+0.0175, 4), P408)</f>
        <v>0.2273</v>
      </c>
      <c r="R408" s="33" t="str">
        <f aca="false">IF(OR(P408="", ISBLANK(P408)), "Imputed (Regression/Trend)", "Original")</f>
        <v>Original</v>
      </c>
      <c r="S408" s="46" t="n">
        <v>0.8</v>
      </c>
      <c r="T408" s="46" t="n">
        <v>0.1343</v>
      </c>
      <c r="U408" s="18" t="n">
        <v>1</v>
      </c>
      <c r="V408" s="18" t="n">
        <v>98</v>
      </c>
      <c r="W408" s="18" t="n">
        <f aca="false">U408+V408</f>
        <v>99</v>
      </c>
      <c r="X408" s="47" t="n">
        <f aca="false">U408/W408</f>
        <v>0.0101010101010101</v>
      </c>
      <c r="Y408" s="47" t="n">
        <f aca="false">V408/W408</f>
        <v>0.98989898989899</v>
      </c>
      <c r="Z408" s="33" t="str">
        <f aca="false">IF(W408&gt;=150, "High Demand", IF(W408&gt;=50, "Moderate Demand", "Low Demand"))</f>
        <v>Moderate Demand</v>
      </c>
      <c r="AA408" s="45" t="str">
        <f aca="false">TEXT(G408, "00") &amp; ":00"</f>
        <v>19:00</v>
      </c>
      <c r="AB408" s="43" t="n">
        <f aca="false">YEAR(B408)</f>
        <v>2011</v>
      </c>
      <c r="AC408" s="33" t="str">
        <f aca="false">TEXT(B408, "mmmm")</f>
        <v>January</v>
      </c>
      <c r="AD408" s="43" t="n">
        <f aca="false">LEN(TEXT(B408, "YYYY-MM-DD"))</f>
        <v>10</v>
      </c>
      <c r="AE408" s="45" t="str">
        <f aca="false">LEFT(TEXT(B408, "YYYY-MM-DD"), 4)</f>
        <v>2011</v>
      </c>
      <c r="AF408" s="45" t="str">
        <f aca="false">RIGHT(TEXT(B408, "YYYY-MM-DD"), 2)</f>
        <v>18</v>
      </c>
    </row>
    <row r="409" customFormat="false" ht="15" hidden="false" customHeight="false" outlineLevel="0" collapsed="false">
      <c r="A409" s="37" t="n">
        <v>405</v>
      </c>
      <c r="B409" s="38" t="s">
        <v>94</v>
      </c>
      <c r="C409" s="37" t="n">
        <v>1</v>
      </c>
      <c r="D409" s="35" t="str">
        <f aca="false">VLOOKUP(C409, Lookups_Metadata!$A$4:$B$7, 2, FALSE())</f>
        <v>Spring</v>
      </c>
      <c r="E409" s="37" t="n">
        <v>0</v>
      </c>
      <c r="F409" s="37" t="n">
        <v>1</v>
      </c>
      <c r="G409" s="37" t="n">
        <v>20</v>
      </c>
      <c r="H409" s="39" t="b">
        <f aca="false">FALSE()</f>
        <v>0</v>
      </c>
      <c r="I409" s="37" t="n">
        <v>2</v>
      </c>
      <c r="J409" s="35" t="str">
        <f aca="false">INDEX(Lookups_Metadata!$E$4:$E$10, MATCH(I409, Lookups_Metadata!$D$4:$D$10, 0))</f>
        <v>Tuesday</v>
      </c>
      <c r="K409" s="35" t="str">
        <f aca="false">IF(H409=TRUE(), "Holiday", IF(OR(I409=0, I409=6), "Weekend", "Weekday"))</f>
        <v>Weekday</v>
      </c>
      <c r="L409" s="35" t="str">
        <f aca="false">IF(AND(K409="Weekday", OR(AND(G409&gt;=7, G409&lt;=9), AND(G409&gt;=17, G409&lt;=19))), "Peak Commute", "Off-Peak")</f>
        <v>Off-Peak</v>
      </c>
      <c r="M409" s="37" t="n">
        <v>2</v>
      </c>
      <c r="N409" s="35" t="str">
        <f aca="false">VLOOKUP(M409, Lookups_Metadata!$G$4:$H$7, 2, FALSE())</f>
        <v>Mist / Cloudy</v>
      </c>
      <c r="O409" s="40" t="n">
        <v>0.22</v>
      </c>
      <c r="P409" s="40" t="n">
        <v>0.2727</v>
      </c>
      <c r="Q409" s="40" t="n">
        <f aca="false">IF(OR(P409="", ISBLANK(P409)), ROUND(0.9367*O409+0.0175, 4), P409)</f>
        <v>0.2727</v>
      </c>
      <c r="R409" s="35" t="str">
        <f aca="false">IF(OR(P409="", ISBLANK(P409)), "Imputed (Regression/Trend)", "Original")</f>
        <v>Original</v>
      </c>
      <c r="S409" s="40" t="n">
        <v>0.87</v>
      </c>
      <c r="T409" s="40" t="n">
        <v>0</v>
      </c>
      <c r="U409" s="41" t="n">
        <v>0</v>
      </c>
      <c r="V409" s="41" t="n">
        <v>83</v>
      </c>
      <c r="W409" s="41" t="n">
        <f aca="false">U409+V409</f>
        <v>83</v>
      </c>
      <c r="X409" s="42" t="n">
        <f aca="false">U409/W409</f>
        <v>0</v>
      </c>
      <c r="Y409" s="42" t="n">
        <f aca="false">V409/W409</f>
        <v>1</v>
      </c>
      <c r="Z409" s="35" t="str">
        <f aca="false">IF(W409&gt;=150, "High Demand", IF(W409&gt;=50, "Moderate Demand", "Low Demand"))</f>
        <v>Moderate Demand</v>
      </c>
      <c r="AA409" s="39" t="str">
        <f aca="false">TEXT(G409, "00") &amp; ":00"</f>
        <v>20:00</v>
      </c>
      <c r="AB409" s="37" t="n">
        <f aca="false">YEAR(B409)</f>
        <v>2011</v>
      </c>
      <c r="AC409" s="35" t="str">
        <f aca="false">TEXT(B409, "mmmm")</f>
        <v>January</v>
      </c>
      <c r="AD409" s="37" t="n">
        <f aca="false">LEN(TEXT(B409, "YYYY-MM-DD"))</f>
        <v>10</v>
      </c>
      <c r="AE409" s="39" t="str">
        <f aca="false">LEFT(TEXT(B409, "YYYY-MM-DD"), 4)</f>
        <v>2011</v>
      </c>
      <c r="AF409" s="39" t="str">
        <f aca="false">RIGHT(TEXT(B409, "YYYY-MM-DD"), 2)</f>
        <v>18</v>
      </c>
    </row>
    <row r="410" customFormat="false" ht="15" hidden="false" customHeight="false" outlineLevel="0" collapsed="false">
      <c r="A410" s="43" t="n">
        <v>406</v>
      </c>
      <c r="B410" s="44" t="s">
        <v>94</v>
      </c>
      <c r="C410" s="43" t="n">
        <v>1</v>
      </c>
      <c r="D410" s="33" t="str">
        <f aca="false">VLOOKUP(C410, Lookups_Metadata!$A$4:$B$7, 2, FALSE())</f>
        <v>Spring</v>
      </c>
      <c r="E410" s="43" t="n">
        <v>0</v>
      </c>
      <c r="F410" s="43" t="n">
        <v>1</v>
      </c>
      <c r="G410" s="43" t="n">
        <v>21</v>
      </c>
      <c r="H410" s="45" t="b">
        <f aca="false">FALSE()</f>
        <v>0</v>
      </c>
      <c r="I410" s="43" t="n">
        <v>2</v>
      </c>
      <c r="J410" s="33" t="str">
        <f aca="false">INDEX(Lookups_Metadata!$E$4:$E$10, MATCH(I410, Lookups_Metadata!$D$4:$D$10, 0))</f>
        <v>Tuesday</v>
      </c>
      <c r="K410" s="33" t="str">
        <f aca="false">IF(H410=TRUE(), "Holiday", IF(OR(I410=0, I410=6), "Weekend", "Weekday"))</f>
        <v>Weekday</v>
      </c>
      <c r="L410" s="33" t="str">
        <f aca="false">IF(AND(K410="Weekday", OR(AND(G410&gt;=7, G410&lt;=9), AND(G410&gt;=17, G410&lt;=19))), "Peak Commute", "Off-Peak")</f>
        <v>Off-Peak</v>
      </c>
      <c r="M410" s="43" t="n">
        <v>2</v>
      </c>
      <c r="N410" s="33" t="str">
        <f aca="false">VLOOKUP(M410, Lookups_Metadata!$G$4:$H$7, 2, FALSE())</f>
        <v>Mist / Cloudy</v>
      </c>
      <c r="O410" s="46" t="n">
        <v>0.22</v>
      </c>
      <c r="P410" s="46" t="n">
        <v>0.2424</v>
      </c>
      <c r="Q410" s="46" t="n">
        <f aca="false">IF(OR(P410="", ISBLANK(P410)), ROUND(0.9367*O410+0.0175, 4), P410)</f>
        <v>0.2424</v>
      </c>
      <c r="R410" s="33" t="str">
        <f aca="false">IF(OR(P410="", ISBLANK(P410)), "Imputed (Regression/Trend)", "Original")</f>
        <v>Original</v>
      </c>
      <c r="S410" s="46" t="n">
        <v>0.93</v>
      </c>
      <c r="T410" s="46" t="n">
        <v>0.1045</v>
      </c>
      <c r="U410" s="18" t="n">
        <v>0</v>
      </c>
      <c r="V410" s="18" t="n">
        <v>41</v>
      </c>
      <c r="W410" s="18" t="n">
        <f aca="false">U410+V410</f>
        <v>41</v>
      </c>
      <c r="X410" s="47" t="n">
        <f aca="false">U410/W410</f>
        <v>0</v>
      </c>
      <c r="Y410" s="47" t="n">
        <f aca="false">V410/W410</f>
        <v>1</v>
      </c>
      <c r="Z410" s="33" t="str">
        <f aca="false">IF(W410&gt;=150, "High Demand", IF(W410&gt;=50, "Moderate Demand", "Low Demand"))</f>
        <v>Low Demand</v>
      </c>
      <c r="AA410" s="45" t="str">
        <f aca="false">TEXT(G410, "00") &amp; ":00"</f>
        <v>21:00</v>
      </c>
      <c r="AB410" s="43" t="n">
        <f aca="false">YEAR(B410)</f>
        <v>2011</v>
      </c>
      <c r="AC410" s="33" t="str">
        <f aca="false">TEXT(B410, "mmmm")</f>
        <v>January</v>
      </c>
      <c r="AD410" s="43" t="n">
        <f aca="false">LEN(TEXT(B410, "YYYY-MM-DD"))</f>
        <v>10</v>
      </c>
      <c r="AE410" s="45" t="str">
        <f aca="false">LEFT(TEXT(B410, "YYYY-MM-DD"), 4)</f>
        <v>2011</v>
      </c>
      <c r="AF410" s="45" t="str">
        <f aca="false">RIGHT(TEXT(B410, "YYYY-MM-DD"), 2)</f>
        <v>18</v>
      </c>
    </row>
    <row r="411" customFormat="false" ht="15" hidden="false" customHeight="false" outlineLevel="0" collapsed="false">
      <c r="A411" s="37" t="n">
        <v>407</v>
      </c>
      <c r="B411" s="38" t="s">
        <v>94</v>
      </c>
      <c r="C411" s="37" t="n">
        <v>1</v>
      </c>
      <c r="D411" s="35" t="str">
        <f aca="false">VLOOKUP(C411, Lookups_Metadata!$A$4:$B$7, 2, FALSE())</f>
        <v>Spring</v>
      </c>
      <c r="E411" s="37" t="n">
        <v>0</v>
      </c>
      <c r="F411" s="37" t="n">
        <v>1</v>
      </c>
      <c r="G411" s="37" t="n">
        <v>22</v>
      </c>
      <c r="H411" s="39" t="b">
        <f aca="false">FALSE()</f>
        <v>0</v>
      </c>
      <c r="I411" s="37" t="n">
        <v>2</v>
      </c>
      <c r="J411" s="35" t="str">
        <f aca="false">INDEX(Lookups_Metadata!$E$4:$E$10, MATCH(I411, Lookups_Metadata!$D$4:$D$10, 0))</f>
        <v>Tuesday</v>
      </c>
      <c r="K411" s="35" t="str">
        <f aca="false">IF(H411=TRUE(), "Holiday", IF(OR(I411=0, I411=6), "Weekend", "Weekday"))</f>
        <v>Weekday</v>
      </c>
      <c r="L411" s="35" t="str">
        <f aca="false">IF(AND(K411="Weekday", OR(AND(G411&gt;=7, G411&lt;=9), AND(G411&gt;=17, G411&lt;=19))), "Peak Commute", "Off-Peak")</f>
        <v>Off-Peak</v>
      </c>
      <c r="M411" s="37" t="n">
        <v>2</v>
      </c>
      <c r="N411" s="35" t="str">
        <f aca="false">VLOOKUP(M411, Lookups_Metadata!$G$4:$H$7, 2, FALSE())</f>
        <v>Mist / Cloudy</v>
      </c>
      <c r="O411" s="40" t="n">
        <v>0.22</v>
      </c>
      <c r="P411" s="40" t="n">
        <v>0.2576</v>
      </c>
      <c r="Q411" s="40" t="n">
        <f aca="false">IF(OR(P411="", ISBLANK(P411)), ROUND(0.9367*O411+0.0175, 4), P411)</f>
        <v>0.2576</v>
      </c>
      <c r="R411" s="35" t="str">
        <f aca="false">IF(OR(P411="", ISBLANK(P411)), "Imputed (Regression/Trend)", "Original")</f>
        <v>Original</v>
      </c>
      <c r="S411" s="40" t="n">
        <v>0.93</v>
      </c>
      <c r="T411" s="40" t="n">
        <v>0.0896</v>
      </c>
      <c r="U411" s="41" t="n">
        <v>0</v>
      </c>
      <c r="V411" s="41" t="n">
        <v>33</v>
      </c>
      <c r="W411" s="41" t="n">
        <f aca="false">U411+V411</f>
        <v>33</v>
      </c>
      <c r="X411" s="42" t="n">
        <f aca="false">U411/W411</f>
        <v>0</v>
      </c>
      <c r="Y411" s="42" t="n">
        <f aca="false">V411/W411</f>
        <v>1</v>
      </c>
      <c r="Z411" s="35" t="str">
        <f aca="false">IF(W411&gt;=150, "High Demand", IF(W411&gt;=50, "Moderate Demand", "Low Demand"))</f>
        <v>Low Demand</v>
      </c>
      <c r="AA411" s="39" t="str">
        <f aca="false">TEXT(G411, "00") &amp; ":00"</f>
        <v>22:00</v>
      </c>
      <c r="AB411" s="37" t="n">
        <f aca="false">YEAR(B411)</f>
        <v>2011</v>
      </c>
      <c r="AC411" s="35" t="str">
        <f aca="false">TEXT(B411, "mmmm")</f>
        <v>January</v>
      </c>
      <c r="AD411" s="37" t="n">
        <f aca="false">LEN(TEXT(B411, "YYYY-MM-DD"))</f>
        <v>10</v>
      </c>
      <c r="AE411" s="39" t="str">
        <f aca="false">LEFT(TEXT(B411, "YYYY-MM-DD"), 4)</f>
        <v>2011</v>
      </c>
      <c r="AF411" s="39" t="str">
        <f aca="false">RIGHT(TEXT(B411, "YYYY-MM-DD"), 2)</f>
        <v>18</v>
      </c>
    </row>
    <row r="412" customFormat="false" ht="15" hidden="false" customHeight="false" outlineLevel="0" collapsed="false">
      <c r="A412" s="43" t="n">
        <v>408</v>
      </c>
      <c r="B412" s="44" t="s">
        <v>94</v>
      </c>
      <c r="C412" s="43" t="n">
        <v>1</v>
      </c>
      <c r="D412" s="33" t="str">
        <f aca="false">VLOOKUP(C412, Lookups_Metadata!$A$4:$B$7, 2, FALSE())</f>
        <v>Spring</v>
      </c>
      <c r="E412" s="43" t="n">
        <v>0</v>
      </c>
      <c r="F412" s="43" t="n">
        <v>1</v>
      </c>
      <c r="G412" s="43" t="n">
        <v>23</v>
      </c>
      <c r="H412" s="45" t="b">
        <f aca="false">FALSE()</f>
        <v>0</v>
      </c>
      <c r="I412" s="43" t="n">
        <v>2</v>
      </c>
      <c r="J412" s="33" t="str">
        <f aca="false">INDEX(Lookups_Metadata!$E$4:$E$10, MATCH(I412, Lookups_Metadata!$D$4:$D$10, 0))</f>
        <v>Tuesday</v>
      </c>
      <c r="K412" s="33" t="str">
        <f aca="false">IF(H412=TRUE(), "Holiday", IF(OR(I412=0, I412=6), "Weekend", "Weekday"))</f>
        <v>Weekday</v>
      </c>
      <c r="L412" s="33" t="str">
        <f aca="false">IF(AND(K412="Weekday", OR(AND(G412&gt;=7, G412&lt;=9), AND(G412&gt;=17, G412&lt;=19))), "Peak Commute", "Off-Peak")</f>
        <v>Off-Peak</v>
      </c>
      <c r="M412" s="43" t="n">
        <v>2</v>
      </c>
      <c r="N412" s="33" t="str">
        <f aca="false">VLOOKUP(M412, Lookups_Metadata!$G$4:$H$7, 2, FALSE())</f>
        <v>Mist / Cloudy</v>
      </c>
      <c r="O412" s="46" t="n">
        <v>0.22</v>
      </c>
      <c r="P412" s="46" t="n">
        <v>0.2727</v>
      </c>
      <c r="Q412" s="46" t="n">
        <f aca="false">IF(OR(P412="", ISBLANK(P412)), ROUND(0.9367*O412+0.0175, 4), P412)</f>
        <v>0.2727</v>
      </c>
      <c r="R412" s="33" t="str">
        <f aca="false">IF(OR(P412="", ISBLANK(P412)), "Imputed (Regression/Trend)", "Original")</f>
        <v>Original</v>
      </c>
      <c r="S412" s="46" t="n">
        <v>0.93</v>
      </c>
      <c r="T412" s="46" t="n">
        <v>0</v>
      </c>
      <c r="U412" s="18" t="n">
        <v>1</v>
      </c>
      <c r="V412" s="18" t="n">
        <v>19</v>
      </c>
      <c r="W412" s="18" t="n">
        <f aca="false">U412+V412</f>
        <v>20</v>
      </c>
      <c r="X412" s="47" t="n">
        <f aca="false">U412/W412</f>
        <v>0.05</v>
      </c>
      <c r="Y412" s="47" t="n">
        <f aca="false">V412/W412</f>
        <v>0.95</v>
      </c>
      <c r="Z412" s="33" t="str">
        <f aca="false">IF(W412&gt;=150, "High Demand", IF(W412&gt;=50, "Moderate Demand", "Low Demand"))</f>
        <v>Low Demand</v>
      </c>
      <c r="AA412" s="45" t="str">
        <f aca="false">TEXT(G412, "00") &amp; ":00"</f>
        <v>23:00</v>
      </c>
      <c r="AB412" s="43" t="n">
        <f aca="false">YEAR(B412)</f>
        <v>2011</v>
      </c>
      <c r="AC412" s="33" t="str">
        <f aca="false">TEXT(B412, "mmmm")</f>
        <v>January</v>
      </c>
      <c r="AD412" s="43" t="n">
        <f aca="false">LEN(TEXT(B412, "YYYY-MM-DD"))</f>
        <v>10</v>
      </c>
      <c r="AE412" s="45" t="str">
        <f aca="false">LEFT(TEXT(B412, "YYYY-MM-DD"), 4)</f>
        <v>2011</v>
      </c>
      <c r="AF412" s="45" t="str">
        <f aca="false">RIGHT(TEXT(B412, "YYYY-MM-DD"), 2)</f>
        <v>18</v>
      </c>
    </row>
    <row r="413" customFormat="false" ht="15" hidden="false" customHeight="false" outlineLevel="0" collapsed="false">
      <c r="A413" s="37" t="n">
        <v>409</v>
      </c>
      <c r="B413" s="38" t="s">
        <v>95</v>
      </c>
      <c r="C413" s="37" t="n">
        <v>1</v>
      </c>
      <c r="D413" s="35" t="str">
        <f aca="false">VLOOKUP(C413, Lookups_Metadata!$A$4:$B$7, 2, FALSE())</f>
        <v>Spring</v>
      </c>
      <c r="E413" s="37" t="n">
        <v>0</v>
      </c>
      <c r="F413" s="37" t="n">
        <v>1</v>
      </c>
      <c r="G413" s="37" t="n">
        <v>0</v>
      </c>
      <c r="H413" s="39" t="b">
        <f aca="false">FALSE()</f>
        <v>0</v>
      </c>
      <c r="I413" s="37" t="n">
        <v>3</v>
      </c>
      <c r="J413" s="35" t="str">
        <f aca="false">INDEX(Lookups_Metadata!$E$4:$E$10, MATCH(I413, Lookups_Metadata!$D$4:$D$10, 0))</f>
        <v>Wednesday</v>
      </c>
      <c r="K413" s="35" t="str">
        <f aca="false">IF(H413=TRUE(), "Holiday", IF(OR(I413=0, I413=6), "Weekend", "Weekday"))</f>
        <v>Weekday</v>
      </c>
      <c r="L413" s="35" t="str">
        <f aca="false">IF(AND(K413="Weekday", OR(AND(G413&gt;=7, G413&lt;=9), AND(G413&gt;=17, G413&lt;=19))), "Peak Commute", "Off-Peak")</f>
        <v>Off-Peak</v>
      </c>
      <c r="M413" s="37" t="n">
        <v>2</v>
      </c>
      <c r="N413" s="35" t="str">
        <f aca="false">VLOOKUP(M413, Lookups_Metadata!$G$4:$H$7, 2, FALSE())</f>
        <v>Mist / Cloudy</v>
      </c>
      <c r="O413" s="40" t="n">
        <v>0.22</v>
      </c>
      <c r="P413" s="40" t="n">
        <v>0.2727</v>
      </c>
      <c r="Q413" s="40" t="n">
        <f aca="false">IF(OR(P413="", ISBLANK(P413)), ROUND(0.9367*O413+0.0175, 4), P413)</f>
        <v>0.2727</v>
      </c>
      <c r="R413" s="35" t="str">
        <f aca="false">IF(OR(P413="", ISBLANK(P413)), "Imputed (Regression/Trend)", "Original")</f>
        <v>Original</v>
      </c>
      <c r="S413" s="40" t="n">
        <v>0.93</v>
      </c>
      <c r="T413" s="40" t="n">
        <v>0</v>
      </c>
      <c r="U413" s="41" t="n">
        <v>0</v>
      </c>
      <c r="V413" s="41" t="n">
        <v>3</v>
      </c>
      <c r="W413" s="41" t="n">
        <f aca="false">U413+V413</f>
        <v>3</v>
      </c>
      <c r="X413" s="42" t="n">
        <f aca="false">U413/W413</f>
        <v>0</v>
      </c>
      <c r="Y413" s="42" t="n">
        <f aca="false">V413/W413</f>
        <v>1</v>
      </c>
      <c r="Z413" s="35" t="str">
        <f aca="false">IF(W413&gt;=150, "High Demand", IF(W413&gt;=50, "Moderate Demand", "Low Demand"))</f>
        <v>Low Demand</v>
      </c>
      <c r="AA413" s="39" t="str">
        <f aca="false">TEXT(G413, "00") &amp; ":00"</f>
        <v>00:00</v>
      </c>
      <c r="AB413" s="37" t="n">
        <f aca="false">YEAR(B413)</f>
        <v>2011</v>
      </c>
      <c r="AC413" s="35" t="str">
        <f aca="false">TEXT(B413, "mmmm")</f>
        <v>January</v>
      </c>
      <c r="AD413" s="37" t="n">
        <f aca="false">LEN(TEXT(B413, "YYYY-MM-DD"))</f>
        <v>10</v>
      </c>
      <c r="AE413" s="39" t="str">
        <f aca="false">LEFT(TEXT(B413, "YYYY-MM-DD"), 4)</f>
        <v>2011</v>
      </c>
      <c r="AF413" s="39" t="str">
        <f aca="false">RIGHT(TEXT(B413, "YYYY-MM-DD"), 2)</f>
        <v>19</v>
      </c>
    </row>
    <row r="414" customFormat="false" ht="15" hidden="false" customHeight="false" outlineLevel="0" collapsed="false">
      <c r="A414" s="43" t="n">
        <v>410</v>
      </c>
      <c r="B414" s="44" t="s">
        <v>95</v>
      </c>
      <c r="C414" s="43" t="n">
        <v>1</v>
      </c>
      <c r="D414" s="33" t="str">
        <f aca="false">VLOOKUP(C414, Lookups_Metadata!$A$4:$B$7, 2, FALSE())</f>
        <v>Spring</v>
      </c>
      <c r="E414" s="43" t="n">
        <v>0</v>
      </c>
      <c r="F414" s="43" t="n">
        <v>1</v>
      </c>
      <c r="G414" s="43" t="n">
        <v>1</v>
      </c>
      <c r="H414" s="45" t="b">
        <f aca="false">FALSE()</f>
        <v>0</v>
      </c>
      <c r="I414" s="43" t="n">
        <v>3</v>
      </c>
      <c r="J414" s="33" t="str">
        <f aca="false">INDEX(Lookups_Metadata!$E$4:$E$10, MATCH(I414, Lookups_Metadata!$D$4:$D$10, 0))</f>
        <v>Wednesday</v>
      </c>
      <c r="K414" s="33" t="str">
        <f aca="false">IF(H414=TRUE(), "Holiday", IF(OR(I414=0, I414=6), "Weekend", "Weekday"))</f>
        <v>Weekday</v>
      </c>
      <c r="L414" s="33" t="str">
        <f aca="false">IF(AND(K414="Weekday", OR(AND(G414&gt;=7, G414&lt;=9), AND(G414&gt;=17, G414&lt;=19))), "Peak Commute", "Off-Peak")</f>
        <v>Off-Peak</v>
      </c>
      <c r="M414" s="43" t="n">
        <v>3</v>
      </c>
      <c r="N414" s="33" t="str">
        <f aca="false">VLOOKUP(M414, Lookups_Metadata!$G$4:$H$7, 2, FALSE())</f>
        <v>Light Snow / Light Rain</v>
      </c>
      <c r="O414" s="46" t="n">
        <v>0.22</v>
      </c>
      <c r="P414" s="46" t="n">
        <v>0.2273</v>
      </c>
      <c r="Q414" s="46" t="n">
        <f aca="false">IF(OR(P414="", ISBLANK(P414)), ROUND(0.9367*O414+0.0175, 4), P414)</f>
        <v>0.2273</v>
      </c>
      <c r="R414" s="33" t="str">
        <f aca="false">IF(OR(P414="", ISBLANK(P414)), "Imputed (Regression/Trend)", "Original")</f>
        <v>Original</v>
      </c>
      <c r="S414" s="46" t="n">
        <v>0.93</v>
      </c>
      <c r="T414" s="46" t="n">
        <v>0.1343</v>
      </c>
      <c r="U414" s="18" t="n">
        <v>1</v>
      </c>
      <c r="V414" s="18" t="n">
        <v>6</v>
      </c>
      <c r="W414" s="18" t="n">
        <f aca="false">U414+V414</f>
        <v>7</v>
      </c>
      <c r="X414" s="47" t="n">
        <f aca="false">U414/W414</f>
        <v>0.142857142857143</v>
      </c>
      <c r="Y414" s="47" t="n">
        <f aca="false">V414/W414</f>
        <v>0.857142857142857</v>
      </c>
      <c r="Z414" s="33" t="str">
        <f aca="false">IF(W414&gt;=150, "High Demand", IF(W414&gt;=50, "Moderate Demand", "Low Demand"))</f>
        <v>Low Demand</v>
      </c>
      <c r="AA414" s="45" t="str">
        <f aca="false">TEXT(G414, "00") &amp; ":00"</f>
        <v>01:00</v>
      </c>
      <c r="AB414" s="43" t="n">
        <f aca="false">YEAR(B414)</f>
        <v>2011</v>
      </c>
      <c r="AC414" s="33" t="str">
        <f aca="false">TEXT(B414, "mmmm")</f>
        <v>January</v>
      </c>
      <c r="AD414" s="43" t="n">
        <f aca="false">LEN(TEXT(B414, "YYYY-MM-DD"))</f>
        <v>10</v>
      </c>
      <c r="AE414" s="45" t="str">
        <f aca="false">LEFT(TEXT(B414, "YYYY-MM-DD"), 4)</f>
        <v>2011</v>
      </c>
      <c r="AF414" s="45" t="str">
        <f aca="false">RIGHT(TEXT(B414, "YYYY-MM-DD"), 2)</f>
        <v>19</v>
      </c>
    </row>
    <row r="415" customFormat="false" ht="15" hidden="false" customHeight="false" outlineLevel="0" collapsed="false">
      <c r="A415" s="37" t="n">
        <v>411</v>
      </c>
      <c r="B415" s="38" t="s">
        <v>95</v>
      </c>
      <c r="C415" s="37" t="n">
        <v>1</v>
      </c>
      <c r="D415" s="35" t="str">
        <f aca="false">VLOOKUP(C415, Lookups_Metadata!$A$4:$B$7, 2, FALSE())</f>
        <v>Spring</v>
      </c>
      <c r="E415" s="37" t="n">
        <v>0</v>
      </c>
      <c r="F415" s="37" t="n">
        <v>1</v>
      </c>
      <c r="G415" s="37" t="n">
        <v>2</v>
      </c>
      <c r="H415" s="39" t="b">
        <f aca="false">FALSE()</f>
        <v>0</v>
      </c>
      <c r="I415" s="37" t="n">
        <v>3</v>
      </c>
      <c r="J415" s="35" t="str">
        <f aca="false">INDEX(Lookups_Metadata!$E$4:$E$10, MATCH(I415, Lookups_Metadata!$D$4:$D$10, 0))</f>
        <v>Wednesday</v>
      </c>
      <c r="K415" s="35" t="str">
        <f aca="false">IF(H415=TRUE(), "Holiday", IF(OR(I415=0, I415=6), "Weekend", "Weekday"))</f>
        <v>Weekday</v>
      </c>
      <c r="L415" s="35" t="str">
        <f aca="false">IF(AND(K415="Weekday", OR(AND(G415&gt;=7, G415&lt;=9), AND(G415&gt;=17, G415&lt;=19))), "Peak Commute", "Off-Peak")</f>
        <v>Off-Peak</v>
      </c>
      <c r="M415" s="37" t="n">
        <v>3</v>
      </c>
      <c r="N415" s="35" t="str">
        <f aca="false">VLOOKUP(M415, Lookups_Metadata!$G$4:$H$7, 2, FALSE())</f>
        <v>Light Snow / Light Rain</v>
      </c>
      <c r="O415" s="40" t="n">
        <v>0.22</v>
      </c>
      <c r="P415" s="40" t="n">
        <v>0.2273</v>
      </c>
      <c r="Q415" s="40" t="n">
        <f aca="false">IF(OR(P415="", ISBLANK(P415)), ROUND(0.9367*O415+0.0175, 4), P415)</f>
        <v>0.2273</v>
      </c>
      <c r="R415" s="35" t="str">
        <f aca="false">IF(OR(P415="", ISBLANK(P415)), "Imputed (Regression/Trend)", "Original")</f>
        <v>Original</v>
      </c>
      <c r="S415" s="40" t="n">
        <v>0.93</v>
      </c>
      <c r="T415" s="40" t="n">
        <v>0.1343</v>
      </c>
      <c r="U415" s="41" t="n">
        <v>0</v>
      </c>
      <c r="V415" s="41" t="n">
        <v>3</v>
      </c>
      <c r="W415" s="41" t="n">
        <f aca="false">U415+V415</f>
        <v>3</v>
      </c>
      <c r="X415" s="42" t="n">
        <f aca="false">U415/W415</f>
        <v>0</v>
      </c>
      <c r="Y415" s="42" t="n">
        <f aca="false">V415/W415</f>
        <v>1</v>
      </c>
      <c r="Z415" s="35" t="str">
        <f aca="false">IF(W415&gt;=150, "High Demand", IF(W415&gt;=50, "Moderate Demand", "Low Demand"))</f>
        <v>Low Demand</v>
      </c>
      <c r="AA415" s="39" t="str">
        <f aca="false">TEXT(G415, "00") &amp; ":00"</f>
        <v>02:00</v>
      </c>
      <c r="AB415" s="37" t="n">
        <f aca="false">YEAR(B415)</f>
        <v>2011</v>
      </c>
      <c r="AC415" s="35" t="str">
        <f aca="false">TEXT(B415, "mmmm")</f>
        <v>January</v>
      </c>
      <c r="AD415" s="37" t="n">
        <f aca="false">LEN(TEXT(B415, "YYYY-MM-DD"))</f>
        <v>10</v>
      </c>
      <c r="AE415" s="39" t="str">
        <f aca="false">LEFT(TEXT(B415, "YYYY-MM-DD"), 4)</f>
        <v>2011</v>
      </c>
      <c r="AF415" s="39" t="str">
        <f aca="false">RIGHT(TEXT(B415, "YYYY-MM-DD"), 2)</f>
        <v>19</v>
      </c>
    </row>
    <row r="416" customFormat="false" ht="15" hidden="false" customHeight="false" outlineLevel="0" collapsed="false">
      <c r="A416" s="43" t="n">
        <v>412</v>
      </c>
      <c r="B416" s="44" t="s">
        <v>95</v>
      </c>
      <c r="C416" s="43" t="n">
        <v>1</v>
      </c>
      <c r="D416" s="33" t="str">
        <f aca="false">VLOOKUP(C416, Lookups_Metadata!$A$4:$B$7, 2, FALSE())</f>
        <v>Spring</v>
      </c>
      <c r="E416" s="43" t="n">
        <v>0</v>
      </c>
      <c r="F416" s="43" t="n">
        <v>1</v>
      </c>
      <c r="G416" s="43" t="n">
        <v>4</v>
      </c>
      <c r="H416" s="45" t="b">
        <f aca="false">FALSE()</f>
        <v>0</v>
      </c>
      <c r="I416" s="43" t="n">
        <v>3</v>
      </c>
      <c r="J416" s="33" t="str">
        <f aca="false">INDEX(Lookups_Metadata!$E$4:$E$10, MATCH(I416, Lookups_Metadata!$D$4:$D$10, 0))</f>
        <v>Wednesday</v>
      </c>
      <c r="K416" s="33" t="str">
        <f aca="false">IF(H416=TRUE(), "Holiday", IF(OR(I416=0, I416=6), "Weekend", "Weekday"))</f>
        <v>Weekday</v>
      </c>
      <c r="L416" s="33" t="str">
        <f aca="false">IF(AND(K416="Weekday", OR(AND(G416&gt;=7, G416&lt;=9), AND(G416&gt;=17, G416&lt;=19))), "Peak Commute", "Off-Peak")</f>
        <v>Off-Peak</v>
      </c>
      <c r="M416" s="43" t="n">
        <v>3</v>
      </c>
      <c r="N416" s="33" t="str">
        <f aca="false">VLOOKUP(M416, Lookups_Metadata!$G$4:$H$7, 2, FALSE())</f>
        <v>Light Snow / Light Rain</v>
      </c>
      <c r="O416" s="46" t="n">
        <v>0.22</v>
      </c>
      <c r="P416" s="46" t="n">
        <v>0.2273</v>
      </c>
      <c r="Q416" s="46" t="n">
        <f aca="false">IF(OR(P416="", ISBLANK(P416)), ROUND(0.9367*O416+0.0175, 4), P416)</f>
        <v>0.2273</v>
      </c>
      <c r="R416" s="33" t="str">
        <f aca="false">IF(OR(P416="", ISBLANK(P416)), "Imputed (Regression/Trend)", "Original")</f>
        <v>Original</v>
      </c>
      <c r="S416" s="46" t="n">
        <v>0.93</v>
      </c>
      <c r="T416" s="46" t="n">
        <v>0.1343</v>
      </c>
      <c r="U416" s="18" t="n">
        <v>1</v>
      </c>
      <c r="V416" s="18" t="n">
        <v>1</v>
      </c>
      <c r="W416" s="18" t="n">
        <f aca="false">U416+V416</f>
        <v>2</v>
      </c>
      <c r="X416" s="47" t="n">
        <f aca="false">U416/W416</f>
        <v>0.5</v>
      </c>
      <c r="Y416" s="47" t="n">
        <f aca="false">V416/W416</f>
        <v>0.5</v>
      </c>
      <c r="Z416" s="33" t="str">
        <f aca="false">IF(W416&gt;=150, "High Demand", IF(W416&gt;=50, "Moderate Demand", "Low Demand"))</f>
        <v>Low Demand</v>
      </c>
      <c r="AA416" s="45" t="str">
        <f aca="false">TEXT(G416, "00") &amp; ":00"</f>
        <v>04:00</v>
      </c>
      <c r="AB416" s="43" t="n">
        <f aca="false">YEAR(B416)</f>
        <v>2011</v>
      </c>
      <c r="AC416" s="33" t="str">
        <f aca="false">TEXT(B416, "mmmm")</f>
        <v>January</v>
      </c>
      <c r="AD416" s="43" t="n">
        <f aca="false">LEN(TEXT(B416, "YYYY-MM-DD"))</f>
        <v>10</v>
      </c>
      <c r="AE416" s="45" t="str">
        <f aca="false">LEFT(TEXT(B416, "YYYY-MM-DD"), 4)</f>
        <v>2011</v>
      </c>
      <c r="AF416" s="45" t="str">
        <f aca="false">RIGHT(TEXT(B416, "YYYY-MM-DD"), 2)</f>
        <v>19</v>
      </c>
    </row>
    <row r="417" customFormat="false" ht="15" hidden="false" customHeight="false" outlineLevel="0" collapsed="false">
      <c r="A417" s="37" t="n">
        <v>413</v>
      </c>
      <c r="B417" s="38" t="s">
        <v>95</v>
      </c>
      <c r="C417" s="37" t="n">
        <v>1</v>
      </c>
      <c r="D417" s="35" t="str">
        <f aca="false">VLOOKUP(C417, Lookups_Metadata!$A$4:$B$7, 2, FALSE())</f>
        <v>Spring</v>
      </c>
      <c r="E417" s="37" t="n">
        <v>0</v>
      </c>
      <c r="F417" s="37" t="n">
        <v>1</v>
      </c>
      <c r="G417" s="37" t="n">
        <v>5</v>
      </c>
      <c r="H417" s="39" t="b">
        <f aca="false">FALSE()</f>
        <v>0</v>
      </c>
      <c r="I417" s="37" t="n">
        <v>3</v>
      </c>
      <c r="J417" s="35" t="str">
        <f aca="false">INDEX(Lookups_Metadata!$E$4:$E$10, MATCH(I417, Lookups_Metadata!$D$4:$D$10, 0))</f>
        <v>Wednesday</v>
      </c>
      <c r="K417" s="35" t="str">
        <f aca="false">IF(H417=TRUE(), "Holiday", IF(OR(I417=0, I417=6), "Weekend", "Weekday"))</f>
        <v>Weekday</v>
      </c>
      <c r="L417" s="35" t="str">
        <f aca="false">IF(AND(K417="Weekday", OR(AND(G417&gt;=7, G417&lt;=9), AND(G417&gt;=17, G417&lt;=19))), "Peak Commute", "Off-Peak")</f>
        <v>Off-Peak</v>
      </c>
      <c r="M417" s="37" t="n">
        <v>2</v>
      </c>
      <c r="N417" s="35" t="str">
        <f aca="false">VLOOKUP(M417, Lookups_Metadata!$G$4:$H$7, 2, FALSE())</f>
        <v>Mist / Cloudy</v>
      </c>
      <c r="O417" s="40" t="n">
        <v>0.22</v>
      </c>
      <c r="P417" s="40" t="n">
        <v>0.2576</v>
      </c>
      <c r="Q417" s="40" t="n">
        <f aca="false">IF(OR(P417="", ISBLANK(P417)), ROUND(0.9367*O417+0.0175, 4), P417)</f>
        <v>0.2576</v>
      </c>
      <c r="R417" s="35" t="str">
        <f aca="false">IF(OR(P417="", ISBLANK(P417)), "Imputed (Regression/Trend)", "Original")</f>
        <v>Original</v>
      </c>
      <c r="S417" s="40" t="n">
        <v>0.93</v>
      </c>
      <c r="T417" s="40" t="n">
        <v>0.0896</v>
      </c>
      <c r="U417" s="41" t="n">
        <v>0</v>
      </c>
      <c r="V417" s="41" t="n">
        <v>7</v>
      </c>
      <c r="W417" s="41" t="n">
        <f aca="false">U417+V417</f>
        <v>7</v>
      </c>
      <c r="X417" s="42" t="n">
        <f aca="false">U417/W417</f>
        <v>0</v>
      </c>
      <c r="Y417" s="42" t="n">
        <f aca="false">V417/W417</f>
        <v>1</v>
      </c>
      <c r="Z417" s="35" t="str">
        <f aca="false">IF(W417&gt;=150, "High Demand", IF(W417&gt;=50, "Moderate Demand", "Low Demand"))</f>
        <v>Low Demand</v>
      </c>
      <c r="AA417" s="39" t="str">
        <f aca="false">TEXT(G417, "00") &amp; ":00"</f>
        <v>05:00</v>
      </c>
      <c r="AB417" s="37" t="n">
        <f aca="false">YEAR(B417)</f>
        <v>2011</v>
      </c>
      <c r="AC417" s="35" t="str">
        <f aca="false">TEXT(B417, "mmmm")</f>
        <v>January</v>
      </c>
      <c r="AD417" s="37" t="n">
        <f aca="false">LEN(TEXT(B417, "YYYY-MM-DD"))</f>
        <v>10</v>
      </c>
      <c r="AE417" s="39" t="str">
        <f aca="false">LEFT(TEXT(B417, "YYYY-MM-DD"), 4)</f>
        <v>2011</v>
      </c>
      <c r="AF417" s="39" t="str">
        <f aca="false">RIGHT(TEXT(B417, "YYYY-MM-DD"), 2)</f>
        <v>19</v>
      </c>
    </row>
    <row r="418" customFormat="false" ht="15" hidden="false" customHeight="false" outlineLevel="0" collapsed="false">
      <c r="A418" s="43" t="n">
        <v>414</v>
      </c>
      <c r="B418" s="44" t="s">
        <v>95</v>
      </c>
      <c r="C418" s="43" t="n">
        <v>1</v>
      </c>
      <c r="D418" s="33" t="str">
        <f aca="false">VLOOKUP(C418, Lookups_Metadata!$A$4:$B$7, 2, FALSE())</f>
        <v>Spring</v>
      </c>
      <c r="E418" s="43" t="n">
        <v>0</v>
      </c>
      <c r="F418" s="43" t="n">
        <v>1</v>
      </c>
      <c r="G418" s="43" t="n">
        <v>6</v>
      </c>
      <c r="H418" s="45" t="b">
        <f aca="false">FALSE()</f>
        <v>0</v>
      </c>
      <c r="I418" s="43" t="n">
        <v>3</v>
      </c>
      <c r="J418" s="33" t="str">
        <f aca="false">INDEX(Lookups_Metadata!$E$4:$E$10, MATCH(I418, Lookups_Metadata!$D$4:$D$10, 0))</f>
        <v>Wednesday</v>
      </c>
      <c r="K418" s="33" t="str">
        <f aca="false">IF(H418=TRUE(), "Holiday", IF(OR(I418=0, I418=6), "Weekend", "Weekday"))</f>
        <v>Weekday</v>
      </c>
      <c r="L418" s="33" t="str">
        <f aca="false">IF(AND(K418="Weekday", OR(AND(G418&gt;=7, G418&lt;=9), AND(G418&gt;=17, G418&lt;=19))), "Peak Commute", "Off-Peak")</f>
        <v>Off-Peak</v>
      </c>
      <c r="M418" s="43" t="n">
        <v>2</v>
      </c>
      <c r="N418" s="33" t="str">
        <f aca="false">VLOOKUP(M418, Lookups_Metadata!$G$4:$H$7, 2, FALSE())</f>
        <v>Mist / Cloudy</v>
      </c>
      <c r="O418" s="46" t="n">
        <v>0.22</v>
      </c>
      <c r="P418" s="46" t="n">
        <v>0.2576</v>
      </c>
      <c r="Q418" s="46" t="n">
        <f aca="false">IF(OR(P418="", ISBLANK(P418)), ROUND(0.9367*O418+0.0175, 4), P418)</f>
        <v>0.2576</v>
      </c>
      <c r="R418" s="33" t="str">
        <f aca="false">IF(OR(P418="", ISBLANK(P418)), "Imputed (Regression/Trend)", "Original")</f>
        <v>Original</v>
      </c>
      <c r="S418" s="46" t="n">
        <v>0.93</v>
      </c>
      <c r="T418" s="46" t="n">
        <v>0.0896</v>
      </c>
      <c r="U418" s="18" t="n">
        <v>0</v>
      </c>
      <c r="V418" s="18" t="n">
        <v>32</v>
      </c>
      <c r="W418" s="18" t="n">
        <f aca="false">U418+V418</f>
        <v>32</v>
      </c>
      <c r="X418" s="47" t="n">
        <f aca="false">U418/W418</f>
        <v>0</v>
      </c>
      <c r="Y418" s="47" t="n">
        <f aca="false">V418/W418</f>
        <v>1</v>
      </c>
      <c r="Z418" s="33" t="str">
        <f aca="false">IF(W418&gt;=150, "High Demand", IF(W418&gt;=50, "Moderate Demand", "Low Demand"))</f>
        <v>Low Demand</v>
      </c>
      <c r="AA418" s="45" t="str">
        <f aca="false">TEXT(G418, "00") &amp; ":00"</f>
        <v>06:00</v>
      </c>
      <c r="AB418" s="43" t="n">
        <f aca="false">YEAR(B418)</f>
        <v>2011</v>
      </c>
      <c r="AC418" s="33" t="str">
        <f aca="false">TEXT(B418, "mmmm")</f>
        <v>January</v>
      </c>
      <c r="AD418" s="43" t="n">
        <f aca="false">LEN(TEXT(B418, "YYYY-MM-DD"))</f>
        <v>10</v>
      </c>
      <c r="AE418" s="45" t="str">
        <f aca="false">LEFT(TEXT(B418, "YYYY-MM-DD"), 4)</f>
        <v>2011</v>
      </c>
      <c r="AF418" s="45" t="str">
        <f aca="false">RIGHT(TEXT(B418, "YYYY-MM-DD"), 2)</f>
        <v>19</v>
      </c>
    </row>
    <row r="419" customFormat="false" ht="15" hidden="false" customHeight="false" outlineLevel="0" collapsed="false">
      <c r="A419" s="37" t="n">
        <v>415</v>
      </c>
      <c r="B419" s="38" t="s">
        <v>95</v>
      </c>
      <c r="C419" s="37" t="n">
        <v>1</v>
      </c>
      <c r="D419" s="35" t="str">
        <f aca="false">VLOOKUP(C419, Lookups_Metadata!$A$4:$B$7, 2, FALSE())</f>
        <v>Spring</v>
      </c>
      <c r="E419" s="37" t="n">
        <v>0</v>
      </c>
      <c r="F419" s="37" t="n">
        <v>1</v>
      </c>
      <c r="G419" s="37" t="n">
        <v>7</v>
      </c>
      <c r="H419" s="39" t="b">
        <f aca="false">FALSE()</f>
        <v>0</v>
      </c>
      <c r="I419" s="37" t="n">
        <v>3</v>
      </c>
      <c r="J419" s="35" t="str">
        <f aca="false">INDEX(Lookups_Metadata!$E$4:$E$10, MATCH(I419, Lookups_Metadata!$D$4:$D$10, 0))</f>
        <v>Wednesday</v>
      </c>
      <c r="K419" s="35" t="str">
        <f aca="false">IF(H419=TRUE(), "Holiday", IF(OR(I419=0, I419=6), "Weekend", "Weekday"))</f>
        <v>Weekday</v>
      </c>
      <c r="L419" s="35" t="str">
        <f aca="false">IF(AND(K419="Weekday", OR(AND(G419&gt;=7, G419&lt;=9), AND(G419&gt;=17, G419&lt;=19))), "Peak Commute", "Off-Peak")</f>
        <v>Peak Commute</v>
      </c>
      <c r="M419" s="37" t="n">
        <v>2</v>
      </c>
      <c r="N419" s="35" t="str">
        <f aca="false">VLOOKUP(M419, Lookups_Metadata!$G$4:$H$7, 2, FALSE())</f>
        <v>Mist / Cloudy</v>
      </c>
      <c r="O419" s="40" t="n">
        <v>0.24</v>
      </c>
      <c r="P419" s="40" t="n">
        <v>0.2576</v>
      </c>
      <c r="Q419" s="40" t="n">
        <f aca="false">IF(OR(P419="", ISBLANK(P419)), ROUND(0.9367*O419+0.0175, 4), P419)</f>
        <v>0.2576</v>
      </c>
      <c r="R419" s="35" t="str">
        <f aca="false">IF(OR(P419="", ISBLANK(P419)), "Imputed (Regression/Trend)", "Original")</f>
        <v>Original</v>
      </c>
      <c r="S419" s="40" t="n">
        <v>0.92</v>
      </c>
      <c r="T419" s="40" t="n">
        <v>0.1045</v>
      </c>
      <c r="U419" s="41" t="n">
        <v>1</v>
      </c>
      <c r="V419" s="41" t="n">
        <v>89</v>
      </c>
      <c r="W419" s="41" t="n">
        <f aca="false">U419+V419</f>
        <v>90</v>
      </c>
      <c r="X419" s="42" t="n">
        <f aca="false">U419/W419</f>
        <v>0.0111111111111111</v>
      </c>
      <c r="Y419" s="42" t="n">
        <f aca="false">V419/W419</f>
        <v>0.988888888888889</v>
      </c>
      <c r="Z419" s="35" t="str">
        <f aca="false">IF(W419&gt;=150, "High Demand", IF(W419&gt;=50, "Moderate Demand", "Low Demand"))</f>
        <v>Moderate Demand</v>
      </c>
      <c r="AA419" s="39" t="str">
        <f aca="false">TEXT(G419, "00") &amp; ":00"</f>
        <v>07:00</v>
      </c>
      <c r="AB419" s="37" t="n">
        <f aca="false">YEAR(B419)</f>
        <v>2011</v>
      </c>
      <c r="AC419" s="35" t="str">
        <f aca="false">TEXT(B419, "mmmm")</f>
        <v>January</v>
      </c>
      <c r="AD419" s="37" t="n">
        <f aca="false">LEN(TEXT(B419, "YYYY-MM-DD"))</f>
        <v>10</v>
      </c>
      <c r="AE419" s="39" t="str">
        <f aca="false">LEFT(TEXT(B419, "YYYY-MM-DD"), 4)</f>
        <v>2011</v>
      </c>
      <c r="AF419" s="39" t="str">
        <f aca="false">RIGHT(TEXT(B419, "YYYY-MM-DD"), 2)</f>
        <v>19</v>
      </c>
    </row>
    <row r="420" customFormat="false" ht="15" hidden="false" customHeight="false" outlineLevel="0" collapsed="false">
      <c r="A420" s="43" t="n">
        <v>416</v>
      </c>
      <c r="B420" s="44" t="s">
        <v>95</v>
      </c>
      <c r="C420" s="43" t="n">
        <v>1</v>
      </c>
      <c r="D420" s="33" t="str">
        <f aca="false">VLOOKUP(C420, Lookups_Metadata!$A$4:$B$7, 2, FALSE())</f>
        <v>Spring</v>
      </c>
      <c r="E420" s="43" t="n">
        <v>0</v>
      </c>
      <c r="F420" s="43" t="n">
        <v>1</v>
      </c>
      <c r="G420" s="43" t="n">
        <v>8</v>
      </c>
      <c r="H420" s="45" t="b">
        <f aca="false">FALSE()</f>
        <v>0</v>
      </c>
      <c r="I420" s="43" t="n">
        <v>3</v>
      </c>
      <c r="J420" s="33" t="str">
        <f aca="false">INDEX(Lookups_Metadata!$E$4:$E$10, MATCH(I420, Lookups_Metadata!$D$4:$D$10, 0))</f>
        <v>Wednesday</v>
      </c>
      <c r="K420" s="33" t="str">
        <f aca="false">IF(H420=TRUE(), "Holiday", IF(OR(I420=0, I420=6), "Weekend", "Weekday"))</f>
        <v>Weekday</v>
      </c>
      <c r="L420" s="33" t="str">
        <f aca="false">IF(AND(K420="Weekday", OR(AND(G420&gt;=7, G420&lt;=9), AND(G420&gt;=17, G420&lt;=19))), "Peak Commute", "Off-Peak")</f>
        <v>Peak Commute</v>
      </c>
      <c r="M420" s="43" t="n">
        <v>2</v>
      </c>
      <c r="N420" s="33" t="str">
        <f aca="false">VLOOKUP(M420, Lookups_Metadata!$G$4:$H$7, 2, FALSE())</f>
        <v>Mist / Cloudy</v>
      </c>
      <c r="O420" s="46" t="n">
        <v>0.24</v>
      </c>
      <c r="P420" s="46" t="n">
        <v>0.2576</v>
      </c>
      <c r="Q420" s="46" t="n">
        <f aca="false">IF(OR(P420="", ISBLANK(P420)), ROUND(0.9367*O420+0.0175, 4), P420)</f>
        <v>0.2576</v>
      </c>
      <c r="R420" s="33" t="str">
        <f aca="false">IF(OR(P420="", ISBLANK(P420)), "Imputed (Regression/Trend)", "Original")</f>
        <v>Original</v>
      </c>
      <c r="S420" s="46" t="n">
        <v>0.93</v>
      </c>
      <c r="T420" s="46" t="n">
        <v>0.1045</v>
      </c>
      <c r="U420" s="18" t="n">
        <v>1</v>
      </c>
      <c r="V420" s="18" t="n">
        <v>196</v>
      </c>
      <c r="W420" s="18" t="n">
        <f aca="false">U420+V420</f>
        <v>197</v>
      </c>
      <c r="X420" s="47" t="n">
        <f aca="false">U420/W420</f>
        <v>0.0050761421319797</v>
      </c>
      <c r="Y420" s="47" t="n">
        <f aca="false">V420/W420</f>
        <v>0.99492385786802</v>
      </c>
      <c r="Z420" s="33" t="str">
        <f aca="false">IF(W420&gt;=150, "High Demand", IF(W420&gt;=50, "Moderate Demand", "Low Demand"))</f>
        <v>High Demand</v>
      </c>
      <c r="AA420" s="45" t="str">
        <f aca="false">TEXT(G420, "00") &amp; ":00"</f>
        <v>08:00</v>
      </c>
      <c r="AB420" s="43" t="n">
        <f aca="false">YEAR(B420)</f>
        <v>2011</v>
      </c>
      <c r="AC420" s="33" t="str">
        <f aca="false">TEXT(B420, "mmmm")</f>
        <v>January</v>
      </c>
      <c r="AD420" s="43" t="n">
        <f aca="false">LEN(TEXT(B420, "YYYY-MM-DD"))</f>
        <v>10</v>
      </c>
      <c r="AE420" s="45" t="str">
        <f aca="false">LEFT(TEXT(B420, "YYYY-MM-DD"), 4)</f>
        <v>2011</v>
      </c>
      <c r="AF420" s="45" t="str">
        <f aca="false">RIGHT(TEXT(B420, "YYYY-MM-DD"), 2)</f>
        <v>19</v>
      </c>
    </row>
    <row r="421" customFormat="false" ht="15" hidden="false" customHeight="false" outlineLevel="0" collapsed="false">
      <c r="A421" s="37" t="n">
        <v>417</v>
      </c>
      <c r="B421" s="38" t="s">
        <v>95</v>
      </c>
      <c r="C421" s="37" t="n">
        <v>1</v>
      </c>
      <c r="D421" s="35" t="str">
        <f aca="false">VLOOKUP(C421, Lookups_Metadata!$A$4:$B$7, 2, FALSE())</f>
        <v>Spring</v>
      </c>
      <c r="E421" s="37" t="n">
        <v>0</v>
      </c>
      <c r="F421" s="37" t="n">
        <v>1</v>
      </c>
      <c r="G421" s="37" t="n">
        <v>9</v>
      </c>
      <c r="H421" s="39" t="b">
        <f aca="false">FALSE()</f>
        <v>0</v>
      </c>
      <c r="I421" s="37" t="n">
        <v>3</v>
      </c>
      <c r="J421" s="35" t="str">
        <f aca="false">INDEX(Lookups_Metadata!$E$4:$E$10, MATCH(I421, Lookups_Metadata!$D$4:$D$10, 0))</f>
        <v>Wednesday</v>
      </c>
      <c r="K421" s="35" t="str">
        <f aca="false">IF(H421=TRUE(), "Holiday", IF(OR(I421=0, I421=6), "Weekend", "Weekday"))</f>
        <v>Weekday</v>
      </c>
      <c r="L421" s="35" t="str">
        <f aca="false">IF(AND(K421="Weekday", OR(AND(G421&gt;=7, G421&lt;=9), AND(G421&gt;=17, G421&lt;=19))), "Peak Commute", "Off-Peak")</f>
        <v>Peak Commute</v>
      </c>
      <c r="M421" s="37" t="n">
        <v>2</v>
      </c>
      <c r="N421" s="35" t="str">
        <f aca="false">VLOOKUP(M421, Lookups_Metadata!$G$4:$H$7, 2, FALSE())</f>
        <v>Mist / Cloudy</v>
      </c>
      <c r="O421" s="40" t="n">
        <v>0.24</v>
      </c>
      <c r="P421" s="40" t="n">
        <v>0.2576</v>
      </c>
      <c r="Q421" s="40" t="n">
        <f aca="false">IF(OR(P421="", ISBLANK(P421)), ROUND(0.9367*O421+0.0175, 4), P421)</f>
        <v>0.2576</v>
      </c>
      <c r="R421" s="35" t="str">
        <f aca="false">IF(OR(P421="", ISBLANK(P421)), "Imputed (Regression/Trend)", "Original")</f>
        <v>Original</v>
      </c>
      <c r="S421" s="40" t="n">
        <v>0.93</v>
      </c>
      <c r="T421" s="40" t="n">
        <v>0.1045</v>
      </c>
      <c r="U421" s="41" t="n">
        <v>2</v>
      </c>
      <c r="V421" s="41" t="n">
        <v>107</v>
      </c>
      <c r="W421" s="41" t="n">
        <f aca="false">U421+V421</f>
        <v>109</v>
      </c>
      <c r="X421" s="42" t="n">
        <f aca="false">U421/W421</f>
        <v>0.018348623853211</v>
      </c>
      <c r="Y421" s="42" t="n">
        <f aca="false">V421/W421</f>
        <v>0.981651376146789</v>
      </c>
      <c r="Z421" s="35" t="str">
        <f aca="false">IF(W421&gt;=150, "High Demand", IF(W421&gt;=50, "Moderate Demand", "Low Demand"))</f>
        <v>Moderate Demand</v>
      </c>
      <c r="AA421" s="39" t="str">
        <f aca="false">TEXT(G421, "00") &amp; ":00"</f>
        <v>09:00</v>
      </c>
      <c r="AB421" s="37" t="n">
        <f aca="false">YEAR(B421)</f>
        <v>2011</v>
      </c>
      <c r="AC421" s="35" t="str">
        <f aca="false">TEXT(B421, "mmmm")</f>
        <v>January</v>
      </c>
      <c r="AD421" s="37" t="n">
        <f aca="false">LEN(TEXT(B421, "YYYY-MM-DD"))</f>
        <v>10</v>
      </c>
      <c r="AE421" s="39" t="str">
        <f aca="false">LEFT(TEXT(B421, "YYYY-MM-DD"), 4)</f>
        <v>2011</v>
      </c>
      <c r="AF421" s="39" t="str">
        <f aca="false">RIGHT(TEXT(B421, "YYYY-MM-DD"), 2)</f>
        <v>19</v>
      </c>
    </row>
    <row r="422" customFormat="false" ht="15" hidden="false" customHeight="false" outlineLevel="0" collapsed="false">
      <c r="A422" s="43" t="n">
        <v>418</v>
      </c>
      <c r="B422" s="44" t="s">
        <v>95</v>
      </c>
      <c r="C422" s="43" t="n">
        <v>1</v>
      </c>
      <c r="D422" s="33" t="str">
        <f aca="false">VLOOKUP(C422, Lookups_Metadata!$A$4:$B$7, 2, FALSE())</f>
        <v>Spring</v>
      </c>
      <c r="E422" s="43" t="n">
        <v>0</v>
      </c>
      <c r="F422" s="43" t="n">
        <v>1</v>
      </c>
      <c r="G422" s="43" t="n">
        <v>10</v>
      </c>
      <c r="H422" s="45" t="b">
        <f aca="false">FALSE()</f>
        <v>0</v>
      </c>
      <c r="I422" s="43" t="n">
        <v>3</v>
      </c>
      <c r="J422" s="33" t="str">
        <f aca="false">INDEX(Lookups_Metadata!$E$4:$E$10, MATCH(I422, Lookups_Metadata!$D$4:$D$10, 0))</f>
        <v>Wednesday</v>
      </c>
      <c r="K422" s="33" t="str">
        <f aca="false">IF(H422=TRUE(), "Holiday", IF(OR(I422=0, I422=6), "Weekend", "Weekday"))</f>
        <v>Weekday</v>
      </c>
      <c r="L422" s="33" t="str">
        <f aca="false">IF(AND(K422="Weekday", OR(AND(G422&gt;=7, G422&lt;=9), AND(G422&gt;=17, G422&lt;=19))), "Peak Commute", "Off-Peak")</f>
        <v>Off-Peak</v>
      </c>
      <c r="M422" s="43" t="n">
        <v>2</v>
      </c>
      <c r="N422" s="33" t="str">
        <f aca="false">VLOOKUP(M422, Lookups_Metadata!$G$4:$H$7, 2, FALSE())</f>
        <v>Mist / Cloudy</v>
      </c>
      <c r="O422" s="46" t="n">
        <v>0.26</v>
      </c>
      <c r="P422" s="46" t="n">
        <v>0.2727</v>
      </c>
      <c r="Q422" s="46" t="n">
        <f aca="false">IF(OR(P422="", ISBLANK(P422)), ROUND(0.9367*O422+0.0175, 4), P422)</f>
        <v>0.2727</v>
      </c>
      <c r="R422" s="33" t="str">
        <f aca="false">IF(OR(P422="", ISBLANK(P422)), "Imputed (Regression/Trend)", "Original")</f>
        <v>Original</v>
      </c>
      <c r="S422" s="46" t="n">
        <v>0.93</v>
      </c>
      <c r="T422" s="46" t="n">
        <v>0.1343</v>
      </c>
      <c r="U422" s="18" t="n">
        <v>1</v>
      </c>
      <c r="V422" s="18" t="n">
        <v>46</v>
      </c>
      <c r="W422" s="18" t="n">
        <f aca="false">U422+V422</f>
        <v>47</v>
      </c>
      <c r="X422" s="47" t="n">
        <f aca="false">U422/W422</f>
        <v>0.0212765957446809</v>
      </c>
      <c r="Y422" s="47" t="n">
        <f aca="false">V422/W422</f>
        <v>0.978723404255319</v>
      </c>
      <c r="Z422" s="33" t="str">
        <f aca="false">IF(W422&gt;=150, "High Demand", IF(W422&gt;=50, "Moderate Demand", "Low Demand"))</f>
        <v>Low Demand</v>
      </c>
      <c r="AA422" s="45" t="str">
        <f aca="false">TEXT(G422, "00") &amp; ":00"</f>
        <v>10:00</v>
      </c>
      <c r="AB422" s="43" t="n">
        <f aca="false">YEAR(B422)</f>
        <v>2011</v>
      </c>
      <c r="AC422" s="33" t="str">
        <f aca="false">TEXT(B422, "mmmm")</f>
        <v>January</v>
      </c>
      <c r="AD422" s="43" t="n">
        <f aca="false">LEN(TEXT(B422, "YYYY-MM-DD"))</f>
        <v>10</v>
      </c>
      <c r="AE422" s="45" t="str">
        <f aca="false">LEFT(TEXT(B422, "YYYY-MM-DD"), 4)</f>
        <v>2011</v>
      </c>
      <c r="AF422" s="45" t="str">
        <f aca="false">RIGHT(TEXT(B422, "YYYY-MM-DD"), 2)</f>
        <v>19</v>
      </c>
    </row>
    <row r="423" customFormat="false" ht="15" hidden="false" customHeight="false" outlineLevel="0" collapsed="false">
      <c r="A423" s="37" t="n">
        <v>419</v>
      </c>
      <c r="B423" s="38" t="s">
        <v>95</v>
      </c>
      <c r="C423" s="37" t="n">
        <v>1</v>
      </c>
      <c r="D423" s="35" t="str">
        <f aca="false">VLOOKUP(C423, Lookups_Metadata!$A$4:$B$7, 2, FALSE())</f>
        <v>Spring</v>
      </c>
      <c r="E423" s="37" t="n">
        <v>0</v>
      </c>
      <c r="F423" s="37" t="n">
        <v>1</v>
      </c>
      <c r="G423" s="37" t="n">
        <v>11</v>
      </c>
      <c r="H423" s="39" t="b">
        <f aca="false">FALSE()</f>
        <v>0</v>
      </c>
      <c r="I423" s="37" t="n">
        <v>3</v>
      </c>
      <c r="J423" s="35" t="str">
        <f aca="false">INDEX(Lookups_Metadata!$E$4:$E$10, MATCH(I423, Lookups_Metadata!$D$4:$D$10, 0))</f>
        <v>Wednesday</v>
      </c>
      <c r="K423" s="35" t="str">
        <f aca="false">IF(H423=TRUE(), "Holiday", IF(OR(I423=0, I423=6), "Weekend", "Weekday"))</f>
        <v>Weekday</v>
      </c>
      <c r="L423" s="35" t="str">
        <f aca="false">IF(AND(K423="Weekday", OR(AND(G423&gt;=7, G423&lt;=9), AND(G423&gt;=17, G423&lt;=19))), "Peak Commute", "Off-Peak")</f>
        <v>Off-Peak</v>
      </c>
      <c r="M423" s="37" t="n">
        <v>2</v>
      </c>
      <c r="N423" s="35" t="str">
        <f aca="false">VLOOKUP(M423, Lookups_Metadata!$G$4:$H$7, 2, FALSE())</f>
        <v>Mist / Cloudy</v>
      </c>
      <c r="O423" s="40" t="n">
        <v>0.28</v>
      </c>
      <c r="P423" s="40" t="n">
        <v>0.303</v>
      </c>
      <c r="Q423" s="40" t="n">
        <f aca="false">IF(OR(P423="", ISBLANK(P423)), ROUND(0.9367*O423+0.0175, 4), P423)</f>
        <v>0.303</v>
      </c>
      <c r="R423" s="35" t="str">
        <f aca="false">IF(OR(P423="", ISBLANK(P423)), "Imputed (Regression/Trend)", "Original")</f>
        <v>Original</v>
      </c>
      <c r="S423" s="40" t="n">
        <v>0.87</v>
      </c>
      <c r="T423" s="40" t="n">
        <v>0.0896</v>
      </c>
      <c r="U423" s="41" t="n">
        <v>5</v>
      </c>
      <c r="V423" s="41" t="n">
        <v>47</v>
      </c>
      <c r="W423" s="41" t="n">
        <f aca="false">U423+V423</f>
        <v>52</v>
      </c>
      <c r="X423" s="42" t="n">
        <f aca="false">U423/W423</f>
        <v>0.0961538461538462</v>
      </c>
      <c r="Y423" s="42" t="n">
        <f aca="false">V423/W423</f>
        <v>0.903846153846154</v>
      </c>
      <c r="Z423" s="35" t="str">
        <f aca="false">IF(W423&gt;=150, "High Demand", IF(W423&gt;=50, "Moderate Demand", "Low Demand"))</f>
        <v>Moderate Demand</v>
      </c>
      <c r="AA423" s="39" t="str">
        <f aca="false">TEXT(G423, "00") &amp; ":00"</f>
        <v>11:00</v>
      </c>
      <c r="AB423" s="37" t="n">
        <f aca="false">YEAR(B423)</f>
        <v>2011</v>
      </c>
      <c r="AC423" s="35" t="str">
        <f aca="false">TEXT(B423, "mmmm")</f>
        <v>January</v>
      </c>
      <c r="AD423" s="37" t="n">
        <f aca="false">LEN(TEXT(B423, "YYYY-MM-DD"))</f>
        <v>10</v>
      </c>
      <c r="AE423" s="39" t="str">
        <f aca="false">LEFT(TEXT(B423, "YYYY-MM-DD"), 4)</f>
        <v>2011</v>
      </c>
      <c r="AF423" s="39" t="str">
        <f aca="false">RIGHT(TEXT(B423, "YYYY-MM-DD"), 2)</f>
        <v>19</v>
      </c>
    </row>
    <row r="424" customFormat="false" ht="15" hidden="false" customHeight="false" outlineLevel="0" collapsed="false">
      <c r="A424" s="43" t="n">
        <v>420</v>
      </c>
      <c r="B424" s="44" t="s">
        <v>95</v>
      </c>
      <c r="C424" s="43" t="n">
        <v>1</v>
      </c>
      <c r="D424" s="33" t="str">
        <f aca="false">VLOOKUP(C424, Lookups_Metadata!$A$4:$B$7, 2, FALSE())</f>
        <v>Spring</v>
      </c>
      <c r="E424" s="43" t="n">
        <v>0</v>
      </c>
      <c r="F424" s="43" t="n">
        <v>1</v>
      </c>
      <c r="G424" s="43" t="n">
        <v>12</v>
      </c>
      <c r="H424" s="45" t="b">
        <f aca="false">FALSE()</f>
        <v>0</v>
      </c>
      <c r="I424" s="43" t="n">
        <v>3</v>
      </c>
      <c r="J424" s="33" t="str">
        <f aca="false">INDEX(Lookups_Metadata!$E$4:$E$10, MATCH(I424, Lookups_Metadata!$D$4:$D$10, 0))</f>
        <v>Wednesday</v>
      </c>
      <c r="K424" s="33" t="str">
        <f aca="false">IF(H424=TRUE(), "Holiday", IF(OR(I424=0, I424=6), "Weekend", "Weekday"))</f>
        <v>Weekday</v>
      </c>
      <c r="L424" s="33" t="str">
        <f aca="false">IF(AND(K424="Weekday", OR(AND(G424&gt;=7, G424&lt;=9), AND(G424&gt;=17, G424&lt;=19))), "Peak Commute", "Off-Peak")</f>
        <v>Off-Peak</v>
      </c>
      <c r="M424" s="43" t="n">
        <v>2</v>
      </c>
      <c r="N424" s="33" t="str">
        <f aca="false">VLOOKUP(M424, Lookups_Metadata!$G$4:$H$7, 2, FALSE())</f>
        <v>Mist / Cloudy</v>
      </c>
      <c r="O424" s="46" t="n">
        <v>0.3</v>
      </c>
      <c r="P424" s="46" t="n">
        <v>0.3182</v>
      </c>
      <c r="Q424" s="46" t="n">
        <f aca="false">IF(OR(P424="", ISBLANK(P424)), ROUND(0.9367*O424+0.0175, 4), P424)</f>
        <v>0.3182</v>
      </c>
      <c r="R424" s="33" t="str">
        <f aca="false">IF(OR(P424="", ISBLANK(P424)), "Imputed (Regression/Trend)", "Original")</f>
        <v>Original</v>
      </c>
      <c r="S424" s="46" t="n">
        <v>0.81</v>
      </c>
      <c r="T424" s="46" t="n">
        <v>0.0896</v>
      </c>
      <c r="U424" s="18" t="n">
        <v>5</v>
      </c>
      <c r="V424" s="18" t="n">
        <v>65</v>
      </c>
      <c r="W424" s="18" t="n">
        <f aca="false">U424+V424</f>
        <v>70</v>
      </c>
      <c r="X424" s="47" t="n">
        <f aca="false">U424/W424</f>
        <v>0.0714285714285714</v>
      </c>
      <c r="Y424" s="47" t="n">
        <f aca="false">V424/W424</f>
        <v>0.928571428571429</v>
      </c>
      <c r="Z424" s="33" t="str">
        <f aca="false">IF(W424&gt;=150, "High Demand", IF(W424&gt;=50, "Moderate Demand", "Low Demand"))</f>
        <v>Moderate Demand</v>
      </c>
      <c r="AA424" s="45" t="str">
        <f aca="false">TEXT(G424, "00") &amp; ":00"</f>
        <v>12:00</v>
      </c>
      <c r="AB424" s="43" t="n">
        <f aca="false">YEAR(B424)</f>
        <v>2011</v>
      </c>
      <c r="AC424" s="33" t="str">
        <f aca="false">TEXT(B424, "mmmm")</f>
        <v>January</v>
      </c>
      <c r="AD424" s="43" t="n">
        <f aca="false">LEN(TEXT(B424, "YYYY-MM-DD"))</f>
        <v>10</v>
      </c>
      <c r="AE424" s="45" t="str">
        <f aca="false">LEFT(TEXT(B424, "YYYY-MM-DD"), 4)</f>
        <v>2011</v>
      </c>
      <c r="AF424" s="45" t="str">
        <f aca="false">RIGHT(TEXT(B424, "YYYY-MM-DD"), 2)</f>
        <v>19</v>
      </c>
    </row>
    <row r="425" customFormat="false" ht="15" hidden="false" customHeight="false" outlineLevel="0" collapsed="false">
      <c r="A425" s="37" t="n">
        <v>421</v>
      </c>
      <c r="B425" s="38" t="s">
        <v>95</v>
      </c>
      <c r="C425" s="37" t="n">
        <v>1</v>
      </c>
      <c r="D425" s="35" t="str">
        <f aca="false">VLOOKUP(C425, Lookups_Metadata!$A$4:$B$7, 2, FALSE())</f>
        <v>Spring</v>
      </c>
      <c r="E425" s="37" t="n">
        <v>0</v>
      </c>
      <c r="F425" s="37" t="n">
        <v>1</v>
      </c>
      <c r="G425" s="37" t="n">
        <v>13</v>
      </c>
      <c r="H425" s="39" t="b">
        <f aca="false">FALSE()</f>
        <v>0</v>
      </c>
      <c r="I425" s="37" t="n">
        <v>3</v>
      </c>
      <c r="J425" s="35" t="str">
        <f aca="false">INDEX(Lookups_Metadata!$E$4:$E$10, MATCH(I425, Lookups_Metadata!$D$4:$D$10, 0))</f>
        <v>Wednesday</v>
      </c>
      <c r="K425" s="35" t="str">
        <f aca="false">IF(H425=TRUE(), "Holiday", IF(OR(I425=0, I425=6), "Weekend", "Weekday"))</f>
        <v>Weekday</v>
      </c>
      <c r="L425" s="35" t="str">
        <f aca="false">IF(AND(K425="Weekday", OR(AND(G425&gt;=7, G425&lt;=9), AND(G425&gt;=17, G425&lt;=19))), "Peak Commute", "Off-Peak")</f>
        <v>Off-Peak</v>
      </c>
      <c r="M425" s="37" t="n">
        <v>1</v>
      </c>
      <c r="N425" s="35" t="str">
        <f aca="false">VLOOKUP(M425, Lookups_Metadata!$G$4:$H$7, 2, FALSE())</f>
        <v>Clear / Few Clouds</v>
      </c>
      <c r="O425" s="40" t="n">
        <v>0.4</v>
      </c>
      <c r="P425" s="40" t="n">
        <v>0.4091</v>
      </c>
      <c r="Q425" s="40" t="n">
        <f aca="false">IF(OR(P425="", ISBLANK(P425)), ROUND(0.9367*O425+0.0175, 4), P425)</f>
        <v>0.4091</v>
      </c>
      <c r="R425" s="35" t="str">
        <f aca="false">IF(OR(P425="", ISBLANK(P425)), "Imputed (Regression/Trend)", "Original")</f>
        <v>Original</v>
      </c>
      <c r="S425" s="40" t="n">
        <v>0.62</v>
      </c>
      <c r="T425" s="40" t="n">
        <v>0.2836</v>
      </c>
      <c r="U425" s="41" t="n">
        <v>11</v>
      </c>
      <c r="V425" s="41" t="n">
        <v>67</v>
      </c>
      <c r="W425" s="41" t="n">
        <f aca="false">U425+V425</f>
        <v>78</v>
      </c>
      <c r="X425" s="42" t="n">
        <f aca="false">U425/W425</f>
        <v>0.141025641025641</v>
      </c>
      <c r="Y425" s="42" t="n">
        <f aca="false">V425/W425</f>
        <v>0.858974358974359</v>
      </c>
      <c r="Z425" s="35" t="str">
        <f aca="false">IF(W425&gt;=150, "High Demand", IF(W425&gt;=50, "Moderate Demand", "Low Demand"))</f>
        <v>Moderate Demand</v>
      </c>
      <c r="AA425" s="39" t="str">
        <f aca="false">TEXT(G425, "00") &amp; ":00"</f>
        <v>13:00</v>
      </c>
      <c r="AB425" s="37" t="n">
        <f aca="false">YEAR(B425)</f>
        <v>2011</v>
      </c>
      <c r="AC425" s="35" t="str">
        <f aca="false">TEXT(B425, "mmmm")</f>
        <v>January</v>
      </c>
      <c r="AD425" s="37" t="n">
        <f aca="false">LEN(TEXT(B425, "YYYY-MM-DD"))</f>
        <v>10</v>
      </c>
      <c r="AE425" s="39" t="str">
        <f aca="false">LEFT(TEXT(B425, "YYYY-MM-DD"), 4)</f>
        <v>2011</v>
      </c>
      <c r="AF425" s="39" t="str">
        <f aca="false">RIGHT(TEXT(B425, "YYYY-MM-DD"), 2)</f>
        <v>19</v>
      </c>
    </row>
    <row r="426" customFormat="false" ht="15" hidden="false" customHeight="false" outlineLevel="0" collapsed="false">
      <c r="A426" s="43" t="n">
        <v>422</v>
      </c>
      <c r="B426" s="44" t="s">
        <v>95</v>
      </c>
      <c r="C426" s="43" t="n">
        <v>1</v>
      </c>
      <c r="D426" s="33" t="str">
        <f aca="false">VLOOKUP(C426, Lookups_Metadata!$A$4:$B$7, 2, FALSE())</f>
        <v>Spring</v>
      </c>
      <c r="E426" s="43" t="n">
        <v>0</v>
      </c>
      <c r="F426" s="43" t="n">
        <v>1</v>
      </c>
      <c r="G426" s="43" t="n">
        <v>14</v>
      </c>
      <c r="H426" s="45" t="b">
        <f aca="false">FALSE()</f>
        <v>0</v>
      </c>
      <c r="I426" s="43" t="n">
        <v>3</v>
      </c>
      <c r="J426" s="33" t="str">
        <f aca="false">INDEX(Lookups_Metadata!$E$4:$E$10, MATCH(I426, Lookups_Metadata!$D$4:$D$10, 0))</f>
        <v>Wednesday</v>
      </c>
      <c r="K426" s="33" t="str">
        <f aca="false">IF(H426=TRUE(), "Holiday", IF(OR(I426=0, I426=6), "Weekend", "Weekday"))</f>
        <v>Weekday</v>
      </c>
      <c r="L426" s="33" t="str">
        <f aca="false">IF(AND(K426="Weekday", OR(AND(G426&gt;=7, G426&lt;=9), AND(G426&gt;=17, G426&lt;=19))), "Peak Commute", "Off-Peak")</f>
        <v>Off-Peak</v>
      </c>
      <c r="M426" s="43" t="n">
        <v>1</v>
      </c>
      <c r="N426" s="33" t="str">
        <f aca="false">VLOOKUP(M426, Lookups_Metadata!$G$4:$H$7, 2, FALSE())</f>
        <v>Clear / Few Clouds</v>
      </c>
      <c r="O426" s="46" t="n">
        <v>0.4</v>
      </c>
      <c r="P426" s="46" t="n">
        <v>0.4091</v>
      </c>
      <c r="Q426" s="46" t="n">
        <f aca="false">IF(OR(P426="", ISBLANK(P426)), ROUND(0.9367*O426+0.0175, 4), P426)</f>
        <v>0.4091</v>
      </c>
      <c r="R426" s="33" t="str">
        <f aca="false">IF(OR(P426="", ISBLANK(P426)), "Imputed (Regression/Trend)", "Original")</f>
        <v>Original</v>
      </c>
      <c r="S426" s="46" t="n">
        <v>0.58</v>
      </c>
      <c r="T426" s="46" t="n">
        <v>0.2537</v>
      </c>
      <c r="U426" s="18" t="n">
        <v>7</v>
      </c>
      <c r="V426" s="18" t="n">
        <v>68</v>
      </c>
      <c r="W426" s="18" t="n">
        <f aca="false">U426+V426</f>
        <v>75</v>
      </c>
      <c r="X426" s="47" t="n">
        <f aca="false">U426/W426</f>
        <v>0.0933333333333333</v>
      </c>
      <c r="Y426" s="47" t="n">
        <f aca="false">V426/W426</f>
        <v>0.906666666666667</v>
      </c>
      <c r="Z426" s="33" t="str">
        <f aca="false">IF(W426&gt;=150, "High Demand", IF(W426&gt;=50, "Moderate Demand", "Low Demand"))</f>
        <v>Moderate Demand</v>
      </c>
      <c r="AA426" s="45" t="str">
        <f aca="false">TEXT(G426, "00") &amp; ":00"</f>
        <v>14:00</v>
      </c>
      <c r="AB426" s="43" t="n">
        <f aca="false">YEAR(B426)</f>
        <v>2011</v>
      </c>
      <c r="AC426" s="33" t="str">
        <f aca="false">TEXT(B426, "mmmm")</f>
        <v>January</v>
      </c>
      <c r="AD426" s="43" t="n">
        <f aca="false">LEN(TEXT(B426, "YYYY-MM-DD"))</f>
        <v>10</v>
      </c>
      <c r="AE426" s="45" t="str">
        <f aca="false">LEFT(TEXT(B426, "YYYY-MM-DD"), 4)</f>
        <v>2011</v>
      </c>
      <c r="AF426" s="45" t="str">
        <f aca="false">RIGHT(TEXT(B426, "YYYY-MM-DD"), 2)</f>
        <v>19</v>
      </c>
    </row>
    <row r="427" customFormat="false" ht="15" hidden="false" customHeight="false" outlineLevel="0" collapsed="false">
      <c r="A427" s="37" t="n">
        <v>423</v>
      </c>
      <c r="B427" s="38" t="s">
        <v>95</v>
      </c>
      <c r="C427" s="37" t="n">
        <v>1</v>
      </c>
      <c r="D427" s="35" t="str">
        <f aca="false">VLOOKUP(C427, Lookups_Metadata!$A$4:$B$7, 2, FALSE())</f>
        <v>Spring</v>
      </c>
      <c r="E427" s="37" t="n">
        <v>0</v>
      </c>
      <c r="F427" s="37" t="n">
        <v>1</v>
      </c>
      <c r="G427" s="37" t="n">
        <v>15</v>
      </c>
      <c r="H427" s="39" t="b">
        <f aca="false">FALSE()</f>
        <v>0</v>
      </c>
      <c r="I427" s="37" t="n">
        <v>3</v>
      </c>
      <c r="J427" s="35" t="str">
        <f aca="false">INDEX(Lookups_Metadata!$E$4:$E$10, MATCH(I427, Lookups_Metadata!$D$4:$D$10, 0))</f>
        <v>Wednesday</v>
      </c>
      <c r="K427" s="35" t="str">
        <f aca="false">IF(H427=TRUE(), "Holiday", IF(OR(I427=0, I427=6), "Weekend", "Weekday"))</f>
        <v>Weekday</v>
      </c>
      <c r="L427" s="35" t="str">
        <f aca="false">IF(AND(K427="Weekday", OR(AND(G427&gt;=7, G427&lt;=9), AND(G427&gt;=17, G427&lt;=19))), "Peak Commute", "Off-Peak")</f>
        <v>Off-Peak</v>
      </c>
      <c r="M427" s="37" t="n">
        <v>1</v>
      </c>
      <c r="N427" s="35" t="str">
        <f aca="false">VLOOKUP(M427, Lookups_Metadata!$G$4:$H$7, 2, FALSE())</f>
        <v>Clear / Few Clouds</v>
      </c>
      <c r="O427" s="40" t="n">
        <v>0.4</v>
      </c>
      <c r="P427" s="40" t="n">
        <v>0.4091</v>
      </c>
      <c r="Q427" s="40" t="n">
        <f aca="false">IF(OR(P427="", ISBLANK(P427)), ROUND(0.9367*O427+0.0175, 4), P427)</f>
        <v>0.4091</v>
      </c>
      <c r="R427" s="35" t="str">
        <f aca="false">IF(OR(P427="", ISBLANK(P427)), "Imputed (Regression/Trend)", "Original")</f>
        <v>Original</v>
      </c>
      <c r="S427" s="40" t="n">
        <v>0.54</v>
      </c>
      <c r="T427" s="40" t="n">
        <v>0.2836</v>
      </c>
      <c r="U427" s="41" t="n">
        <v>4</v>
      </c>
      <c r="V427" s="41" t="n">
        <v>78</v>
      </c>
      <c r="W427" s="41" t="n">
        <f aca="false">U427+V427</f>
        <v>82</v>
      </c>
      <c r="X427" s="42" t="n">
        <f aca="false">U427/W427</f>
        <v>0.0487804878048781</v>
      </c>
      <c r="Y427" s="42" t="n">
        <f aca="false">V427/W427</f>
        <v>0.951219512195122</v>
      </c>
      <c r="Z427" s="35" t="str">
        <f aca="false">IF(W427&gt;=150, "High Demand", IF(W427&gt;=50, "Moderate Demand", "Low Demand"))</f>
        <v>Moderate Demand</v>
      </c>
      <c r="AA427" s="39" t="str">
        <f aca="false">TEXT(G427, "00") &amp; ":00"</f>
        <v>15:00</v>
      </c>
      <c r="AB427" s="37" t="n">
        <f aca="false">YEAR(B427)</f>
        <v>2011</v>
      </c>
      <c r="AC427" s="35" t="str">
        <f aca="false">TEXT(B427, "mmmm")</f>
        <v>January</v>
      </c>
      <c r="AD427" s="37" t="n">
        <f aca="false">LEN(TEXT(B427, "YYYY-MM-DD"))</f>
        <v>10</v>
      </c>
      <c r="AE427" s="39" t="str">
        <f aca="false">LEFT(TEXT(B427, "YYYY-MM-DD"), 4)</f>
        <v>2011</v>
      </c>
      <c r="AF427" s="39" t="str">
        <f aca="false">RIGHT(TEXT(B427, "YYYY-MM-DD"), 2)</f>
        <v>19</v>
      </c>
    </row>
    <row r="428" customFormat="false" ht="15" hidden="false" customHeight="false" outlineLevel="0" collapsed="false">
      <c r="A428" s="43" t="n">
        <v>424</v>
      </c>
      <c r="B428" s="44" t="s">
        <v>95</v>
      </c>
      <c r="C428" s="43" t="n">
        <v>1</v>
      </c>
      <c r="D428" s="33" t="str">
        <f aca="false">VLOOKUP(C428, Lookups_Metadata!$A$4:$B$7, 2, FALSE())</f>
        <v>Spring</v>
      </c>
      <c r="E428" s="43" t="n">
        <v>0</v>
      </c>
      <c r="F428" s="43" t="n">
        <v>1</v>
      </c>
      <c r="G428" s="43" t="n">
        <v>16</v>
      </c>
      <c r="H428" s="45" t="b">
        <f aca="false">FALSE()</f>
        <v>0</v>
      </c>
      <c r="I428" s="43" t="n">
        <v>3</v>
      </c>
      <c r="J428" s="33" t="str">
        <f aca="false">INDEX(Lookups_Metadata!$E$4:$E$10, MATCH(I428, Lookups_Metadata!$D$4:$D$10, 0))</f>
        <v>Wednesday</v>
      </c>
      <c r="K428" s="33" t="str">
        <f aca="false">IF(H428=TRUE(), "Holiday", IF(OR(I428=0, I428=6), "Weekend", "Weekday"))</f>
        <v>Weekday</v>
      </c>
      <c r="L428" s="33" t="str">
        <f aca="false">IF(AND(K428="Weekday", OR(AND(G428&gt;=7, G428&lt;=9), AND(G428&gt;=17, G428&lt;=19))), "Peak Commute", "Off-Peak")</f>
        <v>Off-Peak</v>
      </c>
      <c r="M428" s="43" t="n">
        <v>1</v>
      </c>
      <c r="N428" s="33" t="str">
        <f aca="false">VLOOKUP(M428, Lookups_Metadata!$G$4:$H$7, 2, FALSE())</f>
        <v>Clear / Few Clouds</v>
      </c>
      <c r="O428" s="46" t="n">
        <v>0.38</v>
      </c>
      <c r="P428" s="46" t="n">
        <v>0.3939</v>
      </c>
      <c r="Q428" s="46" t="n">
        <f aca="false">IF(OR(P428="", ISBLANK(P428)), ROUND(0.9367*O428+0.0175, 4), P428)</f>
        <v>0.3939</v>
      </c>
      <c r="R428" s="33" t="str">
        <f aca="false">IF(OR(P428="", ISBLANK(P428)), "Imputed (Regression/Trend)", "Original")</f>
        <v>Original</v>
      </c>
      <c r="S428" s="46" t="n">
        <v>0.58</v>
      </c>
      <c r="T428" s="46" t="n">
        <v>0.3881</v>
      </c>
      <c r="U428" s="18" t="n">
        <v>10</v>
      </c>
      <c r="V428" s="18" t="n">
        <v>94</v>
      </c>
      <c r="W428" s="18" t="n">
        <f aca="false">U428+V428</f>
        <v>104</v>
      </c>
      <c r="X428" s="47" t="n">
        <f aca="false">U428/W428</f>
        <v>0.0961538461538462</v>
      </c>
      <c r="Y428" s="47" t="n">
        <f aca="false">V428/W428</f>
        <v>0.903846153846154</v>
      </c>
      <c r="Z428" s="33" t="str">
        <f aca="false">IF(W428&gt;=150, "High Demand", IF(W428&gt;=50, "Moderate Demand", "Low Demand"))</f>
        <v>Moderate Demand</v>
      </c>
      <c r="AA428" s="45" t="str">
        <f aca="false">TEXT(G428, "00") &amp; ":00"</f>
        <v>16:00</v>
      </c>
      <c r="AB428" s="43" t="n">
        <f aca="false">YEAR(B428)</f>
        <v>2011</v>
      </c>
      <c r="AC428" s="33" t="str">
        <f aca="false">TEXT(B428, "mmmm")</f>
        <v>January</v>
      </c>
      <c r="AD428" s="43" t="n">
        <f aca="false">LEN(TEXT(B428, "YYYY-MM-DD"))</f>
        <v>10</v>
      </c>
      <c r="AE428" s="45" t="str">
        <f aca="false">LEFT(TEXT(B428, "YYYY-MM-DD"), 4)</f>
        <v>2011</v>
      </c>
      <c r="AF428" s="45" t="str">
        <f aca="false">RIGHT(TEXT(B428, "YYYY-MM-DD"), 2)</f>
        <v>19</v>
      </c>
    </row>
    <row r="429" customFormat="false" ht="15" hidden="false" customHeight="false" outlineLevel="0" collapsed="false">
      <c r="A429" s="37" t="n">
        <v>425</v>
      </c>
      <c r="B429" s="38" t="s">
        <v>95</v>
      </c>
      <c r="C429" s="37" t="n">
        <v>1</v>
      </c>
      <c r="D429" s="35" t="str">
        <f aca="false">VLOOKUP(C429, Lookups_Metadata!$A$4:$B$7, 2, FALSE())</f>
        <v>Spring</v>
      </c>
      <c r="E429" s="37" t="n">
        <v>0</v>
      </c>
      <c r="F429" s="37" t="n">
        <v>1</v>
      </c>
      <c r="G429" s="37" t="n">
        <v>17</v>
      </c>
      <c r="H429" s="39" t="b">
        <f aca="false">FALSE()</f>
        <v>0</v>
      </c>
      <c r="I429" s="37" t="n">
        <v>3</v>
      </c>
      <c r="J429" s="35" t="str">
        <f aca="false">INDEX(Lookups_Metadata!$E$4:$E$10, MATCH(I429, Lookups_Metadata!$D$4:$D$10, 0))</f>
        <v>Wednesday</v>
      </c>
      <c r="K429" s="35" t="str">
        <f aca="false">IF(H429=TRUE(), "Holiday", IF(OR(I429=0, I429=6), "Weekend", "Weekday"))</f>
        <v>Weekday</v>
      </c>
      <c r="L429" s="35" t="str">
        <f aca="false">IF(AND(K429="Weekday", OR(AND(G429&gt;=7, G429&lt;=9), AND(G429&gt;=17, G429&lt;=19))), "Peak Commute", "Off-Peak")</f>
        <v>Peak Commute</v>
      </c>
      <c r="M429" s="37" t="n">
        <v>1</v>
      </c>
      <c r="N429" s="35" t="str">
        <f aca="false">VLOOKUP(M429, Lookups_Metadata!$G$4:$H$7, 2, FALSE())</f>
        <v>Clear / Few Clouds</v>
      </c>
      <c r="O429" s="40" t="n">
        <v>0.36</v>
      </c>
      <c r="P429" s="40" t="n">
        <v>0.3333</v>
      </c>
      <c r="Q429" s="40" t="n">
        <f aca="false">IF(OR(P429="", ISBLANK(P429)), ROUND(0.9367*O429+0.0175, 4), P429)</f>
        <v>0.3333</v>
      </c>
      <c r="R429" s="35" t="str">
        <f aca="false">IF(OR(P429="", ISBLANK(P429)), "Imputed (Regression/Trend)", "Original")</f>
        <v>Original</v>
      </c>
      <c r="S429" s="40" t="n">
        <v>0.57</v>
      </c>
      <c r="T429" s="40" t="n">
        <v>0.3284</v>
      </c>
      <c r="U429" s="41" t="n">
        <v>7</v>
      </c>
      <c r="V429" s="41" t="n">
        <v>190</v>
      </c>
      <c r="W429" s="41" t="n">
        <f aca="false">U429+V429</f>
        <v>197</v>
      </c>
      <c r="X429" s="42" t="n">
        <f aca="false">U429/W429</f>
        <v>0.0355329949238579</v>
      </c>
      <c r="Y429" s="42" t="n">
        <f aca="false">V429/W429</f>
        <v>0.964467005076142</v>
      </c>
      <c r="Z429" s="35" t="str">
        <f aca="false">IF(W429&gt;=150, "High Demand", IF(W429&gt;=50, "Moderate Demand", "Low Demand"))</f>
        <v>High Demand</v>
      </c>
      <c r="AA429" s="39" t="str">
        <f aca="false">TEXT(G429, "00") &amp; ":00"</f>
        <v>17:00</v>
      </c>
      <c r="AB429" s="37" t="n">
        <f aca="false">YEAR(B429)</f>
        <v>2011</v>
      </c>
      <c r="AC429" s="35" t="str">
        <f aca="false">TEXT(B429, "mmmm")</f>
        <v>January</v>
      </c>
      <c r="AD429" s="37" t="n">
        <f aca="false">LEN(TEXT(B429, "YYYY-MM-DD"))</f>
        <v>10</v>
      </c>
      <c r="AE429" s="39" t="str">
        <f aca="false">LEFT(TEXT(B429, "YYYY-MM-DD"), 4)</f>
        <v>2011</v>
      </c>
      <c r="AF429" s="39" t="str">
        <f aca="false">RIGHT(TEXT(B429, "YYYY-MM-DD"), 2)</f>
        <v>19</v>
      </c>
    </row>
    <row r="430" customFormat="false" ht="15" hidden="false" customHeight="false" outlineLevel="0" collapsed="false">
      <c r="A430" s="43" t="n">
        <v>426</v>
      </c>
      <c r="B430" s="44" t="s">
        <v>95</v>
      </c>
      <c r="C430" s="43" t="n">
        <v>1</v>
      </c>
      <c r="D430" s="33" t="str">
        <f aca="false">VLOOKUP(C430, Lookups_Metadata!$A$4:$B$7, 2, FALSE())</f>
        <v>Spring</v>
      </c>
      <c r="E430" s="43" t="n">
        <v>0</v>
      </c>
      <c r="F430" s="43" t="n">
        <v>1</v>
      </c>
      <c r="G430" s="43" t="n">
        <v>18</v>
      </c>
      <c r="H430" s="45" t="b">
        <f aca="false">FALSE()</f>
        <v>0</v>
      </c>
      <c r="I430" s="43" t="n">
        <v>3</v>
      </c>
      <c r="J430" s="33" t="str">
        <f aca="false">INDEX(Lookups_Metadata!$E$4:$E$10, MATCH(I430, Lookups_Metadata!$D$4:$D$10, 0))</f>
        <v>Wednesday</v>
      </c>
      <c r="K430" s="33" t="str">
        <f aca="false">IF(H430=TRUE(), "Holiday", IF(OR(I430=0, I430=6), "Weekend", "Weekday"))</f>
        <v>Weekday</v>
      </c>
      <c r="L430" s="33" t="str">
        <f aca="false">IF(AND(K430="Weekday", OR(AND(G430&gt;=7, G430&lt;=9), AND(G430&gt;=17, G430&lt;=19))), "Peak Commute", "Off-Peak")</f>
        <v>Peak Commute</v>
      </c>
      <c r="M430" s="43" t="n">
        <v>1</v>
      </c>
      <c r="N430" s="33" t="str">
        <f aca="false">VLOOKUP(M430, Lookups_Metadata!$G$4:$H$7, 2, FALSE())</f>
        <v>Clear / Few Clouds</v>
      </c>
      <c r="O430" s="46" t="n">
        <v>0.34</v>
      </c>
      <c r="P430" s="46" t="n">
        <v>0.3182</v>
      </c>
      <c r="Q430" s="46" t="n">
        <f aca="false">IF(OR(P430="", ISBLANK(P430)), ROUND(0.9367*O430+0.0175, 4), P430)</f>
        <v>0.3182</v>
      </c>
      <c r="R430" s="33" t="str">
        <f aca="false">IF(OR(P430="", ISBLANK(P430)), "Imputed (Regression/Trend)", "Original")</f>
        <v>Original</v>
      </c>
      <c r="S430" s="46" t="n">
        <v>0.61</v>
      </c>
      <c r="T430" s="46" t="n">
        <v>0.2836</v>
      </c>
      <c r="U430" s="18" t="n">
        <v>5</v>
      </c>
      <c r="V430" s="18" t="n">
        <v>156</v>
      </c>
      <c r="W430" s="18" t="n">
        <f aca="false">U430+V430</f>
        <v>161</v>
      </c>
      <c r="X430" s="47" t="n">
        <f aca="false">U430/W430</f>
        <v>0.031055900621118</v>
      </c>
      <c r="Y430" s="47" t="n">
        <f aca="false">V430/W430</f>
        <v>0.968944099378882</v>
      </c>
      <c r="Z430" s="33" t="str">
        <f aca="false">IF(W430&gt;=150, "High Demand", IF(W430&gt;=50, "Moderate Demand", "Low Demand"))</f>
        <v>High Demand</v>
      </c>
      <c r="AA430" s="45" t="str">
        <f aca="false">TEXT(G430, "00") &amp; ":00"</f>
        <v>18:00</v>
      </c>
      <c r="AB430" s="43" t="n">
        <f aca="false">YEAR(B430)</f>
        <v>2011</v>
      </c>
      <c r="AC430" s="33" t="str">
        <f aca="false">TEXT(B430, "mmmm")</f>
        <v>January</v>
      </c>
      <c r="AD430" s="43" t="n">
        <f aca="false">LEN(TEXT(B430, "YYYY-MM-DD"))</f>
        <v>10</v>
      </c>
      <c r="AE430" s="45" t="str">
        <f aca="false">LEFT(TEXT(B430, "YYYY-MM-DD"), 4)</f>
        <v>2011</v>
      </c>
      <c r="AF430" s="45" t="str">
        <f aca="false">RIGHT(TEXT(B430, "YYYY-MM-DD"), 2)</f>
        <v>19</v>
      </c>
    </row>
    <row r="431" customFormat="false" ht="15" hidden="false" customHeight="false" outlineLevel="0" collapsed="false">
      <c r="A431" s="37" t="n">
        <v>427</v>
      </c>
      <c r="B431" s="38" t="s">
        <v>95</v>
      </c>
      <c r="C431" s="37" t="n">
        <v>1</v>
      </c>
      <c r="D431" s="35" t="str">
        <f aca="false">VLOOKUP(C431, Lookups_Metadata!$A$4:$B$7, 2, FALSE())</f>
        <v>Spring</v>
      </c>
      <c r="E431" s="37" t="n">
        <v>0</v>
      </c>
      <c r="F431" s="37" t="n">
        <v>1</v>
      </c>
      <c r="G431" s="37" t="n">
        <v>19</v>
      </c>
      <c r="H431" s="39" t="b">
        <f aca="false">FALSE()</f>
        <v>0</v>
      </c>
      <c r="I431" s="37" t="n">
        <v>3</v>
      </c>
      <c r="J431" s="35" t="str">
        <f aca="false">INDEX(Lookups_Metadata!$E$4:$E$10, MATCH(I431, Lookups_Metadata!$D$4:$D$10, 0))</f>
        <v>Wednesday</v>
      </c>
      <c r="K431" s="35" t="str">
        <f aca="false">IF(H431=TRUE(), "Holiday", IF(OR(I431=0, I431=6), "Weekend", "Weekday"))</f>
        <v>Weekday</v>
      </c>
      <c r="L431" s="35" t="str">
        <f aca="false">IF(AND(K431="Weekday", OR(AND(G431&gt;=7, G431&lt;=9), AND(G431&gt;=17, G431&lt;=19))), "Peak Commute", "Off-Peak")</f>
        <v>Peak Commute</v>
      </c>
      <c r="M431" s="37" t="n">
        <v>1</v>
      </c>
      <c r="N431" s="35" t="str">
        <f aca="false">VLOOKUP(M431, Lookups_Metadata!$G$4:$H$7, 2, FALSE())</f>
        <v>Clear / Few Clouds</v>
      </c>
      <c r="O431" s="40" t="n">
        <v>0.32</v>
      </c>
      <c r="P431" s="40" t="n">
        <v>0.2879</v>
      </c>
      <c r="Q431" s="40" t="n">
        <f aca="false">IF(OR(P431="", ISBLANK(P431)), ROUND(0.9367*O431+0.0175, 4), P431)</f>
        <v>0.2879</v>
      </c>
      <c r="R431" s="35" t="str">
        <f aca="false">IF(OR(P431="", ISBLANK(P431)), "Imputed (Regression/Trend)", "Original")</f>
        <v>Original</v>
      </c>
      <c r="S431" s="40" t="n">
        <v>0.57</v>
      </c>
      <c r="T431" s="40" t="n">
        <v>0.4179</v>
      </c>
      <c r="U431" s="41" t="n">
        <v>4</v>
      </c>
      <c r="V431" s="41" t="n">
        <v>108</v>
      </c>
      <c r="W431" s="41" t="n">
        <f aca="false">U431+V431</f>
        <v>112</v>
      </c>
      <c r="X431" s="42" t="n">
        <f aca="false">U431/W431</f>
        <v>0.0357142857142857</v>
      </c>
      <c r="Y431" s="42" t="n">
        <f aca="false">V431/W431</f>
        <v>0.964285714285714</v>
      </c>
      <c r="Z431" s="35" t="str">
        <f aca="false">IF(W431&gt;=150, "High Demand", IF(W431&gt;=50, "Moderate Demand", "Low Demand"))</f>
        <v>Moderate Demand</v>
      </c>
      <c r="AA431" s="39" t="str">
        <f aca="false">TEXT(G431, "00") &amp; ":00"</f>
        <v>19:00</v>
      </c>
      <c r="AB431" s="37" t="n">
        <f aca="false">YEAR(B431)</f>
        <v>2011</v>
      </c>
      <c r="AC431" s="35" t="str">
        <f aca="false">TEXT(B431, "mmmm")</f>
        <v>January</v>
      </c>
      <c r="AD431" s="37" t="n">
        <f aca="false">LEN(TEXT(B431, "YYYY-MM-DD"))</f>
        <v>10</v>
      </c>
      <c r="AE431" s="39" t="str">
        <f aca="false">LEFT(TEXT(B431, "YYYY-MM-DD"), 4)</f>
        <v>2011</v>
      </c>
      <c r="AF431" s="39" t="str">
        <f aca="false">RIGHT(TEXT(B431, "YYYY-MM-DD"), 2)</f>
        <v>19</v>
      </c>
    </row>
    <row r="432" customFormat="false" ht="15" hidden="false" customHeight="false" outlineLevel="0" collapsed="false">
      <c r="A432" s="43" t="n">
        <v>428</v>
      </c>
      <c r="B432" s="44" t="s">
        <v>95</v>
      </c>
      <c r="C432" s="43" t="n">
        <v>1</v>
      </c>
      <c r="D432" s="33" t="str">
        <f aca="false">VLOOKUP(C432, Lookups_Metadata!$A$4:$B$7, 2, FALSE())</f>
        <v>Spring</v>
      </c>
      <c r="E432" s="43" t="n">
        <v>0</v>
      </c>
      <c r="F432" s="43" t="n">
        <v>1</v>
      </c>
      <c r="G432" s="43" t="n">
        <v>20</v>
      </c>
      <c r="H432" s="45" t="b">
        <f aca="false">FALSE()</f>
        <v>0</v>
      </c>
      <c r="I432" s="43" t="n">
        <v>3</v>
      </c>
      <c r="J432" s="33" t="str">
        <f aca="false">INDEX(Lookups_Metadata!$E$4:$E$10, MATCH(I432, Lookups_Metadata!$D$4:$D$10, 0))</f>
        <v>Wednesday</v>
      </c>
      <c r="K432" s="33" t="str">
        <f aca="false">IF(H432=TRUE(), "Holiday", IF(OR(I432=0, I432=6), "Weekend", "Weekday"))</f>
        <v>Weekday</v>
      </c>
      <c r="L432" s="33" t="str">
        <f aca="false">IF(AND(K432="Weekday", OR(AND(G432&gt;=7, G432&lt;=9), AND(G432&gt;=17, G432&lt;=19))), "Peak Commute", "Off-Peak")</f>
        <v>Off-Peak</v>
      </c>
      <c r="M432" s="43" t="n">
        <v>1</v>
      </c>
      <c r="N432" s="33" t="str">
        <f aca="false">VLOOKUP(M432, Lookups_Metadata!$G$4:$H$7, 2, FALSE())</f>
        <v>Clear / Few Clouds</v>
      </c>
      <c r="O432" s="46" t="n">
        <v>0.32</v>
      </c>
      <c r="P432" s="46" t="n">
        <v>0.303</v>
      </c>
      <c r="Q432" s="46" t="n">
        <f aca="false">IF(OR(P432="", ISBLANK(P432)), ROUND(0.9367*O432+0.0175, 4), P432)</f>
        <v>0.303</v>
      </c>
      <c r="R432" s="33" t="str">
        <f aca="false">IF(OR(P432="", ISBLANK(P432)), "Imputed (Regression/Trend)", "Original")</f>
        <v>Original</v>
      </c>
      <c r="S432" s="46" t="n">
        <v>0.49</v>
      </c>
      <c r="T432" s="46" t="n">
        <v>0.2985</v>
      </c>
      <c r="U432" s="18" t="n">
        <v>2</v>
      </c>
      <c r="V432" s="18" t="n">
        <v>74</v>
      </c>
      <c r="W432" s="18" t="n">
        <f aca="false">U432+V432</f>
        <v>76</v>
      </c>
      <c r="X432" s="47" t="n">
        <f aca="false">U432/W432</f>
        <v>0.0263157894736842</v>
      </c>
      <c r="Y432" s="47" t="n">
        <f aca="false">V432/W432</f>
        <v>0.973684210526316</v>
      </c>
      <c r="Z432" s="33" t="str">
        <f aca="false">IF(W432&gt;=150, "High Demand", IF(W432&gt;=50, "Moderate Demand", "Low Demand"))</f>
        <v>Moderate Demand</v>
      </c>
      <c r="AA432" s="45" t="str">
        <f aca="false">TEXT(G432, "00") &amp; ":00"</f>
        <v>20:00</v>
      </c>
      <c r="AB432" s="43" t="n">
        <f aca="false">YEAR(B432)</f>
        <v>2011</v>
      </c>
      <c r="AC432" s="33" t="str">
        <f aca="false">TEXT(B432, "mmmm")</f>
        <v>January</v>
      </c>
      <c r="AD432" s="43" t="n">
        <f aca="false">LEN(TEXT(B432, "YYYY-MM-DD"))</f>
        <v>10</v>
      </c>
      <c r="AE432" s="45" t="str">
        <f aca="false">LEFT(TEXT(B432, "YYYY-MM-DD"), 4)</f>
        <v>2011</v>
      </c>
      <c r="AF432" s="45" t="str">
        <f aca="false">RIGHT(TEXT(B432, "YYYY-MM-DD"), 2)</f>
        <v>19</v>
      </c>
    </row>
    <row r="433" customFormat="false" ht="15" hidden="false" customHeight="false" outlineLevel="0" collapsed="false">
      <c r="A433" s="37" t="n">
        <v>429</v>
      </c>
      <c r="B433" s="38" t="s">
        <v>95</v>
      </c>
      <c r="C433" s="37" t="n">
        <v>1</v>
      </c>
      <c r="D433" s="35" t="str">
        <f aca="false">VLOOKUP(C433, Lookups_Metadata!$A$4:$B$7, 2, FALSE())</f>
        <v>Spring</v>
      </c>
      <c r="E433" s="37" t="n">
        <v>0</v>
      </c>
      <c r="F433" s="37" t="n">
        <v>1</v>
      </c>
      <c r="G433" s="37" t="n">
        <v>21</v>
      </c>
      <c r="H433" s="39" t="b">
        <f aca="false">FALSE()</f>
        <v>0</v>
      </c>
      <c r="I433" s="37" t="n">
        <v>3</v>
      </c>
      <c r="J433" s="35" t="str">
        <f aca="false">INDEX(Lookups_Metadata!$E$4:$E$10, MATCH(I433, Lookups_Metadata!$D$4:$D$10, 0))</f>
        <v>Wednesday</v>
      </c>
      <c r="K433" s="35" t="str">
        <f aca="false">IF(H433=TRUE(), "Holiday", IF(OR(I433=0, I433=6), "Weekend", "Weekday"))</f>
        <v>Weekday</v>
      </c>
      <c r="L433" s="35" t="str">
        <f aca="false">IF(AND(K433="Weekday", OR(AND(G433&gt;=7, G433&lt;=9), AND(G433&gt;=17, G433&lt;=19))), "Peak Commute", "Off-Peak")</f>
        <v>Off-Peak</v>
      </c>
      <c r="M433" s="37" t="n">
        <v>1</v>
      </c>
      <c r="N433" s="35" t="str">
        <f aca="false">VLOOKUP(M433, Lookups_Metadata!$G$4:$H$7, 2, FALSE())</f>
        <v>Clear / Few Clouds</v>
      </c>
      <c r="O433" s="40" t="n">
        <v>0.32</v>
      </c>
      <c r="P433" s="40" t="n">
        <v>0.2879</v>
      </c>
      <c r="Q433" s="40" t="n">
        <f aca="false">IF(OR(P433="", ISBLANK(P433)), ROUND(0.9367*O433+0.0175, 4), P433)</f>
        <v>0.2879</v>
      </c>
      <c r="R433" s="35" t="str">
        <f aca="false">IF(OR(P433="", ISBLANK(P433)), "Imputed (Regression/Trend)", "Original")</f>
        <v>Original</v>
      </c>
      <c r="S433" s="40" t="n">
        <v>0.49</v>
      </c>
      <c r="T433" s="40" t="n">
        <v>0.4179</v>
      </c>
      <c r="U433" s="41" t="n">
        <v>4</v>
      </c>
      <c r="V433" s="41" t="n">
        <v>55</v>
      </c>
      <c r="W433" s="41" t="n">
        <f aca="false">U433+V433</f>
        <v>59</v>
      </c>
      <c r="X433" s="42" t="n">
        <f aca="false">U433/W433</f>
        <v>0.0677966101694915</v>
      </c>
      <c r="Y433" s="42" t="n">
        <f aca="false">V433/W433</f>
        <v>0.932203389830508</v>
      </c>
      <c r="Z433" s="35" t="str">
        <f aca="false">IF(W433&gt;=150, "High Demand", IF(W433&gt;=50, "Moderate Demand", "Low Demand"))</f>
        <v>Moderate Demand</v>
      </c>
      <c r="AA433" s="39" t="str">
        <f aca="false">TEXT(G433, "00") &amp; ":00"</f>
        <v>21:00</v>
      </c>
      <c r="AB433" s="37" t="n">
        <f aca="false">YEAR(B433)</f>
        <v>2011</v>
      </c>
      <c r="AC433" s="35" t="str">
        <f aca="false">TEXT(B433, "mmmm")</f>
        <v>January</v>
      </c>
      <c r="AD433" s="37" t="n">
        <f aca="false">LEN(TEXT(B433, "YYYY-MM-DD"))</f>
        <v>10</v>
      </c>
      <c r="AE433" s="39" t="str">
        <f aca="false">LEFT(TEXT(B433, "YYYY-MM-DD"), 4)</f>
        <v>2011</v>
      </c>
      <c r="AF433" s="39" t="str">
        <f aca="false">RIGHT(TEXT(B433, "YYYY-MM-DD"), 2)</f>
        <v>19</v>
      </c>
    </row>
    <row r="434" customFormat="false" ht="15" hidden="false" customHeight="false" outlineLevel="0" collapsed="false">
      <c r="A434" s="43" t="n">
        <v>430</v>
      </c>
      <c r="B434" s="44" t="s">
        <v>95</v>
      </c>
      <c r="C434" s="43" t="n">
        <v>1</v>
      </c>
      <c r="D434" s="33" t="str">
        <f aca="false">VLOOKUP(C434, Lookups_Metadata!$A$4:$B$7, 2, FALSE())</f>
        <v>Spring</v>
      </c>
      <c r="E434" s="43" t="n">
        <v>0</v>
      </c>
      <c r="F434" s="43" t="n">
        <v>1</v>
      </c>
      <c r="G434" s="43" t="n">
        <v>22</v>
      </c>
      <c r="H434" s="45" t="b">
        <f aca="false">FALSE()</f>
        <v>0</v>
      </c>
      <c r="I434" s="43" t="n">
        <v>3</v>
      </c>
      <c r="J434" s="33" t="str">
        <f aca="false">INDEX(Lookups_Metadata!$E$4:$E$10, MATCH(I434, Lookups_Metadata!$D$4:$D$10, 0))</f>
        <v>Wednesday</v>
      </c>
      <c r="K434" s="33" t="str">
        <f aca="false">IF(H434=TRUE(), "Holiday", IF(OR(I434=0, I434=6), "Weekend", "Weekday"))</f>
        <v>Weekday</v>
      </c>
      <c r="L434" s="33" t="str">
        <f aca="false">IF(AND(K434="Weekday", OR(AND(G434&gt;=7, G434&lt;=9), AND(G434&gt;=17, G434&lt;=19))), "Peak Commute", "Off-Peak")</f>
        <v>Off-Peak</v>
      </c>
      <c r="M434" s="43" t="n">
        <v>1</v>
      </c>
      <c r="N434" s="33" t="str">
        <f aca="false">VLOOKUP(M434, Lookups_Metadata!$G$4:$H$7, 2, FALSE())</f>
        <v>Clear / Few Clouds</v>
      </c>
      <c r="O434" s="46" t="n">
        <v>0.3</v>
      </c>
      <c r="P434" s="46" t="n">
        <v>0.303</v>
      </c>
      <c r="Q434" s="46" t="n">
        <f aca="false">IF(OR(P434="", ISBLANK(P434)), ROUND(0.9367*O434+0.0175, 4), P434)</f>
        <v>0.303</v>
      </c>
      <c r="R434" s="33" t="str">
        <f aca="false">IF(OR(P434="", ISBLANK(P434)), "Imputed (Regression/Trend)", "Original")</f>
        <v>Original</v>
      </c>
      <c r="S434" s="46" t="n">
        <v>0.52</v>
      </c>
      <c r="T434" s="46" t="n">
        <v>0.1642</v>
      </c>
      <c r="U434" s="18" t="n">
        <v>6</v>
      </c>
      <c r="V434" s="18" t="n">
        <v>53</v>
      </c>
      <c r="W434" s="18" t="n">
        <f aca="false">U434+V434</f>
        <v>59</v>
      </c>
      <c r="X434" s="47" t="n">
        <f aca="false">U434/W434</f>
        <v>0.101694915254237</v>
      </c>
      <c r="Y434" s="47" t="n">
        <f aca="false">V434/W434</f>
        <v>0.898305084745763</v>
      </c>
      <c r="Z434" s="33" t="str">
        <f aca="false">IF(W434&gt;=150, "High Demand", IF(W434&gt;=50, "Moderate Demand", "Low Demand"))</f>
        <v>Moderate Demand</v>
      </c>
      <c r="AA434" s="45" t="str">
        <f aca="false">TEXT(G434, "00") &amp; ":00"</f>
        <v>22:00</v>
      </c>
      <c r="AB434" s="43" t="n">
        <f aca="false">YEAR(B434)</f>
        <v>2011</v>
      </c>
      <c r="AC434" s="33" t="str">
        <f aca="false">TEXT(B434, "mmmm")</f>
        <v>January</v>
      </c>
      <c r="AD434" s="43" t="n">
        <f aca="false">LEN(TEXT(B434, "YYYY-MM-DD"))</f>
        <v>10</v>
      </c>
      <c r="AE434" s="45" t="str">
        <f aca="false">LEFT(TEXT(B434, "YYYY-MM-DD"), 4)</f>
        <v>2011</v>
      </c>
      <c r="AF434" s="45" t="str">
        <f aca="false">RIGHT(TEXT(B434, "YYYY-MM-DD"), 2)</f>
        <v>19</v>
      </c>
    </row>
    <row r="435" customFormat="false" ht="15" hidden="false" customHeight="false" outlineLevel="0" collapsed="false">
      <c r="A435" s="37" t="n">
        <v>431</v>
      </c>
      <c r="B435" s="38" t="s">
        <v>95</v>
      </c>
      <c r="C435" s="37" t="n">
        <v>1</v>
      </c>
      <c r="D435" s="35" t="str">
        <f aca="false">VLOOKUP(C435, Lookups_Metadata!$A$4:$B$7, 2, FALSE())</f>
        <v>Spring</v>
      </c>
      <c r="E435" s="37" t="n">
        <v>0</v>
      </c>
      <c r="F435" s="37" t="n">
        <v>1</v>
      </c>
      <c r="G435" s="37" t="n">
        <v>23</v>
      </c>
      <c r="H435" s="39" t="b">
        <f aca="false">FALSE()</f>
        <v>0</v>
      </c>
      <c r="I435" s="37" t="n">
        <v>3</v>
      </c>
      <c r="J435" s="35" t="str">
        <f aca="false">INDEX(Lookups_Metadata!$E$4:$E$10, MATCH(I435, Lookups_Metadata!$D$4:$D$10, 0))</f>
        <v>Wednesday</v>
      </c>
      <c r="K435" s="35" t="str">
        <f aca="false">IF(H435=TRUE(), "Holiday", IF(OR(I435=0, I435=6), "Weekend", "Weekday"))</f>
        <v>Weekday</v>
      </c>
      <c r="L435" s="35" t="str">
        <f aca="false">IF(AND(K435="Weekday", OR(AND(G435&gt;=7, G435&lt;=9), AND(G435&gt;=17, G435&lt;=19))), "Peak Commute", "Off-Peak")</f>
        <v>Off-Peak</v>
      </c>
      <c r="M435" s="37" t="n">
        <v>1</v>
      </c>
      <c r="N435" s="35" t="str">
        <f aca="false">VLOOKUP(M435, Lookups_Metadata!$G$4:$H$7, 2, FALSE())</f>
        <v>Clear / Few Clouds</v>
      </c>
      <c r="O435" s="40" t="n">
        <v>0.3</v>
      </c>
      <c r="P435" s="40" t="n">
        <v>0.2727</v>
      </c>
      <c r="Q435" s="40" t="n">
        <f aca="false">IF(OR(P435="", ISBLANK(P435)), ROUND(0.9367*O435+0.0175, 4), P435)</f>
        <v>0.2727</v>
      </c>
      <c r="R435" s="35" t="str">
        <f aca="false">IF(OR(P435="", ISBLANK(P435)), "Imputed (Regression/Trend)", "Original")</f>
        <v>Original</v>
      </c>
      <c r="S435" s="40" t="n">
        <v>0.52</v>
      </c>
      <c r="T435" s="40" t="n">
        <v>0.4627</v>
      </c>
      <c r="U435" s="41" t="n">
        <v>1</v>
      </c>
      <c r="V435" s="41" t="n">
        <v>27</v>
      </c>
      <c r="W435" s="41" t="n">
        <f aca="false">U435+V435</f>
        <v>28</v>
      </c>
      <c r="X435" s="42" t="n">
        <f aca="false">U435/W435</f>
        <v>0.0357142857142857</v>
      </c>
      <c r="Y435" s="42" t="n">
        <f aca="false">V435/W435</f>
        <v>0.964285714285714</v>
      </c>
      <c r="Z435" s="35" t="str">
        <f aca="false">IF(W435&gt;=150, "High Demand", IF(W435&gt;=50, "Moderate Demand", "Low Demand"))</f>
        <v>Low Demand</v>
      </c>
      <c r="AA435" s="39" t="str">
        <f aca="false">TEXT(G435, "00") &amp; ":00"</f>
        <v>23:00</v>
      </c>
      <c r="AB435" s="37" t="n">
        <f aca="false">YEAR(B435)</f>
        <v>2011</v>
      </c>
      <c r="AC435" s="35" t="str">
        <f aca="false">TEXT(B435, "mmmm")</f>
        <v>January</v>
      </c>
      <c r="AD435" s="37" t="n">
        <f aca="false">LEN(TEXT(B435, "YYYY-MM-DD"))</f>
        <v>10</v>
      </c>
      <c r="AE435" s="39" t="str">
        <f aca="false">LEFT(TEXT(B435, "YYYY-MM-DD"), 4)</f>
        <v>2011</v>
      </c>
      <c r="AF435" s="39" t="str">
        <f aca="false">RIGHT(TEXT(B435, "YYYY-MM-DD"), 2)</f>
        <v>19</v>
      </c>
    </row>
    <row r="436" customFormat="false" ht="15" hidden="false" customHeight="false" outlineLevel="0" collapsed="false">
      <c r="A436" s="43" t="n">
        <v>432</v>
      </c>
      <c r="B436" s="44" t="s">
        <v>96</v>
      </c>
      <c r="C436" s="43" t="n">
        <v>1</v>
      </c>
      <c r="D436" s="33" t="str">
        <f aca="false">VLOOKUP(C436, Lookups_Metadata!$A$4:$B$7, 2, FALSE())</f>
        <v>Spring</v>
      </c>
      <c r="E436" s="43" t="n">
        <v>0</v>
      </c>
      <c r="F436" s="43" t="n">
        <v>1</v>
      </c>
      <c r="G436" s="43" t="n">
        <v>0</v>
      </c>
      <c r="H436" s="45" t="b">
        <f aca="false">FALSE()</f>
        <v>0</v>
      </c>
      <c r="I436" s="43" t="n">
        <v>4</v>
      </c>
      <c r="J436" s="33" t="str">
        <f aca="false">INDEX(Lookups_Metadata!$E$4:$E$10, MATCH(I436, Lookups_Metadata!$D$4:$D$10, 0))</f>
        <v>Thursday</v>
      </c>
      <c r="K436" s="33" t="str">
        <f aca="false">IF(H436=TRUE(), "Holiday", IF(OR(I436=0, I436=6), "Weekend", "Weekday"))</f>
        <v>Weekday</v>
      </c>
      <c r="L436" s="33" t="str">
        <f aca="false">IF(AND(K436="Weekday", OR(AND(G436&gt;=7, G436&lt;=9), AND(G436&gt;=17, G436&lt;=19))), "Peak Commute", "Off-Peak")</f>
        <v>Off-Peak</v>
      </c>
      <c r="M436" s="43" t="n">
        <v>1</v>
      </c>
      <c r="N436" s="33" t="str">
        <f aca="false">VLOOKUP(M436, Lookups_Metadata!$G$4:$H$7, 2, FALSE())</f>
        <v>Clear / Few Clouds</v>
      </c>
      <c r="O436" s="46" t="n">
        <v>0.26</v>
      </c>
      <c r="P436" s="46" t="n">
        <v>0.2273</v>
      </c>
      <c r="Q436" s="46" t="n">
        <f aca="false">IF(OR(P436="", ISBLANK(P436)), ROUND(0.9367*O436+0.0175, 4), P436)</f>
        <v>0.2273</v>
      </c>
      <c r="R436" s="33" t="str">
        <f aca="false">IF(OR(P436="", ISBLANK(P436)), "Imputed (Regression/Trend)", "Original")</f>
        <v>Original</v>
      </c>
      <c r="S436" s="46" t="n">
        <v>0.56</v>
      </c>
      <c r="T436" s="46" t="n">
        <v>0.3881</v>
      </c>
      <c r="U436" s="18" t="n">
        <v>5</v>
      </c>
      <c r="V436" s="18" t="n">
        <v>8</v>
      </c>
      <c r="W436" s="18" t="n">
        <f aca="false">U436+V436</f>
        <v>13</v>
      </c>
      <c r="X436" s="47" t="n">
        <f aca="false">U436/W436</f>
        <v>0.384615384615385</v>
      </c>
      <c r="Y436" s="47" t="n">
        <f aca="false">V436/W436</f>
        <v>0.615384615384615</v>
      </c>
      <c r="Z436" s="33" t="str">
        <f aca="false">IF(W436&gt;=150, "High Demand", IF(W436&gt;=50, "Moderate Demand", "Low Demand"))</f>
        <v>Low Demand</v>
      </c>
      <c r="AA436" s="45" t="str">
        <f aca="false">TEXT(G436, "00") &amp; ":00"</f>
        <v>00:00</v>
      </c>
      <c r="AB436" s="43" t="n">
        <f aca="false">YEAR(B436)</f>
        <v>2011</v>
      </c>
      <c r="AC436" s="33" t="str">
        <f aca="false">TEXT(B436, "mmmm")</f>
        <v>January</v>
      </c>
      <c r="AD436" s="43" t="n">
        <f aca="false">LEN(TEXT(B436, "YYYY-MM-DD"))</f>
        <v>10</v>
      </c>
      <c r="AE436" s="45" t="str">
        <f aca="false">LEFT(TEXT(B436, "YYYY-MM-DD"), 4)</f>
        <v>2011</v>
      </c>
      <c r="AF436" s="45" t="str">
        <f aca="false">RIGHT(TEXT(B436, "YYYY-MM-DD"), 2)</f>
        <v>20</v>
      </c>
    </row>
    <row r="437" customFormat="false" ht="15" hidden="false" customHeight="false" outlineLevel="0" collapsed="false">
      <c r="A437" s="37" t="n">
        <v>433</v>
      </c>
      <c r="B437" s="38" t="s">
        <v>96</v>
      </c>
      <c r="C437" s="37" t="n">
        <v>1</v>
      </c>
      <c r="D437" s="35" t="str">
        <f aca="false">VLOOKUP(C437, Lookups_Metadata!$A$4:$B$7, 2, FALSE())</f>
        <v>Spring</v>
      </c>
      <c r="E437" s="37" t="n">
        <v>0</v>
      </c>
      <c r="F437" s="37" t="n">
        <v>1</v>
      </c>
      <c r="G437" s="37" t="n">
        <v>1</v>
      </c>
      <c r="H437" s="39" t="b">
        <f aca="false">FALSE()</f>
        <v>0</v>
      </c>
      <c r="I437" s="37" t="n">
        <v>4</v>
      </c>
      <c r="J437" s="35" t="str">
        <f aca="false">INDEX(Lookups_Metadata!$E$4:$E$10, MATCH(I437, Lookups_Metadata!$D$4:$D$10, 0))</f>
        <v>Thursday</v>
      </c>
      <c r="K437" s="35" t="str">
        <f aca="false">IF(H437=TRUE(), "Holiday", IF(OR(I437=0, I437=6), "Weekend", "Weekday"))</f>
        <v>Weekday</v>
      </c>
      <c r="L437" s="35" t="str">
        <f aca="false">IF(AND(K437="Weekday", OR(AND(G437&gt;=7, G437&lt;=9), AND(G437&gt;=17, G437&lt;=19))), "Peak Commute", "Off-Peak")</f>
        <v>Off-Peak</v>
      </c>
      <c r="M437" s="37" t="n">
        <v>1</v>
      </c>
      <c r="N437" s="35" t="str">
        <f aca="false">VLOOKUP(M437, Lookups_Metadata!$G$4:$H$7, 2, FALSE())</f>
        <v>Clear / Few Clouds</v>
      </c>
      <c r="O437" s="40" t="n">
        <v>0.26</v>
      </c>
      <c r="P437" s="40" t="n">
        <v>0.2727</v>
      </c>
      <c r="Q437" s="40" t="n">
        <f aca="false">IF(OR(P437="", ISBLANK(P437)), ROUND(0.9367*O437+0.0175, 4), P437)</f>
        <v>0.2727</v>
      </c>
      <c r="R437" s="35" t="str">
        <f aca="false">IF(OR(P437="", ISBLANK(P437)), "Imputed (Regression/Trend)", "Original")</f>
        <v>Original</v>
      </c>
      <c r="S437" s="40" t="n">
        <v>0.56</v>
      </c>
      <c r="T437" s="40" t="n">
        <v>0</v>
      </c>
      <c r="U437" s="41" t="n">
        <v>2</v>
      </c>
      <c r="V437" s="41" t="n">
        <v>3</v>
      </c>
      <c r="W437" s="41" t="n">
        <f aca="false">U437+V437</f>
        <v>5</v>
      </c>
      <c r="X437" s="42" t="n">
        <f aca="false">U437/W437</f>
        <v>0.4</v>
      </c>
      <c r="Y437" s="42" t="n">
        <f aca="false">V437/W437</f>
        <v>0.6</v>
      </c>
      <c r="Z437" s="35" t="str">
        <f aca="false">IF(W437&gt;=150, "High Demand", IF(W437&gt;=50, "Moderate Demand", "Low Demand"))</f>
        <v>Low Demand</v>
      </c>
      <c r="AA437" s="39" t="str">
        <f aca="false">TEXT(G437, "00") &amp; ":00"</f>
        <v>01:00</v>
      </c>
      <c r="AB437" s="37" t="n">
        <f aca="false">YEAR(B437)</f>
        <v>2011</v>
      </c>
      <c r="AC437" s="35" t="str">
        <f aca="false">TEXT(B437, "mmmm")</f>
        <v>January</v>
      </c>
      <c r="AD437" s="37" t="n">
        <f aca="false">LEN(TEXT(B437, "YYYY-MM-DD"))</f>
        <v>10</v>
      </c>
      <c r="AE437" s="39" t="str">
        <f aca="false">LEFT(TEXT(B437, "YYYY-MM-DD"), 4)</f>
        <v>2011</v>
      </c>
      <c r="AF437" s="39" t="str">
        <f aca="false">RIGHT(TEXT(B437, "YYYY-MM-DD"), 2)</f>
        <v>20</v>
      </c>
    </row>
    <row r="438" customFormat="false" ht="15" hidden="false" customHeight="false" outlineLevel="0" collapsed="false">
      <c r="A438" s="43" t="n">
        <v>434</v>
      </c>
      <c r="B438" s="44" t="s">
        <v>96</v>
      </c>
      <c r="C438" s="43" t="n">
        <v>1</v>
      </c>
      <c r="D438" s="33" t="str">
        <f aca="false">VLOOKUP(C438, Lookups_Metadata!$A$4:$B$7, 2, FALSE())</f>
        <v>Spring</v>
      </c>
      <c r="E438" s="43" t="n">
        <v>0</v>
      </c>
      <c r="F438" s="43" t="n">
        <v>1</v>
      </c>
      <c r="G438" s="43" t="n">
        <v>2</v>
      </c>
      <c r="H438" s="45" t="b">
        <f aca="false">FALSE()</f>
        <v>0</v>
      </c>
      <c r="I438" s="43" t="n">
        <v>4</v>
      </c>
      <c r="J438" s="33" t="str">
        <f aca="false">INDEX(Lookups_Metadata!$E$4:$E$10, MATCH(I438, Lookups_Metadata!$D$4:$D$10, 0))</f>
        <v>Thursday</v>
      </c>
      <c r="K438" s="33" t="str">
        <f aca="false">IF(H438=TRUE(), "Holiday", IF(OR(I438=0, I438=6), "Weekend", "Weekday"))</f>
        <v>Weekday</v>
      </c>
      <c r="L438" s="33" t="str">
        <f aca="false">IF(AND(K438="Weekday", OR(AND(G438&gt;=7, G438&lt;=9), AND(G438&gt;=17, G438&lt;=19))), "Peak Commute", "Off-Peak")</f>
        <v>Off-Peak</v>
      </c>
      <c r="M438" s="43" t="n">
        <v>1</v>
      </c>
      <c r="N438" s="33" t="str">
        <f aca="false">VLOOKUP(M438, Lookups_Metadata!$G$4:$H$7, 2, FALSE())</f>
        <v>Clear / Few Clouds</v>
      </c>
      <c r="O438" s="46" t="n">
        <v>0.26</v>
      </c>
      <c r="P438" s="46" t="n">
        <v>0.2727</v>
      </c>
      <c r="Q438" s="46" t="n">
        <f aca="false">IF(OR(P438="", ISBLANK(P438)), ROUND(0.9367*O438+0.0175, 4), P438)</f>
        <v>0.2727</v>
      </c>
      <c r="R438" s="33" t="str">
        <f aca="false">IF(OR(P438="", ISBLANK(P438)), "Imputed (Regression/Trend)", "Original")</f>
        <v>Original</v>
      </c>
      <c r="S438" s="46" t="n">
        <v>0.56</v>
      </c>
      <c r="T438" s="46" t="n">
        <v>0</v>
      </c>
      <c r="U438" s="18" t="n">
        <v>0</v>
      </c>
      <c r="V438" s="18" t="n">
        <v>2</v>
      </c>
      <c r="W438" s="18" t="n">
        <f aca="false">U438+V438</f>
        <v>2</v>
      </c>
      <c r="X438" s="47" t="n">
        <f aca="false">U438/W438</f>
        <v>0</v>
      </c>
      <c r="Y438" s="47" t="n">
        <f aca="false">V438/W438</f>
        <v>1</v>
      </c>
      <c r="Z438" s="33" t="str">
        <f aca="false">IF(W438&gt;=150, "High Demand", IF(W438&gt;=50, "Moderate Demand", "Low Demand"))</f>
        <v>Low Demand</v>
      </c>
      <c r="AA438" s="45" t="str">
        <f aca="false">TEXT(G438, "00") &amp; ":00"</f>
        <v>02:00</v>
      </c>
      <c r="AB438" s="43" t="n">
        <f aca="false">YEAR(B438)</f>
        <v>2011</v>
      </c>
      <c r="AC438" s="33" t="str">
        <f aca="false">TEXT(B438, "mmmm")</f>
        <v>January</v>
      </c>
      <c r="AD438" s="43" t="n">
        <f aca="false">LEN(TEXT(B438, "YYYY-MM-DD"))</f>
        <v>10</v>
      </c>
      <c r="AE438" s="45" t="str">
        <f aca="false">LEFT(TEXT(B438, "YYYY-MM-DD"), 4)</f>
        <v>2011</v>
      </c>
      <c r="AF438" s="45" t="str">
        <f aca="false">RIGHT(TEXT(B438, "YYYY-MM-DD"), 2)</f>
        <v>20</v>
      </c>
    </row>
    <row r="439" customFormat="false" ht="15" hidden="false" customHeight="false" outlineLevel="0" collapsed="false">
      <c r="A439" s="37" t="n">
        <v>435</v>
      </c>
      <c r="B439" s="38" t="s">
        <v>96</v>
      </c>
      <c r="C439" s="37" t="n">
        <v>1</v>
      </c>
      <c r="D439" s="35" t="str">
        <f aca="false">VLOOKUP(C439, Lookups_Metadata!$A$4:$B$7, 2, FALSE())</f>
        <v>Spring</v>
      </c>
      <c r="E439" s="37" t="n">
        <v>0</v>
      </c>
      <c r="F439" s="37" t="n">
        <v>1</v>
      </c>
      <c r="G439" s="37" t="n">
        <v>3</v>
      </c>
      <c r="H439" s="39" t="b">
        <f aca="false">FALSE()</f>
        <v>0</v>
      </c>
      <c r="I439" s="37" t="n">
        <v>4</v>
      </c>
      <c r="J439" s="35" t="str">
        <f aca="false">INDEX(Lookups_Metadata!$E$4:$E$10, MATCH(I439, Lookups_Metadata!$D$4:$D$10, 0))</f>
        <v>Thursday</v>
      </c>
      <c r="K439" s="35" t="str">
        <f aca="false">IF(H439=TRUE(), "Holiday", IF(OR(I439=0, I439=6), "Weekend", "Weekday"))</f>
        <v>Weekday</v>
      </c>
      <c r="L439" s="35" t="str">
        <f aca="false">IF(AND(K439="Weekday", OR(AND(G439&gt;=7, G439&lt;=9), AND(G439&gt;=17, G439&lt;=19))), "Peak Commute", "Off-Peak")</f>
        <v>Off-Peak</v>
      </c>
      <c r="M439" s="37" t="n">
        <v>1</v>
      </c>
      <c r="N439" s="35" t="str">
        <f aca="false">VLOOKUP(M439, Lookups_Metadata!$G$4:$H$7, 2, FALSE())</f>
        <v>Clear / Few Clouds</v>
      </c>
      <c r="O439" s="40" t="n">
        <v>0.26</v>
      </c>
      <c r="P439" s="40" t="n">
        <v>0.2576</v>
      </c>
      <c r="Q439" s="40" t="n">
        <f aca="false">IF(OR(P439="", ISBLANK(P439)), ROUND(0.9367*O439+0.0175, 4), P439)</f>
        <v>0.2576</v>
      </c>
      <c r="R439" s="35" t="str">
        <f aca="false">IF(OR(P439="", ISBLANK(P439)), "Imputed (Regression/Trend)", "Original")</f>
        <v>Original</v>
      </c>
      <c r="S439" s="40" t="n">
        <v>0.56</v>
      </c>
      <c r="T439" s="40" t="n">
        <v>0.1642</v>
      </c>
      <c r="U439" s="41" t="n">
        <v>0</v>
      </c>
      <c r="V439" s="41" t="n">
        <v>1</v>
      </c>
      <c r="W439" s="41" t="n">
        <f aca="false">U439+V439</f>
        <v>1</v>
      </c>
      <c r="X439" s="42" t="n">
        <f aca="false">U439/W439</f>
        <v>0</v>
      </c>
      <c r="Y439" s="42" t="n">
        <f aca="false">V439/W439</f>
        <v>1</v>
      </c>
      <c r="Z439" s="35" t="str">
        <f aca="false">IF(W439&gt;=150, "High Demand", IF(W439&gt;=50, "Moderate Demand", "Low Demand"))</f>
        <v>Low Demand</v>
      </c>
      <c r="AA439" s="39" t="str">
        <f aca="false">TEXT(G439, "00") &amp; ":00"</f>
        <v>03:00</v>
      </c>
      <c r="AB439" s="37" t="n">
        <f aca="false">YEAR(B439)</f>
        <v>2011</v>
      </c>
      <c r="AC439" s="35" t="str">
        <f aca="false">TEXT(B439, "mmmm")</f>
        <v>January</v>
      </c>
      <c r="AD439" s="37" t="n">
        <f aca="false">LEN(TEXT(B439, "YYYY-MM-DD"))</f>
        <v>10</v>
      </c>
      <c r="AE439" s="39" t="str">
        <f aca="false">LEFT(TEXT(B439, "YYYY-MM-DD"), 4)</f>
        <v>2011</v>
      </c>
      <c r="AF439" s="39" t="str">
        <f aca="false">RIGHT(TEXT(B439, "YYYY-MM-DD"), 2)</f>
        <v>20</v>
      </c>
    </row>
    <row r="440" customFormat="false" ht="15" hidden="false" customHeight="false" outlineLevel="0" collapsed="false">
      <c r="A440" s="43" t="n">
        <v>436</v>
      </c>
      <c r="B440" s="44" t="s">
        <v>96</v>
      </c>
      <c r="C440" s="43" t="n">
        <v>1</v>
      </c>
      <c r="D440" s="33" t="str">
        <f aca="false">VLOOKUP(C440, Lookups_Metadata!$A$4:$B$7, 2, FALSE())</f>
        <v>Spring</v>
      </c>
      <c r="E440" s="43" t="n">
        <v>0</v>
      </c>
      <c r="F440" s="43" t="n">
        <v>1</v>
      </c>
      <c r="G440" s="43" t="n">
        <v>4</v>
      </c>
      <c r="H440" s="45" t="b">
        <f aca="false">FALSE()</f>
        <v>0</v>
      </c>
      <c r="I440" s="43" t="n">
        <v>4</v>
      </c>
      <c r="J440" s="33" t="str">
        <f aca="false">INDEX(Lookups_Metadata!$E$4:$E$10, MATCH(I440, Lookups_Metadata!$D$4:$D$10, 0))</f>
        <v>Thursday</v>
      </c>
      <c r="K440" s="33" t="str">
        <f aca="false">IF(H440=TRUE(), "Holiday", IF(OR(I440=0, I440=6), "Weekend", "Weekday"))</f>
        <v>Weekday</v>
      </c>
      <c r="L440" s="33" t="str">
        <f aca="false">IF(AND(K440="Weekday", OR(AND(G440&gt;=7, G440&lt;=9), AND(G440&gt;=17, G440&lt;=19))), "Peak Commute", "Off-Peak")</f>
        <v>Off-Peak</v>
      </c>
      <c r="M440" s="43" t="n">
        <v>1</v>
      </c>
      <c r="N440" s="33" t="str">
        <f aca="false">VLOOKUP(M440, Lookups_Metadata!$G$4:$H$7, 2, FALSE())</f>
        <v>Clear / Few Clouds</v>
      </c>
      <c r="O440" s="46" t="n">
        <v>0.26</v>
      </c>
      <c r="P440" s="46" t="n">
        <v>0.2576</v>
      </c>
      <c r="Q440" s="46" t="n">
        <f aca="false">IF(OR(P440="", ISBLANK(P440)), ROUND(0.9367*O440+0.0175, 4), P440)</f>
        <v>0.2576</v>
      </c>
      <c r="R440" s="33" t="str">
        <f aca="false">IF(OR(P440="", ISBLANK(P440)), "Imputed (Regression/Trend)", "Original")</f>
        <v>Original</v>
      </c>
      <c r="S440" s="46" t="n">
        <v>0.56</v>
      </c>
      <c r="T440" s="46" t="n">
        <v>0.1642</v>
      </c>
      <c r="U440" s="18" t="n">
        <v>0</v>
      </c>
      <c r="V440" s="18" t="n">
        <v>1</v>
      </c>
      <c r="W440" s="18" t="n">
        <f aca="false">U440+V440</f>
        <v>1</v>
      </c>
      <c r="X440" s="47" t="n">
        <f aca="false">U440/W440</f>
        <v>0</v>
      </c>
      <c r="Y440" s="47" t="n">
        <f aca="false">V440/W440</f>
        <v>1</v>
      </c>
      <c r="Z440" s="33" t="str">
        <f aca="false">IF(W440&gt;=150, "High Demand", IF(W440&gt;=50, "Moderate Demand", "Low Demand"))</f>
        <v>Low Demand</v>
      </c>
      <c r="AA440" s="45" t="str">
        <f aca="false">TEXT(G440, "00") &amp; ":00"</f>
        <v>04:00</v>
      </c>
      <c r="AB440" s="43" t="n">
        <f aca="false">YEAR(B440)</f>
        <v>2011</v>
      </c>
      <c r="AC440" s="33" t="str">
        <f aca="false">TEXT(B440, "mmmm")</f>
        <v>January</v>
      </c>
      <c r="AD440" s="43" t="n">
        <f aca="false">LEN(TEXT(B440, "YYYY-MM-DD"))</f>
        <v>10</v>
      </c>
      <c r="AE440" s="45" t="str">
        <f aca="false">LEFT(TEXT(B440, "YYYY-MM-DD"), 4)</f>
        <v>2011</v>
      </c>
      <c r="AF440" s="45" t="str">
        <f aca="false">RIGHT(TEXT(B440, "YYYY-MM-DD"), 2)</f>
        <v>20</v>
      </c>
    </row>
    <row r="441" customFormat="false" ht="15" hidden="false" customHeight="false" outlineLevel="0" collapsed="false">
      <c r="A441" s="37" t="n">
        <v>437</v>
      </c>
      <c r="B441" s="38" t="s">
        <v>96</v>
      </c>
      <c r="C441" s="37" t="n">
        <v>1</v>
      </c>
      <c r="D441" s="35" t="str">
        <f aca="false">VLOOKUP(C441, Lookups_Metadata!$A$4:$B$7, 2, FALSE())</f>
        <v>Spring</v>
      </c>
      <c r="E441" s="37" t="n">
        <v>0</v>
      </c>
      <c r="F441" s="37" t="n">
        <v>1</v>
      </c>
      <c r="G441" s="37" t="n">
        <v>5</v>
      </c>
      <c r="H441" s="39" t="b">
        <f aca="false">FALSE()</f>
        <v>0</v>
      </c>
      <c r="I441" s="37" t="n">
        <v>4</v>
      </c>
      <c r="J441" s="35" t="str">
        <f aca="false">INDEX(Lookups_Metadata!$E$4:$E$10, MATCH(I441, Lookups_Metadata!$D$4:$D$10, 0))</f>
        <v>Thursday</v>
      </c>
      <c r="K441" s="35" t="str">
        <f aca="false">IF(H441=TRUE(), "Holiday", IF(OR(I441=0, I441=6), "Weekend", "Weekday"))</f>
        <v>Weekday</v>
      </c>
      <c r="L441" s="35" t="str">
        <f aca="false">IF(AND(K441="Weekday", OR(AND(G441&gt;=7, G441&lt;=9), AND(G441&gt;=17, G441&lt;=19))), "Peak Commute", "Off-Peak")</f>
        <v>Off-Peak</v>
      </c>
      <c r="M441" s="37" t="n">
        <v>1</v>
      </c>
      <c r="N441" s="35" t="str">
        <f aca="false">VLOOKUP(M441, Lookups_Metadata!$G$4:$H$7, 2, FALSE())</f>
        <v>Clear / Few Clouds</v>
      </c>
      <c r="O441" s="40" t="n">
        <v>0.24</v>
      </c>
      <c r="P441" s="40" t="n">
        <v>0.2273</v>
      </c>
      <c r="Q441" s="40" t="n">
        <f aca="false">IF(OR(P441="", ISBLANK(P441)), ROUND(0.9367*O441+0.0175, 4), P441)</f>
        <v>0.2273</v>
      </c>
      <c r="R441" s="35" t="str">
        <f aca="false">IF(OR(P441="", ISBLANK(P441)), "Imputed (Regression/Trend)", "Original")</f>
        <v>Original</v>
      </c>
      <c r="S441" s="40" t="n">
        <v>0.6</v>
      </c>
      <c r="T441" s="40" t="n">
        <v>0.2239</v>
      </c>
      <c r="U441" s="41" t="n">
        <v>0</v>
      </c>
      <c r="V441" s="41" t="n">
        <v>6</v>
      </c>
      <c r="W441" s="41" t="n">
        <f aca="false">U441+V441</f>
        <v>6</v>
      </c>
      <c r="X441" s="42" t="n">
        <f aca="false">U441/W441</f>
        <v>0</v>
      </c>
      <c r="Y441" s="42" t="n">
        <f aca="false">V441/W441</f>
        <v>1</v>
      </c>
      <c r="Z441" s="35" t="str">
        <f aca="false">IF(W441&gt;=150, "High Demand", IF(W441&gt;=50, "Moderate Demand", "Low Demand"))</f>
        <v>Low Demand</v>
      </c>
      <c r="AA441" s="39" t="str">
        <f aca="false">TEXT(G441, "00") &amp; ":00"</f>
        <v>05:00</v>
      </c>
      <c r="AB441" s="37" t="n">
        <f aca="false">YEAR(B441)</f>
        <v>2011</v>
      </c>
      <c r="AC441" s="35" t="str">
        <f aca="false">TEXT(B441, "mmmm")</f>
        <v>January</v>
      </c>
      <c r="AD441" s="37" t="n">
        <f aca="false">LEN(TEXT(B441, "YYYY-MM-DD"))</f>
        <v>10</v>
      </c>
      <c r="AE441" s="39" t="str">
        <f aca="false">LEFT(TEXT(B441, "YYYY-MM-DD"), 4)</f>
        <v>2011</v>
      </c>
      <c r="AF441" s="39" t="str">
        <f aca="false">RIGHT(TEXT(B441, "YYYY-MM-DD"), 2)</f>
        <v>20</v>
      </c>
    </row>
    <row r="442" customFormat="false" ht="15" hidden="false" customHeight="false" outlineLevel="0" collapsed="false">
      <c r="A442" s="43" t="n">
        <v>438</v>
      </c>
      <c r="B442" s="44" t="s">
        <v>96</v>
      </c>
      <c r="C442" s="43" t="n">
        <v>1</v>
      </c>
      <c r="D442" s="33" t="str">
        <f aca="false">VLOOKUP(C442, Lookups_Metadata!$A$4:$B$7, 2, FALSE())</f>
        <v>Spring</v>
      </c>
      <c r="E442" s="43" t="n">
        <v>0</v>
      </c>
      <c r="F442" s="43" t="n">
        <v>1</v>
      </c>
      <c r="G442" s="43" t="n">
        <v>6</v>
      </c>
      <c r="H442" s="45" t="b">
        <f aca="false">FALSE()</f>
        <v>0</v>
      </c>
      <c r="I442" s="43" t="n">
        <v>4</v>
      </c>
      <c r="J442" s="33" t="str">
        <f aca="false">INDEX(Lookups_Metadata!$E$4:$E$10, MATCH(I442, Lookups_Metadata!$D$4:$D$10, 0))</f>
        <v>Thursday</v>
      </c>
      <c r="K442" s="33" t="str">
        <f aca="false">IF(H442=TRUE(), "Holiday", IF(OR(I442=0, I442=6), "Weekend", "Weekday"))</f>
        <v>Weekday</v>
      </c>
      <c r="L442" s="33" t="str">
        <f aca="false">IF(AND(K442="Weekday", OR(AND(G442&gt;=7, G442&lt;=9), AND(G442&gt;=17, G442&lt;=19))), "Peak Commute", "Off-Peak")</f>
        <v>Off-Peak</v>
      </c>
      <c r="M442" s="43" t="n">
        <v>1</v>
      </c>
      <c r="N442" s="33" t="str">
        <f aca="false">VLOOKUP(M442, Lookups_Metadata!$G$4:$H$7, 2, FALSE())</f>
        <v>Clear / Few Clouds</v>
      </c>
      <c r="O442" s="46" t="n">
        <v>0.22</v>
      </c>
      <c r="P442" s="46" t="n">
        <v>0.2121</v>
      </c>
      <c r="Q442" s="46" t="n">
        <f aca="false">IF(OR(P442="", ISBLANK(P442)), ROUND(0.9367*O442+0.0175, 4), P442)</f>
        <v>0.2121</v>
      </c>
      <c r="R442" s="33" t="str">
        <f aca="false">IF(OR(P442="", ISBLANK(P442)), "Imputed (Regression/Trend)", "Original")</f>
        <v>Original</v>
      </c>
      <c r="S442" s="46" t="n">
        <v>0.6</v>
      </c>
      <c r="T442" s="46" t="n">
        <v>0.2239</v>
      </c>
      <c r="U442" s="18" t="n">
        <v>0</v>
      </c>
      <c r="V442" s="18" t="n">
        <v>35</v>
      </c>
      <c r="W442" s="18" t="n">
        <f aca="false">U442+V442</f>
        <v>35</v>
      </c>
      <c r="X442" s="47" t="n">
        <f aca="false">U442/W442</f>
        <v>0</v>
      </c>
      <c r="Y442" s="47" t="n">
        <f aca="false">V442/W442</f>
        <v>1</v>
      </c>
      <c r="Z442" s="33" t="str">
        <f aca="false">IF(W442&gt;=150, "High Demand", IF(W442&gt;=50, "Moderate Demand", "Low Demand"))</f>
        <v>Low Demand</v>
      </c>
      <c r="AA442" s="45" t="str">
        <f aca="false">TEXT(G442, "00") &amp; ":00"</f>
        <v>06:00</v>
      </c>
      <c r="AB442" s="43" t="n">
        <f aca="false">YEAR(B442)</f>
        <v>2011</v>
      </c>
      <c r="AC442" s="33" t="str">
        <f aca="false">TEXT(B442, "mmmm")</f>
        <v>January</v>
      </c>
      <c r="AD442" s="43" t="n">
        <f aca="false">LEN(TEXT(B442, "YYYY-MM-DD"))</f>
        <v>10</v>
      </c>
      <c r="AE442" s="45" t="str">
        <f aca="false">LEFT(TEXT(B442, "YYYY-MM-DD"), 4)</f>
        <v>2011</v>
      </c>
      <c r="AF442" s="45" t="str">
        <f aca="false">RIGHT(TEXT(B442, "YYYY-MM-DD"), 2)</f>
        <v>20</v>
      </c>
    </row>
    <row r="443" customFormat="false" ht="15" hidden="false" customHeight="false" outlineLevel="0" collapsed="false">
      <c r="A443" s="37" t="n">
        <v>439</v>
      </c>
      <c r="B443" s="38" t="s">
        <v>96</v>
      </c>
      <c r="C443" s="37" t="n">
        <v>1</v>
      </c>
      <c r="D443" s="35" t="str">
        <f aca="false">VLOOKUP(C443, Lookups_Metadata!$A$4:$B$7, 2, FALSE())</f>
        <v>Spring</v>
      </c>
      <c r="E443" s="37" t="n">
        <v>0</v>
      </c>
      <c r="F443" s="37" t="n">
        <v>1</v>
      </c>
      <c r="G443" s="37" t="n">
        <v>7</v>
      </c>
      <c r="H443" s="39" t="b">
        <f aca="false">FALSE()</f>
        <v>0</v>
      </c>
      <c r="I443" s="37" t="n">
        <v>4</v>
      </c>
      <c r="J443" s="35" t="str">
        <f aca="false">INDEX(Lookups_Metadata!$E$4:$E$10, MATCH(I443, Lookups_Metadata!$D$4:$D$10, 0))</f>
        <v>Thursday</v>
      </c>
      <c r="K443" s="35" t="str">
        <f aca="false">IF(H443=TRUE(), "Holiday", IF(OR(I443=0, I443=6), "Weekend", "Weekday"))</f>
        <v>Weekday</v>
      </c>
      <c r="L443" s="35" t="str">
        <f aca="false">IF(AND(K443="Weekday", OR(AND(G443&gt;=7, G443&lt;=9), AND(G443&gt;=17, G443&lt;=19))), "Peak Commute", "Off-Peak")</f>
        <v>Peak Commute</v>
      </c>
      <c r="M443" s="37" t="n">
        <v>1</v>
      </c>
      <c r="N443" s="35" t="str">
        <f aca="false">VLOOKUP(M443, Lookups_Metadata!$G$4:$H$7, 2, FALSE())</f>
        <v>Clear / Few Clouds</v>
      </c>
      <c r="O443" s="40" t="n">
        <v>0.22</v>
      </c>
      <c r="P443" s="40" t="n">
        <v>0.2121</v>
      </c>
      <c r="Q443" s="40" t="n">
        <f aca="false">IF(OR(P443="", ISBLANK(P443)), ROUND(0.9367*O443+0.0175, 4), P443)</f>
        <v>0.2121</v>
      </c>
      <c r="R443" s="35" t="str">
        <f aca="false">IF(OR(P443="", ISBLANK(P443)), "Imputed (Regression/Trend)", "Original")</f>
        <v>Original</v>
      </c>
      <c r="S443" s="40" t="n">
        <v>0.55</v>
      </c>
      <c r="T443" s="40" t="n">
        <v>0.2239</v>
      </c>
      <c r="U443" s="41" t="n">
        <v>1</v>
      </c>
      <c r="V443" s="41" t="n">
        <v>100</v>
      </c>
      <c r="W443" s="41" t="n">
        <f aca="false">U443+V443</f>
        <v>101</v>
      </c>
      <c r="X443" s="42" t="n">
        <f aca="false">U443/W443</f>
        <v>0.0099009900990099</v>
      </c>
      <c r="Y443" s="42" t="n">
        <f aca="false">V443/W443</f>
        <v>0.99009900990099</v>
      </c>
      <c r="Z443" s="35" t="str">
        <f aca="false">IF(W443&gt;=150, "High Demand", IF(W443&gt;=50, "Moderate Demand", "Low Demand"))</f>
        <v>Moderate Demand</v>
      </c>
      <c r="AA443" s="39" t="str">
        <f aca="false">TEXT(G443, "00") &amp; ":00"</f>
        <v>07:00</v>
      </c>
      <c r="AB443" s="37" t="n">
        <f aca="false">YEAR(B443)</f>
        <v>2011</v>
      </c>
      <c r="AC443" s="35" t="str">
        <f aca="false">TEXT(B443, "mmmm")</f>
        <v>January</v>
      </c>
      <c r="AD443" s="37" t="n">
        <f aca="false">LEN(TEXT(B443, "YYYY-MM-DD"))</f>
        <v>10</v>
      </c>
      <c r="AE443" s="39" t="str">
        <f aca="false">LEFT(TEXT(B443, "YYYY-MM-DD"), 4)</f>
        <v>2011</v>
      </c>
      <c r="AF443" s="39" t="str">
        <f aca="false">RIGHT(TEXT(B443, "YYYY-MM-DD"), 2)</f>
        <v>20</v>
      </c>
    </row>
    <row r="444" customFormat="false" ht="15" hidden="false" customHeight="false" outlineLevel="0" collapsed="false">
      <c r="A444" s="43" t="n">
        <v>440</v>
      </c>
      <c r="B444" s="44" t="s">
        <v>96</v>
      </c>
      <c r="C444" s="43" t="n">
        <v>1</v>
      </c>
      <c r="D444" s="33" t="str">
        <f aca="false">VLOOKUP(C444, Lookups_Metadata!$A$4:$B$7, 2, FALSE())</f>
        <v>Spring</v>
      </c>
      <c r="E444" s="43" t="n">
        <v>0</v>
      </c>
      <c r="F444" s="43" t="n">
        <v>1</v>
      </c>
      <c r="G444" s="43" t="n">
        <v>8</v>
      </c>
      <c r="H444" s="45" t="b">
        <f aca="false">FALSE()</f>
        <v>0</v>
      </c>
      <c r="I444" s="43" t="n">
        <v>4</v>
      </c>
      <c r="J444" s="33" t="str">
        <f aca="false">INDEX(Lookups_Metadata!$E$4:$E$10, MATCH(I444, Lookups_Metadata!$D$4:$D$10, 0))</f>
        <v>Thursday</v>
      </c>
      <c r="K444" s="33" t="str">
        <f aca="false">IF(H444=TRUE(), "Holiday", IF(OR(I444=0, I444=6), "Weekend", "Weekday"))</f>
        <v>Weekday</v>
      </c>
      <c r="L444" s="33" t="str">
        <f aca="false">IF(AND(K444="Weekday", OR(AND(G444&gt;=7, G444&lt;=9), AND(G444&gt;=17, G444&lt;=19))), "Peak Commute", "Off-Peak")</f>
        <v>Peak Commute</v>
      </c>
      <c r="M444" s="43" t="n">
        <v>1</v>
      </c>
      <c r="N444" s="33" t="str">
        <f aca="false">VLOOKUP(M444, Lookups_Metadata!$G$4:$H$7, 2, FALSE())</f>
        <v>Clear / Few Clouds</v>
      </c>
      <c r="O444" s="46" t="n">
        <v>0.22</v>
      </c>
      <c r="P444" s="46" t="n">
        <v>0.2121</v>
      </c>
      <c r="Q444" s="46" t="n">
        <f aca="false">IF(OR(P444="", ISBLANK(P444)), ROUND(0.9367*O444+0.0175, 4), P444)</f>
        <v>0.2121</v>
      </c>
      <c r="R444" s="33" t="str">
        <f aca="false">IF(OR(P444="", ISBLANK(P444)), "Imputed (Regression/Trend)", "Original")</f>
        <v>Original</v>
      </c>
      <c r="S444" s="46" t="n">
        <v>0.55</v>
      </c>
      <c r="T444" s="46" t="n">
        <v>0.2836</v>
      </c>
      <c r="U444" s="18" t="n">
        <v>2</v>
      </c>
      <c r="V444" s="18" t="n">
        <v>247</v>
      </c>
      <c r="W444" s="18" t="n">
        <f aca="false">U444+V444</f>
        <v>249</v>
      </c>
      <c r="X444" s="47" t="n">
        <f aca="false">U444/W444</f>
        <v>0.00803212851405622</v>
      </c>
      <c r="Y444" s="47" t="n">
        <f aca="false">V444/W444</f>
        <v>0.991967871485944</v>
      </c>
      <c r="Z444" s="33" t="str">
        <f aca="false">IF(W444&gt;=150, "High Demand", IF(W444&gt;=50, "Moderate Demand", "Low Demand"))</f>
        <v>High Demand</v>
      </c>
      <c r="AA444" s="45" t="str">
        <f aca="false">TEXT(G444, "00") &amp; ":00"</f>
        <v>08:00</v>
      </c>
      <c r="AB444" s="43" t="n">
        <f aca="false">YEAR(B444)</f>
        <v>2011</v>
      </c>
      <c r="AC444" s="33" t="str">
        <f aca="false">TEXT(B444, "mmmm")</f>
        <v>January</v>
      </c>
      <c r="AD444" s="43" t="n">
        <f aca="false">LEN(TEXT(B444, "YYYY-MM-DD"))</f>
        <v>10</v>
      </c>
      <c r="AE444" s="45" t="str">
        <f aca="false">LEFT(TEXT(B444, "YYYY-MM-DD"), 4)</f>
        <v>2011</v>
      </c>
      <c r="AF444" s="45" t="str">
        <f aca="false">RIGHT(TEXT(B444, "YYYY-MM-DD"), 2)</f>
        <v>20</v>
      </c>
    </row>
    <row r="445" customFormat="false" ht="15" hidden="false" customHeight="false" outlineLevel="0" collapsed="false">
      <c r="A445" s="37" t="n">
        <v>441</v>
      </c>
      <c r="B445" s="38" t="s">
        <v>96</v>
      </c>
      <c r="C445" s="37" t="n">
        <v>1</v>
      </c>
      <c r="D445" s="35" t="str">
        <f aca="false">VLOOKUP(C445, Lookups_Metadata!$A$4:$B$7, 2, FALSE())</f>
        <v>Spring</v>
      </c>
      <c r="E445" s="37" t="n">
        <v>0</v>
      </c>
      <c r="F445" s="37" t="n">
        <v>1</v>
      </c>
      <c r="G445" s="37" t="n">
        <v>9</v>
      </c>
      <c r="H445" s="39" t="b">
        <f aca="false">FALSE()</f>
        <v>0</v>
      </c>
      <c r="I445" s="37" t="n">
        <v>4</v>
      </c>
      <c r="J445" s="35" t="str">
        <f aca="false">INDEX(Lookups_Metadata!$E$4:$E$10, MATCH(I445, Lookups_Metadata!$D$4:$D$10, 0))</f>
        <v>Thursday</v>
      </c>
      <c r="K445" s="35" t="str">
        <f aca="false">IF(H445=TRUE(), "Holiday", IF(OR(I445=0, I445=6), "Weekend", "Weekday"))</f>
        <v>Weekday</v>
      </c>
      <c r="L445" s="35" t="str">
        <f aca="false">IF(AND(K445="Weekday", OR(AND(G445&gt;=7, G445&lt;=9), AND(G445&gt;=17, G445&lt;=19))), "Peak Commute", "Off-Peak")</f>
        <v>Peak Commute</v>
      </c>
      <c r="M445" s="37" t="n">
        <v>2</v>
      </c>
      <c r="N445" s="35" t="str">
        <f aca="false">VLOOKUP(M445, Lookups_Metadata!$G$4:$H$7, 2, FALSE())</f>
        <v>Mist / Cloudy</v>
      </c>
      <c r="O445" s="40" t="n">
        <v>0.24</v>
      </c>
      <c r="P445" s="40" t="n">
        <v>0.2273</v>
      </c>
      <c r="Q445" s="40" t="n">
        <f aca="false">IF(OR(P445="", ISBLANK(P445)), ROUND(0.9367*O445+0.0175, 4), P445)</f>
        <v>0.2273</v>
      </c>
      <c r="R445" s="35" t="str">
        <f aca="false">IF(OR(P445="", ISBLANK(P445)), "Imputed (Regression/Trend)", "Original")</f>
        <v>Original</v>
      </c>
      <c r="S445" s="40" t="n">
        <v>0.52</v>
      </c>
      <c r="T445" s="40" t="n">
        <v>0.2239</v>
      </c>
      <c r="U445" s="41" t="n">
        <v>3</v>
      </c>
      <c r="V445" s="41" t="n">
        <v>140</v>
      </c>
      <c r="W445" s="41" t="n">
        <f aca="false">U445+V445</f>
        <v>143</v>
      </c>
      <c r="X445" s="42" t="n">
        <f aca="false">U445/W445</f>
        <v>0.020979020979021</v>
      </c>
      <c r="Y445" s="42" t="n">
        <f aca="false">V445/W445</f>
        <v>0.979020979020979</v>
      </c>
      <c r="Z445" s="35" t="str">
        <f aca="false">IF(W445&gt;=150, "High Demand", IF(W445&gt;=50, "Moderate Demand", "Low Demand"))</f>
        <v>Moderate Demand</v>
      </c>
      <c r="AA445" s="39" t="str">
        <f aca="false">TEXT(G445, "00") &amp; ":00"</f>
        <v>09:00</v>
      </c>
      <c r="AB445" s="37" t="n">
        <f aca="false">YEAR(B445)</f>
        <v>2011</v>
      </c>
      <c r="AC445" s="35" t="str">
        <f aca="false">TEXT(B445, "mmmm")</f>
        <v>January</v>
      </c>
      <c r="AD445" s="37" t="n">
        <f aca="false">LEN(TEXT(B445, "YYYY-MM-DD"))</f>
        <v>10</v>
      </c>
      <c r="AE445" s="39" t="str">
        <f aca="false">LEFT(TEXT(B445, "YYYY-MM-DD"), 4)</f>
        <v>2011</v>
      </c>
      <c r="AF445" s="39" t="str">
        <f aca="false">RIGHT(TEXT(B445, "YYYY-MM-DD"), 2)</f>
        <v>20</v>
      </c>
    </row>
    <row r="446" customFormat="false" ht="15" hidden="false" customHeight="false" outlineLevel="0" collapsed="false">
      <c r="A446" s="43" t="n">
        <v>442</v>
      </c>
      <c r="B446" s="44" t="s">
        <v>96</v>
      </c>
      <c r="C446" s="43" t="n">
        <v>1</v>
      </c>
      <c r="D446" s="33" t="str">
        <f aca="false">VLOOKUP(C446, Lookups_Metadata!$A$4:$B$7, 2, FALSE())</f>
        <v>Spring</v>
      </c>
      <c r="E446" s="43" t="n">
        <v>0</v>
      </c>
      <c r="F446" s="43" t="n">
        <v>1</v>
      </c>
      <c r="G446" s="43" t="n">
        <v>10</v>
      </c>
      <c r="H446" s="45" t="b">
        <f aca="false">FALSE()</f>
        <v>0</v>
      </c>
      <c r="I446" s="43" t="n">
        <v>4</v>
      </c>
      <c r="J446" s="33" t="str">
        <f aca="false">INDEX(Lookups_Metadata!$E$4:$E$10, MATCH(I446, Lookups_Metadata!$D$4:$D$10, 0))</f>
        <v>Thursday</v>
      </c>
      <c r="K446" s="33" t="str">
        <f aca="false">IF(H446=TRUE(), "Holiday", IF(OR(I446=0, I446=6), "Weekend", "Weekday"))</f>
        <v>Weekday</v>
      </c>
      <c r="L446" s="33" t="str">
        <f aca="false">IF(AND(K446="Weekday", OR(AND(G446&gt;=7, G446&lt;=9), AND(G446&gt;=17, G446&lt;=19))), "Peak Commute", "Off-Peak")</f>
        <v>Off-Peak</v>
      </c>
      <c r="M446" s="43" t="n">
        <v>1</v>
      </c>
      <c r="N446" s="33" t="str">
        <f aca="false">VLOOKUP(M446, Lookups_Metadata!$G$4:$H$7, 2, FALSE())</f>
        <v>Clear / Few Clouds</v>
      </c>
      <c r="O446" s="46" t="n">
        <v>0.26</v>
      </c>
      <c r="P446" s="46" t="n">
        <v>0.2273</v>
      </c>
      <c r="Q446" s="46" t="n">
        <f aca="false">IF(OR(P446="", ISBLANK(P446)), ROUND(0.9367*O446+0.0175, 4), P446)</f>
        <v>0.2273</v>
      </c>
      <c r="R446" s="33" t="str">
        <f aca="false">IF(OR(P446="", ISBLANK(P446)), "Imputed (Regression/Trend)", "Original")</f>
        <v>Original</v>
      </c>
      <c r="S446" s="46" t="n">
        <v>0.48</v>
      </c>
      <c r="T446" s="46" t="n">
        <v>0.2985</v>
      </c>
      <c r="U446" s="18" t="n">
        <v>1</v>
      </c>
      <c r="V446" s="18" t="n">
        <v>56</v>
      </c>
      <c r="W446" s="18" t="n">
        <f aca="false">U446+V446</f>
        <v>57</v>
      </c>
      <c r="X446" s="47" t="n">
        <f aca="false">U446/W446</f>
        <v>0.0175438596491228</v>
      </c>
      <c r="Y446" s="47" t="n">
        <f aca="false">V446/W446</f>
        <v>0.982456140350877</v>
      </c>
      <c r="Z446" s="33" t="str">
        <f aca="false">IF(W446&gt;=150, "High Demand", IF(W446&gt;=50, "Moderate Demand", "Low Demand"))</f>
        <v>Moderate Demand</v>
      </c>
      <c r="AA446" s="45" t="str">
        <f aca="false">TEXT(G446, "00") &amp; ":00"</f>
        <v>10:00</v>
      </c>
      <c r="AB446" s="43" t="n">
        <f aca="false">YEAR(B446)</f>
        <v>2011</v>
      </c>
      <c r="AC446" s="33" t="str">
        <f aca="false">TEXT(B446, "mmmm")</f>
        <v>January</v>
      </c>
      <c r="AD446" s="43" t="n">
        <f aca="false">LEN(TEXT(B446, "YYYY-MM-DD"))</f>
        <v>10</v>
      </c>
      <c r="AE446" s="45" t="str">
        <f aca="false">LEFT(TEXT(B446, "YYYY-MM-DD"), 4)</f>
        <v>2011</v>
      </c>
      <c r="AF446" s="45" t="str">
        <f aca="false">RIGHT(TEXT(B446, "YYYY-MM-DD"), 2)</f>
        <v>20</v>
      </c>
    </row>
    <row r="447" customFormat="false" ht="15" hidden="false" customHeight="false" outlineLevel="0" collapsed="false">
      <c r="A447" s="37" t="n">
        <v>443</v>
      </c>
      <c r="B447" s="38" t="s">
        <v>96</v>
      </c>
      <c r="C447" s="37" t="n">
        <v>1</v>
      </c>
      <c r="D447" s="35" t="str">
        <f aca="false">VLOOKUP(C447, Lookups_Metadata!$A$4:$B$7, 2, FALSE())</f>
        <v>Spring</v>
      </c>
      <c r="E447" s="37" t="n">
        <v>0</v>
      </c>
      <c r="F447" s="37" t="n">
        <v>1</v>
      </c>
      <c r="G447" s="37" t="n">
        <v>11</v>
      </c>
      <c r="H447" s="39" t="b">
        <f aca="false">FALSE()</f>
        <v>0</v>
      </c>
      <c r="I447" s="37" t="n">
        <v>4</v>
      </c>
      <c r="J447" s="35" t="str">
        <f aca="false">INDEX(Lookups_Metadata!$E$4:$E$10, MATCH(I447, Lookups_Metadata!$D$4:$D$10, 0))</f>
        <v>Thursday</v>
      </c>
      <c r="K447" s="35" t="str">
        <f aca="false">IF(H447=TRUE(), "Holiday", IF(OR(I447=0, I447=6), "Weekend", "Weekday"))</f>
        <v>Weekday</v>
      </c>
      <c r="L447" s="35" t="str">
        <f aca="false">IF(AND(K447="Weekday", OR(AND(G447&gt;=7, G447&lt;=9), AND(G447&gt;=17, G447&lt;=19))), "Peak Commute", "Off-Peak")</f>
        <v>Off-Peak</v>
      </c>
      <c r="M447" s="37" t="n">
        <v>2</v>
      </c>
      <c r="N447" s="35" t="str">
        <f aca="false">VLOOKUP(M447, Lookups_Metadata!$G$4:$H$7, 2, FALSE())</f>
        <v>Mist / Cloudy</v>
      </c>
      <c r="O447" s="40" t="n">
        <v>0.28</v>
      </c>
      <c r="P447" s="40" t="n">
        <v>0.2727</v>
      </c>
      <c r="Q447" s="40" t="n">
        <f aca="false">IF(OR(P447="", ISBLANK(P447)), ROUND(0.9367*O447+0.0175, 4), P447)</f>
        <v>0.2727</v>
      </c>
      <c r="R447" s="35" t="str">
        <f aca="false">IF(OR(P447="", ISBLANK(P447)), "Imputed (Regression/Trend)", "Original")</f>
        <v>Original</v>
      </c>
      <c r="S447" s="40" t="n">
        <v>0.45</v>
      </c>
      <c r="T447" s="40" t="n">
        <v>0.1642</v>
      </c>
      <c r="U447" s="41" t="n">
        <v>5</v>
      </c>
      <c r="V447" s="41" t="n">
        <v>63</v>
      </c>
      <c r="W447" s="41" t="n">
        <f aca="false">U447+V447</f>
        <v>68</v>
      </c>
      <c r="X447" s="42" t="n">
        <f aca="false">U447/W447</f>
        <v>0.0735294117647059</v>
      </c>
      <c r="Y447" s="42" t="n">
        <f aca="false">V447/W447</f>
        <v>0.926470588235294</v>
      </c>
      <c r="Z447" s="35" t="str">
        <f aca="false">IF(W447&gt;=150, "High Demand", IF(W447&gt;=50, "Moderate Demand", "Low Demand"))</f>
        <v>Moderate Demand</v>
      </c>
      <c r="AA447" s="39" t="str">
        <f aca="false">TEXT(G447, "00") &amp; ":00"</f>
        <v>11:00</v>
      </c>
      <c r="AB447" s="37" t="n">
        <f aca="false">YEAR(B447)</f>
        <v>2011</v>
      </c>
      <c r="AC447" s="35" t="str">
        <f aca="false">TEXT(B447, "mmmm")</f>
        <v>January</v>
      </c>
      <c r="AD447" s="37" t="n">
        <f aca="false">LEN(TEXT(B447, "YYYY-MM-DD"))</f>
        <v>10</v>
      </c>
      <c r="AE447" s="39" t="str">
        <f aca="false">LEFT(TEXT(B447, "YYYY-MM-DD"), 4)</f>
        <v>2011</v>
      </c>
      <c r="AF447" s="39" t="str">
        <f aca="false">RIGHT(TEXT(B447, "YYYY-MM-DD"), 2)</f>
        <v>20</v>
      </c>
    </row>
    <row r="448" customFormat="false" ht="15" hidden="false" customHeight="false" outlineLevel="0" collapsed="false">
      <c r="A448" s="43" t="n">
        <v>444</v>
      </c>
      <c r="B448" s="44" t="s">
        <v>96</v>
      </c>
      <c r="C448" s="43" t="n">
        <v>1</v>
      </c>
      <c r="D448" s="33" t="str">
        <f aca="false">VLOOKUP(C448, Lookups_Metadata!$A$4:$B$7, 2, FALSE())</f>
        <v>Spring</v>
      </c>
      <c r="E448" s="43" t="n">
        <v>0</v>
      </c>
      <c r="F448" s="43" t="n">
        <v>1</v>
      </c>
      <c r="G448" s="43" t="n">
        <v>12</v>
      </c>
      <c r="H448" s="45" t="b">
        <f aca="false">FALSE()</f>
        <v>0</v>
      </c>
      <c r="I448" s="43" t="n">
        <v>4</v>
      </c>
      <c r="J448" s="33" t="str">
        <f aca="false">INDEX(Lookups_Metadata!$E$4:$E$10, MATCH(I448, Lookups_Metadata!$D$4:$D$10, 0))</f>
        <v>Thursday</v>
      </c>
      <c r="K448" s="33" t="str">
        <f aca="false">IF(H448=TRUE(), "Holiday", IF(OR(I448=0, I448=6), "Weekend", "Weekday"))</f>
        <v>Weekday</v>
      </c>
      <c r="L448" s="33" t="str">
        <f aca="false">IF(AND(K448="Weekday", OR(AND(G448&gt;=7, G448&lt;=9), AND(G448&gt;=17, G448&lt;=19))), "Peak Commute", "Off-Peak")</f>
        <v>Off-Peak</v>
      </c>
      <c r="M448" s="43" t="n">
        <v>2</v>
      </c>
      <c r="N448" s="33" t="str">
        <f aca="false">VLOOKUP(M448, Lookups_Metadata!$G$4:$H$7, 2, FALSE())</f>
        <v>Mist / Cloudy</v>
      </c>
      <c r="O448" s="46" t="n">
        <v>0.3</v>
      </c>
      <c r="P448" s="46" t="n">
        <v>0.3333</v>
      </c>
      <c r="Q448" s="46" t="n">
        <f aca="false">IF(OR(P448="", ISBLANK(P448)), ROUND(0.9367*O448+0.0175, 4), P448)</f>
        <v>0.3333</v>
      </c>
      <c r="R448" s="33" t="str">
        <f aca="false">IF(OR(P448="", ISBLANK(P448)), "Imputed (Regression/Trend)", "Original")</f>
        <v>Original</v>
      </c>
      <c r="S448" s="46" t="n">
        <v>0.42</v>
      </c>
      <c r="T448" s="46" t="n">
        <v>0</v>
      </c>
      <c r="U448" s="18" t="n">
        <v>7</v>
      </c>
      <c r="V448" s="18" t="n">
        <v>77</v>
      </c>
      <c r="W448" s="18" t="n">
        <f aca="false">U448+V448</f>
        <v>84</v>
      </c>
      <c r="X448" s="47" t="n">
        <f aca="false">U448/W448</f>
        <v>0.0833333333333333</v>
      </c>
      <c r="Y448" s="47" t="n">
        <f aca="false">V448/W448</f>
        <v>0.916666666666667</v>
      </c>
      <c r="Z448" s="33" t="str">
        <f aca="false">IF(W448&gt;=150, "High Demand", IF(W448&gt;=50, "Moderate Demand", "Low Demand"))</f>
        <v>Moderate Demand</v>
      </c>
      <c r="AA448" s="45" t="str">
        <f aca="false">TEXT(G448, "00") &amp; ":00"</f>
        <v>12:00</v>
      </c>
      <c r="AB448" s="43" t="n">
        <f aca="false">YEAR(B448)</f>
        <v>2011</v>
      </c>
      <c r="AC448" s="33" t="str">
        <f aca="false">TEXT(B448, "mmmm")</f>
        <v>January</v>
      </c>
      <c r="AD448" s="43" t="n">
        <f aca="false">LEN(TEXT(B448, "YYYY-MM-DD"))</f>
        <v>10</v>
      </c>
      <c r="AE448" s="45" t="str">
        <f aca="false">LEFT(TEXT(B448, "YYYY-MM-DD"), 4)</f>
        <v>2011</v>
      </c>
      <c r="AF448" s="45" t="str">
        <f aca="false">RIGHT(TEXT(B448, "YYYY-MM-DD"), 2)</f>
        <v>20</v>
      </c>
    </row>
    <row r="449" customFormat="false" ht="15" hidden="false" customHeight="false" outlineLevel="0" collapsed="false">
      <c r="A449" s="37" t="n">
        <v>445</v>
      </c>
      <c r="B449" s="38" t="s">
        <v>96</v>
      </c>
      <c r="C449" s="37" t="n">
        <v>1</v>
      </c>
      <c r="D449" s="35" t="str">
        <f aca="false">VLOOKUP(C449, Lookups_Metadata!$A$4:$B$7, 2, FALSE())</f>
        <v>Spring</v>
      </c>
      <c r="E449" s="37" t="n">
        <v>0</v>
      </c>
      <c r="F449" s="37" t="n">
        <v>1</v>
      </c>
      <c r="G449" s="37" t="n">
        <v>13</v>
      </c>
      <c r="H449" s="39" t="b">
        <f aca="false">FALSE()</f>
        <v>0</v>
      </c>
      <c r="I449" s="37" t="n">
        <v>4</v>
      </c>
      <c r="J449" s="35" t="str">
        <f aca="false">INDEX(Lookups_Metadata!$E$4:$E$10, MATCH(I449, Lookups_Metadata!$D$4:$D$10, 0))</f>
        <v>Thursday</v>
      </c>
      <c r="K449" s="35" t="str">
        <f aca="false">IF(H449=TRUE(), "Holiday", IF(OR(I449=0, I449=6), "Weekend", "Weekday"))</f>
        <v>Weekday</v>
      </c>
      <c r="L449" s="35" t="str">
        <f aca="false">IF(AND(K449="Weekday", OR(AND(G449&gt;=7, G449&lt;=9), AND(G449&gt;=17, G449&lt;=19))), "Peak Commute", "Off-Peak")</f>
        <v>Off-Peak</v>
      </c>
      <c r="M449" s="37" t="n">
        <v>2</v>
      </c>
      <c r="N449" s="35" t="str">
        <f aca="false">VLOOKUP(M449, Lookups_Metadata!$G$4:$H$7, 2, FALSE())</f>
        <v>Mist / Cloudy</v>
      </c>
      <c r="O449" s="40" t="n">
        <v>0.28</v>
      </c>
      <c r="P449" s="40" t="n">
        <v>0.2879</v>
      </c>
      <c r="Q449" s="40" t="n">
        <f aca="false">IF(OR(P449="", ISBLANK(P449)), ROUND(0.9367*O449+0.0175, 4), P449)</f>
        <v>0.2879</v>
      </c>
      <c r="R449" s="35" t="str">
        <f aca="false">IF(OR(P449="", ISBLANK(P449)), "Imputed (Regression/Trend)", "Original")</f>
        <v>Original</v>
      </c>
      <c r="S449" s="40" t="n">
        <v>0.45</v>
      </c>
      <c r="T449" s="40" t="n">
        <v>0.1045</v>
      </c>
      <c r="U449" s="41" t="n">
        <v>12</v>
      </c>
      <c r="V449" s="41" t="n">
        <v>86</v>
      </c>
      <c r="W449" s="41" t="n">
        <f aca="false">U449+V449</f>
        <v>98</v>
      </c>
      <c r="X449" s="42" t="n">
        <f aca="false">U449/W449</f>
        <v>0.122448979591837</v>
      </c>
      <c r="Y449" s="42" t="n">
        <f aca="false">V449/W449</f>
        <v>0.877551020408163</v>
      </c>
      <c r="Z449" s="35" t="str">
        <f aca="false">IF(W449&gt;=150, "High Demand", IF(W449&gt;=50, "Moderate Demand", "Low Demand"))</f>
        <v>Moderate Demand</v>
      </c>
      <c r="AA449" s="39" t="str">
        <f aca="false">TEXT(G449, "00") &amp; ":00"</f>
        <v>13:00</v>
      </c>
      <c r="AB449" s="37" t="n">
        <f aca="false">YEAR(B449)</f>
        <v>2011</v>
      </c>
      <c r="AC449" s="35" t="str">
        <f aca="false">TEXT(B449, "mmmm")</f>
        <v>January</v>
      </c>
      <c r="AD449" s="37" t="n">
        <f aca="false">LEN(TEXT(B449, "YYYY-MM-DD"))</f>
        <v>10</v>
      </c>
      <c r="AE449" s="39" t="str">
        <f aca="false">LEFT(TEXT(B449, "YYYY-MM-DD"), 4)</f>
        <v>2011</v>
      </c>
      <c r="AF449" s="39" t="str">
        <f aca="false">RIGHT(TEXT(B449, "YYYY-MM-DD"), 2)</f>
        <v>20</v>
      </c>
    </row>
    <row r="450" customFormat="false" ht="15" hidden="false" customHeight="false" outlineLevel="0" collapsed="false">
      <c r="A450" s="43" t="n">
        <v>446</v>
      </c>
      <c r="B450" s="44" t="s">
        <v>96</v>
      </c>
      <c r="C450" s="43" t="n">
        <v>1</v>
      </c>
      <c r="D450" s="33" t="str">
        <f aca="false">VLOOKUP(C450, Lookups_Metadata!$A$4:$B$7, 2, FALSE())</f>
        <v>Spring</v>
      </c>
      <c r="E450" s="43" t="n">
        <v>0</v>
      </c>
      <c r="F450" s="43" t="n">
        <v>1</v>
      </c>
      <c r="G450" s="43" t="n">
        <v>14</v>
      </c>
      <c r="H450" s="45" t="b">
        <f aca="false">FALSE()</f>
        <v>0</v>
      </c>
      <c r="I450" s="43" t="n">
        <v>4</v>
      </c>
      <c r="J450" s="33" t="str">
        <f aca="false">INDEX(Lookups_Metadata!$E$4:$E$10, MATCH(I450, Lookups_Metadata!$D$4:$D$10, 0))</f>
        <v>Thursday</v>
      </c>
      <c r="K450" s="33" t="str">
        <f aca="false">IF(H450=TRUE(), "Holiday", IF(OR(I450=0, I450=6), "Weekend", "Weekday"))</f>
        <v>Weekday</v>
      </c>
      <c r="L450" s="33" t="str">
        <f aca="false">IF(AND(K450="Weekday", OR(AND(G450&gt;=7, G450&lt;=9), AND(G450&gt;=17, G450&lt;=19))), "Peak Commute", "Off-Peak")</f>
        <v>Off-Peak</v>
      </c>
      <c r="M450" s="43" t="n">
        <v>2</v>
      </c>
      <c r="N450" s="33" t="str">
        <f aca="false">VLOOKUP(M450, Lookups_Metadata!$G$4:$H$7, 2, FALSE())</f>
        <v>Mist / Cloudy</v>
      </c>
      <c r="O450" s="46" t="n">
        <v>0.3</v>
      </c>
      <c r="P450" s="46" t="n">
        <v>0.303</v>
      </c>
      <c r="Q450" s="46" t="n">
        <f aca="false">IF(OR(P450="", ISBLANK(P450)), ROUND(0.9367*O450+0.0175, 4), P450)</f>
        <v>0.303</v>
      </c>
      <c r="R450" s="33" t="str">
        <f aca="false">IF(OR(P450="", ISBLANK(P450)), "Imputed (Regression/Trend)", "Original")</f>
        <v>Original</v>
      </c>
      <c r="S450" s="46" t="n">
        <v>0.45</v>
      </c>
      <c r="T450" s="46" t="n">
        <v>0.1343</v>
      </c>
      <c r="U450" s="18" t="n">
        <v>6</v>
      </c>
      <c r="V450" s="18" t="n">
        <v>75</v>
      </c>
      <c r="W450" s="18" t="n">
        <f aca="false">U450+V450</f>
        <v>81</v>
      </c>
      <c r="X450" s="47" t="n">
        <f aca="false">U450/W450</f>
        <v>0.0740740740740741</v>
      </c>
      <c r="Y450" s="47" t="n">
        <f aca="false">V450/W450</f>
        <v>0.925925925925926</v>
      </c>
      <c r="Z450" s="33" t="str">
        <f aca="false">IF(W450&gt;=150, "High Demand", IF(W450&gt;=50, "Moderate Demand", "Low Demand"))</f>
        <v>Moderate Demand</v>
      </c>
      <c r="AA450" s="45" t="str">
        <f aca="false">TEXT(G450, "00") &amp; ":00"</f>
        <v>14:00</v>
      </c>
      <c r="AB450" s="43" t="n">
        <f aca="false">YEAR(B450)</f>
        <v>2011</v>
      </c>
      <c r="AC450" s="33" t="str">
        <f aca="false">TEXT(B450, "mmmm")</f>
        <v>January</v>
      </c>
      <c r="AD450" s="43" t="n">
        <f aca="false">LEN(TEXT(B450, "YYYY-MM-DD"))</f>
        <v>10</v>
      </c>
      <c r="AE450" s="45" t="str">
        <f aca="false">LEFT(TEXT(B450, "YYYY-MM-DD"), 4)</f>
        <v>2011</v>
      </c>
      <c r="AF450" s="45" t="str">
        <f aca="false">RIGHT(TEXT(B450, "YYYY-MM-DD"), 2)</f>
        <v>20</v>
      </c>
    </row>
    <row r="451" customFormat="false" ht="15" hidden="false" customHeight="false" outlineLevel="0" collapsed="false">
      <c r="A451" s="37" t="n">
        <v>447</v>
      </c>
      <c r="B451" s="38" t="s">
        <v>96</v>
      </c>
      <c r="C451" s="37" t="n">
        <v>1</v>
      </c>
      <c r="D451" s="35" t="str">
        <f aca="false">VLOOKUP(C451, Lookups_Metadata!$A$4:$B$7, 2, FALSE())</f>
        <v>Spring</v>
      </c>
      <c r="E451" s="37" t="n">
        <v>0</v>
      </c>
      <c r="F451" s="37" t="n">
        <v>1</v>
      </c>
      <c r="G451" s="37" t="n">
        <v>15</v>
      </c>
      <c r="H451" s="39" t="b">
        <f aca="false">FALSE()</f>
        <v>0</v>
      </c>
      <c r="I451" s="37" t="n">
        <v>4</v>
      </c>
      <c r="J451" s="35" t="str">
        <f aca="false">INDEX(Lookups_Metadata!$E$4:$E$10, MATCH(I451, Lookups_Metadata!$D$4:$D$10, 0))</f>
        <v>Thursday</v>
      </c>
      <c r="K451" s="35" t="str">
        <f aca="false">IF(H451=TRUE(), "Holiday", IF(OR(I451=0, I451=6), "Weekend", "Weekday"))</f>
        <v>Weekday</v>
      </c>
      <c r="L451" s="35" t="str">
        <f aca="false">IF(AND(K451="Weekday", OR(AND(G451&gt;=7, G451&lt;=9), AND(G451&gt;=17, G451&lt;=19))), "Peak Commute", "Off-Peak")</f>
        <v>Off-Peak</v>
      </c>
      <c r="M451" s="37" t="n">
        <v>2</v>
      </c>
      <c r="N451" s="35" t="str">
        <f aca="false">VLOOKUP(M451, Lookups_Metadata!$G$4:$H$7, 2, FALSE())</f>
        <v>Mist / Cloudy</v>
      </c>
      <c r="O451" s="40" t="n">
        <v>0.32</v>
      </c>
      <c r="P451" s="40" t="n">
        <v>0.3182</v>
      </c>
      <c r="Q451" s="40" t="n">
        <f aca="false">IF(OR(P451="", ISBLANK(P451)), ROUND(0.9367*O451+0.0175, 4), P451)</f>
        <v>0.3182</v>
      </c>
      <c r="R451" s="35" t="str">
        <f aca="false">IF(OR(P451="", ISBLANK(P451)), "Imputed (Regression/Trend)", "Original")</f>
        <v>Original</v>
      </c>
      <c r="S451" s="40" t="n">
        <v>0.45</v>
      </c>
      <c r="T451" s="40" t="n">
        <v>0.194</v>
      </c>
      <c r="U451" s="41" t="n">
        <v>8</v>
      </c>
      <c r="V451" s="41" t="n">
        <v>62</v>
      </c>
      <c r="W451" s="41" t="n">
        <f aca="false">U451+V451</f>
        <v>70</v>
      </c>
      <c r="X451" s="42" t="n">
        <f aca="false">U451/W451</f>
        <v>0.114285714285714</v>
      </c>
      <c r="Y451" s="42" t="n">
        <f aca="false">V451/W451</f>
        <v>0.885714285714286</v>
      </c>
      <c r="Z451" s="35" t="str">
        <f aca="false">IF(W451&gt;=150, "High Demand", IF(W451&gt;=50, "Moderate Demand", "Low Demand"))</f>
        <v>Moderate Demand</v>
      </c>
      <c r="AA451" s="39" t="str">
        <f aca="false">TEXT(G451, "00") &amp; ":00"</f>
        <v>15:00</v>
      </c>
      <c r="AB451" s="37" t="n">
        <f aca="false">YEAR(B451)</f>
        <v>2011</v>
      </c>
      <c r="AC451" s="35" t="str">
        <f aca="false">TEXT(B451, "mmmm")</f>
        <v>January</v>
      </c>
      <c r="AD451" s="37" t="n">
        <f aca="false">LEN(TEXT(B451, "YYYY-MM-DD"))</f>
        <v>10</v>
      </c>
      <c r="AE451" s="39" t="str">
        <f aca="false">LEFT(TEXT(B451, "YYYY-MM-DD"), 4)</f>
        <v>2011</v>
      </c>
      <c r="AF451" s="39" t="str">
        <f aca="false">RIGHT(TEXT(B451, "YYYY-MM-DD"), 2)</f>
        <v>20</v>
      </c>
    </row>
    <row r="452" customFormat="false" ht="15" hidden="false" customHeight="false" outlineLevel="0" collapsed="false">
      <c r="A452" s="43" t="n">
        <v>448</v>
      </c>
      <c r="B452" s="44" t="s">
        <v>96</v>
      </c>
      <c r="C452" s="43" t="n">
        <v>1</v>
      </c>
      <c r="D452" s="33" t="str">
        <f aca="false">VLOOKUP(C452, Lookups_Metadata!$A$4:$B$7, 2, FALSE())</f>
        <v>Spring</v>
      </c>
      <c r="E452" s="43" t="n">
        <v>0</v>
      </c>
      <c r="F452" s="43" t="n">
        <v>1</v>
      </c>
      <c r="G452" s="43" t="n">
        <v>16</v>
      </c>
      <c r="H452" s="45" t="b">
        <f aca="false">FALSE()</f>
        <v>0</v>
      </c>
      <c r="I452" s="43" t="n">
        <v>4</v>
      </c>
      <c r="J452" s="33" t="str">
        <f aca="false">INDEX(Lookups_Metadata!$E$4:$E$10, MATCH(I452, Lookups_Metadata!$D$4:$D$10, 0))</f>
        <v>Thursday</v>
      </c>
      <c r="K452" s="33" t="str">
        <f aca="false">IF(H452=TRUE(), "Holiday", IF(OR(I452=0, I452=6), "Weekend", "Weekday"))</f>
        <v>Weekday</v>
      </c>
      <c r="L452" s="33" t="str">
        <f aca="false">IF(AND(K452="Weekday", OR(AND(G452&gt;=7, G452&lt;=9), AND(G452&gt;=17, G452&lt;=19))), "Peak Commute", "Off-Peak")</f>
        <v>Off-Peak</v>
      </c>
      <c r="M452" s="43" t="n">
        <v>2</v>
      </c>
      <c r="N452" s="33" t="str">
        <f aca="false">VLOOKUP(M452, Lookups_Metadata!$G$4:$H$7, 2, FALSE())</f>
        <v>Mist / Cloudy</v>
      </c>
      <c r="O452" s="46" t="n">
        <v>0.3</v>
      </c>
      <c r="P452" s="46" t="n">
        <v>0.303</v>
      </c>
      <c r="Q452" s="46" t="n">
        <f aca="false">IF(OR(P452="", ISBLANK(P452)), ROUND(0.9367*O452+0.0175, 4), P452)</f>
        <v>0.303</v>
      </c>
      <c r="R452" s="33" t="str">
        <f aca="false">IF(OR(P452="", ISBLANK(P452)), "Imputed (Regression/Trend)", "Original")</f>
        <v>Original</v>
      </c>
      <c r="S452" s="46" t="n">
        <v>0.49</v>
      </c>
      <c r="T452" s="46" t="n">
        <v>0.1343</v>
      </c>
      <c r="U452" s="18" t="n">
        <v>8</v>
      </c>
      <c r="V452" s="18" t="n">
        <v>83</v>
      </c>
      <c r="W452" s="18" t="n">
        <f aca="false">U452+V452</f>
        <v>91</v>
      </c>
      <c r="X452" s="47" t="n">
        <f aca="false">U452/W452</f>
        <v>0.0879120879120879</v>
      </c>
      <c r="Y452" s="47" t="n">
        <f aca="false">V452/W452</f>
        <v>0.912087912087912</v>
      </c>
      <c r="Z452" s="33" t="str">
        <f aca="false">IF(W452&gt;=150, "High Demand", IF(W452&gt;=50, "Moderate Demand", "Low Demand"))</f>
        <v>Moderate Demand</v>
      </c>
      <c r="AA452" s="45" t="str">
        <f aca="false">TEXT(G452, "00") &amp; ":00"</f>
        <v>16:00</v>
      </c>
      <c r="AB452" s="43" t="n">
        <f aca="false">YEAR(B452)</f>
        <v>2011</v>
      </c>
      <c r="AC452" s="33" t="str">
        <f aca="false">TEXT(B452, "mmmm")</f>
        <v>January</v>
      </c>
      <c r="AD452" s="43" t="n">
        <f aca="false">LEN(TEXT(B452, "YYYY-MM-DD"))</f>
        <v>10</v>
      </c>
      <c r="AE452" s="45" t="str">
        <f aca="false">LEFT(TEXT(B452, "YYYY-MM-DD"), 4)</f>
        <v>2011</v>
      </c>
      <c r="AF452" s="45" t="str">
        <f aca="false">RIGHT(TEXT(B452, "YYYY-MM-DD"), 2)</f>
        <v>20</v>
      </c>
    </row>
    <row r="453" customFormat="false" ht="15" hidden="false" customHeight="false" outlineLevel="0" collapsed="false">
      <c r="A453" s="37" t="n">
        <v>449</v>
      </c>
      <c r="B453" s="38" t="s">
        <v>96</v>
      </c>
      <c r="C453" s="37" t="n">
        <v>1</v>
      </c>
      <c r="D453" s="35" t="str">
        <f aca="false">VLOOKUP(C453, Lookups_Metadata!$A$4:$B$7, 2, FALSE())</f>
        <v>Spring</v>
      </c>
      <c r="E453" s="37" t="n">
        <v>0</v>
      </c>
      <c r="F453" s="37" t="n">
        <v>1</v>
      </c>
      <c r="G453" s="37" t="n">
        <v>17</v>
      </c>
      <c r="H453" s="39" t="b">
        <f aca="false">FALSE()</f>
        <v>0</v>
      </c>
      <c r="I453" s="37" t="n">
        <v>4</v>
      </c>
      <c r="J453" s="35" t="str">
        <f aca="false">INDEX(Lookups_Metadata!$E$4:$E$10, MATCH(I453, Lookups_Metadata!$D$4:$D$10, 0))</f>
        <v>Thursday</v>
      </c>
      <c r="K453" s="35" t="str">
        <f aca="false">IF(H453=TRUE(), "Holiday", IF(OR(I453=0, I453=6), "Weekend", "Weekday"))</f>
        <v>Weekday</v>
      </c>
      <c r="L453" s="35" t="str">
        <f aca="false">IF(AND(K453="Weekday", OR(AND(G453&gt;=7, G453&lt;=9), AND(G453&gt;=17, G453&lt;=19))), "Peak Commute", "Off-Peak")</f>
        <v>Peak Commute</v>
      </c>
      <c r="M453" s="37" t="n">
        <v>2</v>
      </c>
      <c r="N453" s="35" t="str">
        <f aca="false">VLOOKUP(M453, Lookups_Metadata!$G$4:$H$7, 2, FALSE())</f>
        <v>Mist / Cloudy</v>
      </c>
      <c r="O453" s="40" t="n">
        <v>0.3</v>
      </c>
      <c r="P453" s="40" t="n">
        <v>0.3182</v>
      </c>
      <c r="Q453" s="40" t="n">
        <f aca="false">IF(OR(P453="", ISBLANK(P453)), ROUND(0.9367*O453+0.0175, 4), P453)</f>
        <v>0.3182</v>
      </c>
      <c r="R453" s="35" t="str">
        <f aca="false">IF(OR(P453="", ISBLANK(P453)), "Imputed (Regression/Trend)", "Original")</f>
        <v>Original</v>
      </c>
      <c r="S453" s="40" t="n">
        <v>0.49</v>
      </c>
      <c r="T453" s="40" t="n">
        <v>0.1045</v>
      </c>
      <c r="U453" s="41" t="n">
        <v>8</v>
      </c>
      <c r="V453" s="41" t="n">
        <v>207</v>
      </c>
      <c r="W453" s="41" t="n">
        <f aca="false">U453+V453</f>
        <v>215</v>
      </c>
      <c r="X453" s="42" t="n">
        <f aca="false">U453/W453</f>
        <v>0.0372093023255814</v>
      </c>
      <c r="Y453" s="42" t="n">
        <f aca="false">V453/W453</f>
        <v>0.962790697674419</v>
      </c>
      <c r="Z453" s="35" t="str">
        <f aca="false">IF(W453&gt;=150, "High Demand", IF(W453&gt;=50, "Moderate Demand", "Low Demand"))</f>
        <v>High Demand</v>
      </c>
      <c r="AA453" s="39" t="str">
        <f aca="false">TEXT(G453, "00") &amp; ":00"</f>
        <v>17:00</v>
      </c>
      <c r="AB453" s="37" t="n">
        <f aca="false">YEAR(B453)</f>
        <v>2011</v>
      </c>
      <c r="AC453" s="35" t="str">
        <f aca="false">TEXT(B453, "mmmm")</f>
        <v>January</v>
      </c>
      <c r="AD453" s="37" t="n">
        <f aca="false">LEN(TEXT(B453, "YYYY-MM-DD"))</f>
        <v>10</v>
      </c>
      <c r="AE453" s="39" t="str">
        <f aca="false">LEFT(TEXT(B453, "YYYY-MM-DD"), 4)</f>
        <v>2011</v>
      </c>
      <c r="AF453" s="39" t="str">
        <f aca="false">RIGHT(TEXT(B453, "YYYY-MM-DD"), 2)</f>
        <v>20</v>
      </c>
    </row>
    <row r="454" customFormat="false" ht="15" hidden="false" customHeight="false" outlineLevel="0" collapsed="false">
      <c r="A454" s="43" t="n">
        <v>450</v>
      </c>
      <c r="B454" s="44" t="s">
        <v>96</v>
      </c>
      <c r="C454" s="43" t="n">
        <v>1</v>
      </c>
      <c r="D454" s="33" t="str">
        <f aca="false">VLOOKUP(C454, Lookups_Metadata!$A$4:$B$7, 2, FALSE())</f>
        <v>Spring</v>
      </c>
      <c r="E454" s="43" t="n">
        <v>0</v>
      </c>
      <c r="F454" s="43" t="n">
        <v>1</v>
      </c>
      <c r="G454" s="43" t="n">
        <v>18</v>
      </c>
      <c r="H454" s="45" t="b">
        <f aca="false">FALSE()</f>
        <v>0</v>
      </c>
      <c r="I454" s="43" t="n">
        <v>4</v>
      </c>
      <c r="J454" s="33" t="str">
        <f aca="false">INDEX(Lookups_Metadata!$E$4:$E$10, MATCH(I454, Lookups_Metadata!$D$4:$D$10, 0))</f>
        <v>Thursday</v>
      </c>
      <c r="K454" s="33" t="str">
        <f aca="false">IF(H454=TRUE(), "Holiday", IF(OR(I454=0, I454=6), "Weekend", "Weekday"))</f>
        <v>Weekday</v>
      </c>
      <c r="L454" s="33" t="str">
        <f aca="false">IF(AND(K454="Weekday", OR(AND(G454&gt;=7, G454&lt;=9), AND(G454&gt;=17, G454&lt;=19))), "Peak Commute", "Off-Peak")</f>
        <v>Peak Commute</v>
      </c>
      <c r="M454" s="43" t="n">
        <v>2</v>
      </c>
      <c r="N454" s="33" t="str">
        <f aca="false">VLOOKUP(M454, Lookups_Metadata!$G$4:$H$7, 2, FALSE())</f>
        <v>Mist / Cloudy</v>
      </c>
      <c r="O454" s="46" t="n">
        <v>0.26</v>
      </c>
      <c r="P454" s="46" t="n">
        <v>0.2576</v>
      </c>
      <c r="Q454" s="46" t="n">
        <f aca="false">IF(OR(P454="", ISBLANK(P454)), ROUND(0.9367*O454+0.0175, 4), P454)</f>
        <v>0.2576</v>
      </c>
      <c r="R454" s="33" t="str">
        <f aca="false">IF(OR(P454="", ISBLANK(P454)), "Imputed (Regression/Trend)", "Original")</f>
        <v>Original</v>
      </c>
      <c r="S454" s="46" t="n">
        <v>0.56</v>
      </c>
      <c r="T454" s="46" t="n">
        <v>0.194</v>
      </c>
      <c r="U454" s="18" t="n">
        <v>1</v>
      </c>
      <c r="V454" s="18" t="n">
        <v>184</v>
      </c>
      <c r="W454" s="18" t="n">
        <f aca="false">U454+V454</f>
        <v>185</v>
      </c>
      <c r="X454" s="47" t="n">
        <f aca="false">U454/W454</f>
        <v>0.00540540540540541</v>
      </c>
      <c r="Y454" s="47" t="n">
        <f aca="false">V454/W454</f>
        <v>0.994594594594595</v>
      </c>
      <c r="Z454" s="33" t="str">
        <f aca="false">IF(W454&gt;=150, "High Demand", IF(W454&gt;=50, "Moderate Demand", "Low Demand"))</f>
        <v>High Demand</v>
      </c>
      <c r="AA454" s="45" t="str">
        <f aca="false">TEXT(G454, "00") &amp; ":00"</f>
        <v>18:00</v>
      </c>
      <c r="AB454" s="43" t="n">
        <f aca="false">YEAR(B454)</f>
        <v>2011</v>
      </c>
      <c r="AC454" s="33" t="str">
        <f aca="false">TEXT(B454, "mmmm")</f>
        <v>January</v>
      </c>
      <c r="AD454" s="43" t="n">
        <f aca="false">LEN(TEXT(B454, "YYYY-MM-DD"))</f>
        <v>10</v>
      </c>
      <c r="AE454" s="45" t="str">
        <f aca="false">LEFT(TEXT(B454, "YYYY-MM-DD"), 4)</f>
        <v>2011</v>
      </c>
      <c r="AF454" s="45" t="str">
        <f aca="false">RIGHT(TEXT(B454, "YYYY-MM-DD"), 2)</f>
        <v>20</v>
      </c>
    </row>
    <row r="455" customFormat="false" ht="15" hidden="false" customHeight="false" outlineLevel="0" collapsed="false">
      <c r="A455" s="37" t="n">
        <v>451</v>
      </c>
      <c r="B455" s="38" t="s">
        <v>96</v>
      </c>
      <c r="C455" s="37" t="n">
        <v>1</v>
      </c>
      <c r="D455" s="35" t="str">
        <f aca="false">VLOOKUP(C455, Lookups_Metadata!$A$4:$B$7, 2, FALSE())</f>
        <v>Spring</v>
      </c>
      <c r="E455" s="37" t="n">
        <v>0</v>
      </c>
      <c r="F455" s="37" t="n">
        <v>1</v>
      </c>
      <c r="G455" s="37" t="n">
        <v>19</v>
      </c>
      <c r="H455" s="39" t="b">
        <f aca="false">FALSE()</f>
        <v>0</v>
      </c>
      <c r="I455" s="37" t="n">
        <v>4</v>
      </c>
      <c r="J455" s="35" t="str">
        <f aca="false">INDEX(Lookups_Metadata!$E$4:$E$10, MATCH(I455, Lookups_Metadata!$D$4:$D$10, 0))</f>
        <v>Thursday</v>
      </c>
      <c r="K455" s="35" t="str">
        <f aca="false">IF(H455=TRUE(), "Holiday", IF(OR(I455=0, I455=6), "Weekend", "Weekday"))</f>
        <v>Weekday</v>
      </c>
      <c r="L455" s="35" t="str">
        <f aca="false">IF(AND(K455="Weekday", OR(AND(G455&gt;=7, G455&lt;=9), AND(G455&gt;=17, G455&lt;=19))), "Peak Commute", "Off-Peak")</f>
        <v>Peak Commute</v>
      </c>
      <c r="M455" s="37" t="n">
        <v>1</v>
      </c>
      <c r="N455" s="35" t="str">
        <f aca="false">VLOOKUP(M455, Lookups_Metadata!$G$4:$H$7, 2, FALSE())</f>
        <v>Clear / Few Clouds</v>
      </c>
      <c r="O455" s="40" t="n">
        <v>0.26</v>
      </c>
      <c r="P455" s="40" t="n">
        <v>0.2273</v>
      </c>
      <c r="Q455" s="40" t="n">
        <f aca="false">IF(OR(P455="", ISBLANK(P455)), ROUND(0.9367*O455+0.0175, 4), P455)</f>
        <v>0.2273</v>
      </c>
      <c r="R455" s="35" t="str">
        <f aca="false">IF(OR(P455="", ISBLANK(P455)), "Imputed (Regression/Trend)", "Original")</f>
        <v>Original</v>
      </c>
      <c r="S455" s="40" t="n">
        <v>0.56</v>
      </c>
      <c r="T455" s="40" t="n">
        <v>0.3284</v>
      </c>
      <c r="U455" s="41" t="n">
        <v>6</v>
      </c>
      <c r="V455" s="41" t="n">
        <v>146</v>
      </c>
      <c r="W455" s="41" t="n">
        <f aca="false">U455+V455</f>
        <v>152</v>
      </c>
      <c r="X455" s="42" t="n">
        <f aca="false">U455/W455</f>
        <v>0.0394736842105263</v>
      </c>
      <c r="Y455" s="42" t="n">
        <f aca="false">V455/W455</f>
        <v>0.960526315789474</v>
      </c>
      <c r="Z455" s="35" t="str">
        <f aca="false">IF(W455&gt;=150, "High Demand", IF(W455&gt;=50, "Moderate Demand", "Low Demand"))</f>
        <v>High Demand</v>
      </c>
      <c r="AA455" s="39" t="str">
        <f aca="false">TEXT(G455, "00") &amp; ":00"</f>
        <v>19:00</v>
      </c>
      <c r="AB455" s="37" t="n">
        <f aca="false">YEAR(B455)</f>
        <v>2011</v>
      </c>
      <c r="AC455" s="35" t="str">
        <f aca="false">TEXT(B455, "mmmm")</f>
        <v>January</v>
      </c>
      <c r="AD455" s="37" t="n">
        <f aca="false">LEN(TEXT(B455, "YYYY-MM-DD"))</f>
        <v>10</v>
      </c>
      <c r="AE455" s="39" t="str">
        <f aca="false">LEFT(TEXT(B455, "YYYY-MM-DD"), 4)</f>
        <v>2011</v>
      </c>
      <c r="AF455" s="39" t="str">
        <f aca="false">RIGHT(TEXT(B455, "YYYY-MM-DD"), 2)</f>
        <v>20</v>
      </c>
    </row>
    <row r="456" customFormat="false" ht="15" hidden="false" customHeight="false" outlineLevel="0" collapsed="false">
      <c r="A456" s="43" t="n">
        <v>452</v>
      </c>
      <c r="B456" s="44" t="s">
        <v>96</v>
      </c>
      <c r="C456" s="43" t="n">
        <v>1</v>
      </c>
      <c r="D456" s="33" t="str">
        <f aca="false">VLOOKUP(C456, Lookups_Metadata!$A$4:$B$7, 2, FALSE())</f>
        <v>Spring</v>
      </c>
      <c r="E456" s="43" t="n">
        <v>0</v>
      </c>
      <c r="F456" s="43" t="n">
        <v>1</v>
      </c>
      <c r="G456" s="43" t="n">
        <v>20</v>
      </c>
      <c r="H456" s="45" t="b">
        <f aca="false">FALSE()</f>
        <v>0</v>
      </c>
      <c r="I456" s="43" t="n">
        <v>4</v>
      </c>
      <c r="J456" s="33" t="str">
        <f aca="false">INDEX(Lookups_Metadata!$E$4:$E$10, MATCH(I456, Lookups_Metadata!$D$4:$D$10, 0))</f>
        <v>Thursday</v>
      </c>
      <c r="K456" s="33" t="str">
        <f aca="false">IF(H456=TRUE(), "Holiday", IF(OR(I456=0, I456=6), "Weekend", "Weekday"))</f>
        <v>Weekday</v>
      </c>
      <c r="L456" s="33" t="str">
        <f aca="false">IF(AND(K456="Weekday", OR(AND(G456&gt;=7, G456&lt;=9), AND(G456&gt;=17, G456&lt;=19))), "Peak Commute", "Off-Peak")</f>
        <v>Off-Peak</v>
      </c>
      <c r="M456" s="43" t="n">
        <v>2</v>
      </c>
      <c r="N456" s="33" t="str">
        <f aca="false">VLOOKUP(M456, Lookups_Metadata!$G$4:$H$7, 2, FALSE())</f>
        <v>Mist / Cloudy</v>
      </c>
      <c r="O456" s="46" t="n">
        <v>0.26</v>
      </c>
      <c r="P456" s="46" t="n">
        <v>0.2424</v>
      </c>
      <c r="Q456" s="46" t="n">
        <f aca="false">IF(OR(P456="", ISBLANK(P456)), ROUND(0.9367*O456+0.0175, 4), P456)</f>
        <v>0.2424</v>
      </c>
      <c r="R456" s="33" t="str">
        <f aca="false">IF(OR(P456="", ISBLANK(P456)), "Imputed (Regression/Trend)", "Original")</f>
        <v>Original</v>
      </c>
      <c r="S456" s="46" t="n">
        <v>0.6</v>
      </c>
      <c r="T456" s="46" t="n">
        <v>0.2836</v>
      </c>
      <c r="U456" s="18" t="n">
        <v>2</v>
      </c>
      <c r="V456" s="18" t="n">
        <v>124</v>
      </c>
      <c r="W456" s="18" t="n">
        <f aca="false">U456+V456</f>
        <v>126</v>
      </c>
      <c r="X456" s="47" t="n">
        <f aca="false">U456/W456</f>
        <v>0.0158730158730159</v>
      </c>
      <c r="Y456" s="47" t="n">
        <f aca="false">V456/W456</f>
        <v>0.984126984126984</v>
      </c>
      <c r="Z456" s="33" t="str">
        <f aca="false">IF(W456&gt;=150, "High Demand", IF(W456&gt;=50, "Moderate Demand", "Low Demand"))</f>
        <v>Moderate Demand</v>
      </c>
      <c r="AA456" s="45" t="str">
        <f aca="false">TEXT(G456, "00") &amp; ":00"</f>
        <v>20:00</v>
      </c>
      <c r="AB456" s="43" t="n">
        <f aca="false">YEAR(B456)</f>
        <v>2011</v>
      </c>
      <c r="AC456" s="33" t="str">
        <f aca="false">TEXT(B456, "mmmm")</f>
        <v>January</v>
      </c>
      <c r="AD456" s="43" t="n">
        <f aca="false">LEN(TEXT(B456, "YYYY-MM-DD"))</f>
        <v>10</v>
      </c>
      <c r="AE456" s="45" t="str">
        <f aca="false">LEFT(TEXT(B456, "YYYY-MM-DD"), 4)</f>
        <v>2011</v>
      </c>
      <c r="AF456" s="45" t="str">
        <f aca="false">RIGHT(TEXT(B456, "YYYY-MM-DD"), 2)</f>
        <v>20</v>
      </c>
    </row>
    <row r="457" customFormat="false" ht="15" hidden="false" customHeight="false" outlineLevel="0" collapsed="false">
      <c r="A457" s="37" t="n">
        <v>453</v>
      </c>
      <c r="B457" s="38" t="s">
        <v>96</v>
      </c>
      <c r="C457" s="37" t="n">
        <v>1</v>
      </c>
      <c r="D457" s="35" t="str">
        <f aca="false">VLOOKUP(C457, Lookups_Metadata!$A$4:$B$7, 2, FALSE())</f>
        <v>Spring</v>
      </c>
      <c r="E457" s="37" t="n">
        <v>0</v>
      </c>
      <c r="F457" s="37" t="n">
        <v>1</v>
      </c>
      <c r="G457" s="37" t="n">
        <v>21</v>
      </c>
      <c r="H457" s="39" t="b">
        <f aca="false">FALSE()</f>
        <v>0</v>
      </c>
      <c r="I457" s="37" t="n">
        <v>4</v>
      </c>
      <c r="J457" s="35" t="str">
        <f aca="false">INDEX(Lookups_Metadata!$E$4:$E$10, MATCH(I457, Lookups_Metadata!$D$4:$D$10, 0))</f>
        <v>Thursday</v>
      </c>
      <c r="K457" s="35" t="str">
        <f aca="false">IF(H457=TRUE(), "Holiday", IF(OR(I457=0, I457=6), "Weekend", "Weekday"))</f>
        <v>Weekday</v>
      </c>
      <c r="L457" s="35" t="str">
        <f aca="false">IF(AND(K457="Weekday", OR(AND(G457&gt;=7, G457&lt;=9), AND(G457&gt;=17, G457&lt;=19))), "Peak Commute", "Off-Peak")</f>
        <v>Off-Peak</v>
      </c>
      <c r="M457" s="37" t="n">
        <v>2</v>
      </c>
      <c r="N457" s="35" t="str">
        <f aca="false">VLOOKUP(M457, Lookups_Metadata!$G$4:$H$7, 2, FALSE())</f>
        <v>Mist / Cloudy</v>
      </c>
      <c r="O457" s="40" t="n">
        <v>0.24</v>
      </c>
      <c r="P457" s="40" t="n">
        <v>0.2273</v>
      </c>
      <c r="Q457" s="40" t="n">
        <f aca="false">IF(OR(P457="", ISBLANK(P457)), ROUND(0.9367*O457+0.0175, 4), P457)</f>
        <v>0.2273</v>
      </c>
      <c r="R457" s="35" t="str">
        <f aca="false">IF(OR(P457="", ISBLANK(P457)), "Imputed (Regression/Trend)", "Original")</f>
        <v>Original</v>
      </c>
      <c r="S457" s="40" t="n">
        <v>0.6</v>
      </c>
      <c r="T457" s="40" t="n">
        <v>0.2537</v>
      </c>
      <c r="U457" s="41" t="n">
        <v>3</v>
      </c>
      <c r="V457" s="41" t="n">
        <v>54</v>
      </c>
      <c r="W457" s="41" t="n">
        <f aca="false">U457+V457</f>
        <v>57</v>
      </c>
      <c r="X457" s="42" t="n">
        <f aca="false">U457/W457</f>
        <v>0.0526315789473684</v>
      </c>
      <c r="Y457" s="42" t="n">
        <f aca="false">V457/W457</f>
        <v>0.947368421052632</v>
      </c>
      <c r="Z457" s="35" t="str">
        <f aca="false">IF(W457&gt;=150, "High Demand", IF(W457&gt;=50, "Moderate Demand", "Low Demand"))</f>
        <v>Moderate Demand</v>
      </c>
      <c r="AA457" s="39" t="str">
        <f aca="false">TEXT(G457, "00") &amp; ":00"</f>
        <v>21:00</v>
      </c>
      <c r="AB457" s="37" t="n">
        <f aca="false">YEAR(B457)</f>
        <v>2011</v>
      </c>
      <c r="AC457" s="35" t="str">
        <f aca="false">TEXT(B457, "mmmm")</f>
        <v>January</v>
      </c>
      <c r="AD457" s="37" t="n">
        <f aca="false">LEN(TEXT(B457, "YYYY-MM-DD"))</f>
        <v>10</v>
      </c>
      <c r="AE457" s="39" t="str">
        <f aca="false">LEFT(TEXT(B457, "YYYY-MM-DD"), 4)</f>
        <v>2011</v>
      </c>
      <c r="AF457" s="39" t="str">
        <f aca="false">RIGHT(TEXT(B457, "YYYY-MM-DD"), 2)</f>
        <v>20</v>
      </c>
    </row>
    <row r="458" customFormat="false" ht="15" hidden="false" customHeight="false" outlineLevel="0" collapsed="false">
      <c r="A458" s="43" t="n">
        <v>454</v>
      </c>
      <c r="B458" s="44" t="s">
        <v>96</v>
      </c>
      <c r="C458" s="43" t="n">
        <v>1</v>
      </c>
      <c r="D458" s="33" t="str">
        <f aca="false">VLOOKUP(C458, Lookups_Metadata!$A$4:$B$7, 2, FALSE())</f>
        <v>Spring</v>
      </c>
      <c r="E458" s="43" t="n">
        <v>0</v>
      </c>
      <c r="F458" s="43" t="n">
        <v>1</v>
      </c>
      <c r="G458" s="43" t="n">
        <v>22</v>
      </c>
      <c r="H458" s="45" t="b">
        <f aca="false">FALSE()</f>
        <v>0</v>
      </c>
      <c r="I458" s="43" t="n">
        <v>4</v>
      </c>
      <c r="J458" s="33" t="str">
        <f aca="false">INDEX(Lookups_Metadata!$E$4:$E$10, MATCH(I458, Lookups_Metadata!$D$4:$D$10, 0))</f>
        <v>Thursday</v>
      </c>
      <c r="K458" s="33" t="str">
        <f aca="false">IF(H458=TRUE(), "Holiday", IF(OR(I458=0, I458=6), "Weekend", "Weekday"))</f>
        <v>Weekday</v>
      </c>
      <c r="L458" s="33" t="str">
        <f aca="false">IF(AND(K458="Weekday", OR(AND(G458&gt;=7, G458&lt;=9), AND(G458&gt;=17, G458&lt;=19))), "Peak Commute", "Off-Peak")</f>
        <v>Off-Peak</v>
      </c>
      <c r="M458" s="43" t="n">
        <v>2</v>
      </c>
      <c r="N458" s="33" t="str">
        <f aca="false">VLOOKUP(M458, Lookups_Metadata!$G$4:$H$7, 2, FALSE())</f>
        <v>Mist / Cloudy</v>
      </c>
      <c r="O458" s="46" t="n">
        <v>0.24</v>
      </c>
      <c r="P458" s="46" t="n">
        <v>0.2121</v>
      </c>
      <c r="Q458" s="46" t="n">
        <f aca="false">IF(OR(P458="", ISBLANK(P458)), ROUND(0.9367*O458+0.0175, 4), P458)</f>
        <v>0.2121</v>
      </c>
      <c r="R458" s="33" t="str">
        <f aca="false">IF(OR(P458="", ISBLANK(P458)), "Imputed (Regression/Trend)", "Original")</f>
        <v>Original</v>
      </c>
      <c r="S458" s="46" t="n">
        <v>0.65</v>
      </c>
      <c r="T458" s="46" t="n">
        <v>0.2836</v>
      </c>
      <c r="U458" s="18" t="n">
        <v>0</v>
      </c>
      <c r="V458" s="18" t="n">
        <v>56</v>
      </c>
      <c r="W458" s="18" t="n">
        <f aca="false">U458+V458</f>
        <v>56</v>
      </c>
      <c r="X458" s="47" t="n">
        <f aca="false">U458/W458</f>
        <v>0</v>
      </c>
      <c r="Y458" s="47" t="n">
        <f aca="false">V458/W458</f>
        <v>1</v>
      </c>
      <c r="Z458" s="33" t="str">
        <f aca="false">IF(W458&gt;=150, "High Demand", IF(W458&gt;=50, "Moderate Demand", "Low Demand"))</f>
        <v>Moderate Demand</v>
      </c>
      <c r="AA458" s="45" t="str">
        <f aca="false">TEXT(G458, "00") &amp; ":00"</f>
        <v>22:00</v>
      </c>
      <c r="AB458" s="43" t="n">
        <f aca="false">YEAR(B458)</f>
        <v>2011</v>
      </c>
      <c r="AC458" s="33" t="str">
        <f aca="false">TEXT(B458, "mmmm")</f>
        <v>January</v>
      </c>
      <c r="AD458" s="43" t="n">
        <f aca="false">LEN(TEXT(B458, "YYYY-MM-DD"))</f>
        <v>10</v>
      </c>
      <c r="AE458" s="45" t="str">
        <f aca="false">LEFT(TEXT(B458, "YYYY-MM-DD"), 4)</f>
        <v>2011</v>
      </c>
      <c r="AF458" s="45" t="str">
        <f aca="false">RIGHT(TEXT(B458, "YYYY-MM-DD"), 2)</f>
        <v>20</v>
      </c>
    </row>
    <row r="459" customFormat="false" ht="15" hidden="false" customHeight="false" outlineLevel="0" collapsed="false">
      <c r="A459" s="37" t="n">
        <v>455</v>
      </c>
      <c r="B459" s="38" t="s">
        <v>96</v>
      </c>
      <c r="C459" s="37" t="n">
        <v>1</v>
      </c>
      <c r="D459" s="35" t="str">
        <f aca="false">VLOOKUP(C459, Lookups_Metadata!$A$4:$B$7, 2, FALSE())</f>
        <v>Spring</v>
      </c>
      <c r="E459" s="37" t="n">
        <v>0</v>
      </c>
      <c r="F459" s="37" t="n">
        <v>1</v>
      </c>
      <c r="G459" s="37" t="n">
        <v>23</v>
      </c>
      <c r="H459" s="39" t="b">
        <f aca="false">FALSE()</f>
        <v>0</v>
      </c>
      <c r="I459" s="37" t="n">
        <v>4</v>
      </c>
      <c r="J459" s="35" t="str">
        <f aca="false">INDEX(Lookups_Metadata!$E$4:$E$10, MATCH(I459, Lookups_Metadata!$D$4:$D$10, 0))</f>
        <v>Thursday</v>
      </c>
      <c r="K459" s="35" t="str">
        <f aca="false">IF(H459=TRUE(), "Holiday", IF(OR(I459=0, I459=6), "Weekend", "Weekday"))</f>
        <v>Weekday</v>
      </c>
      <c r="L459" s="35" t="str">
        <f aca="false">IF(AND(K459="Weekday", OR(AND(G459&gt;=7, G459&lt;=9), AND(G459&gt;=17, G459&lt;=19))), "Peak Commute", "Off-Peak")</f>
        <v>Off-Peak</v>
      </c>
      <c r="M459" s="37" t="n">
        <v>2</v>
      </c>
      <c r="N459" s="35" t="str">
        <f aca="false">VLOOKUP(M459, Lookups_Metadata!$G$4:$H$7, 2, FALSE())</f>
        <v>Mist / Cloudy</v>
      </c>
      <c r="O459" s="40" t="n">
        <v>0.24</v>
      </c>
      <c r="P459" s="40" t="n">
        <v>0.2121</v>
      </c>
      <c r="Q459" s="40" t="n">
        <f aca="false">IF(OR(P459="", ISBLANK(P459)), ROUND(0.9367*O459+0.0175, 4), P459)</f>
        <v>0.2121</v>
      </c>
      <c r="R459" s="35" t="str">
        <f aca="false">IF(OR(P459="", ISBLANK(P459)), "Imputed (Regression/Trend)", "Original")</f>
        <v>Original</v>
      </c>
      <c r="S459" s="40" t="n">
        <v>0.65</v>
      </c>
      <c r="T459" s="40" t="n">
        <v>0.3284</v>
      </c>
      <c r="U459" s="41" t="n">
        <v>3</v>
      </c>
      <c r="V459" s="41" t="n">
        <v>28</v>
      </c>
      <c r="W459" s="41" t="n">
        <f aca="false">U459+V459</f>
        <v>31</v>
      </c>
      <c r="X459" s="42" t="n">
        <f aca="false">U459/W459</f>
        <v>0.0967741935483871</v>
      </c>
      <c r="Y459" s="42" t="n">
        <f aca="false">V459/W459</f>
        <v>0.903225806451613</v>
      </c>
      <c r="Z459" s="35" t="str">
        <f aca="false">IF(W459&gt;=150, "High Demand", IF(W459&gt;=50, "Moderate Demand", "Low Demand"))</f>
        <v>Low Demand</v>
      </c>
      <c r="AA459" s="39" t="str">
        <f aca="false">TEXT(G459, "00") &amp; ":00"</f>
        <v>23:00</v>
      </c>
      <c r="AB459" s="37" t="n">
        <f aca="false">YEAR(B459)</f>
        <v>2011</v>
      </c>
      <c r="AC459" s="35" t="str">
        <f aca="false">TEXT(B459, "mmmm")</f>
        <v>January</v>
      </c>
      <c r="AD459" s="37" t="n">
        <f aca="false">LEN(TEXT(B459, "YYYY-MM-DD"))</f>
        <v>10</v>
      </c>
      <c r="AE459" s="39" t="str">
        <f aca="false">LEFT(TEXT(B459, "YYYY-MM-DD"), 4)</f>
        <v>2011</v>
      </c>
      <c r="AF459" s="39" t="str">
        <f aca="false">RIGHT(TEXT(B459, "YYYY-MM-DD"), 2)</f>
        <v>20</v>
      </c>
    </row>
    <row r="460" customFormat="false" ht="15" hidden="false" customHeight="false" outlineLevel="0" collapsed="false">
      <c r="A460" s="43" t="n">
        <v>456</v>
      </c>
      <c r="B460" s="44" t="s">
        <v>97</v>
      </c>
      <c r="C460" s="43" t="n">
        <v>1</v>
      </c>
      <c r="D460" s="33" t="str">
        <f aca="false">VLOOKUP(C460, Lookups_Metadata!$A$4:$B$7, 2, FALSE())</f>
        <v>Spring</v>
      </c>
      <c r="E460" s="43" t="n">
        <v>0</v>
      </c>
      <c r="F460" s="43" t="n">
        <v>1</v>
      </c>
      <c r="G460" s="43" t="n">
        <v>0</v>
      </c>
      <c r="H460" s="45" t="b">
        <f aca="false">FALSE()</f>
        <v>0</v>
      </c>
      <c r="I460" s="43" t="n">
        <v>5</v>
      </c>
      <c r="J460" s="33" t="str">
        <f aca="false">INDEX(Lookups_Metadata!$E$4:$E$10, MATCH(I460, Lookups_Metadata!$D$4:$D$10, 0))</f>
        <v>Friday</v>
      </c>
      <c r="K460" s="33" t="str">
        <f aca="false">IF(H460=TRUE(), "Holiday", IF(OR(I460=0, I460=6), "Weekend", "Weekday"))</f>
        <v>Weekday</v>
      </c>
      <c r="L460" s="33" t="str">
        <f aca="false">IF(AND(K460="Weekday", OR(AND(G460&gt;=7, G460&lt;=9), AND(G460&gt;=17, G460&lt;=19))), "Peak Commute", "Off-Peak")</f>
        <v>Off-Peak</v>
      </c>
      <c r="M460" s="43" t="n">
        <v>2</v>
      </c>
      <c r="N460" s="33" t="str">
        <f aca="false">VLOOKUP(M460, Lookups_Metadata!$G$4:$H$7, 2, FALSE())</f>
        <v>Mist / Cloudy</v>
      </c>
      <c r="O460" s="46" t="n">
        <v>0.24</v>
      </c>
      <c r="P460" s="46" t="n">
        <v>0.2273</v>
      </c>
      <c r="Q460" s="46" t="n">
        <f aca="false">IF(OR(P460="", ISBLANK(P460)), ROUND(0.9367*O460+0.0175, 4), P460)</f>
        <v>0.2273</v>
      </c>
      <c r="R460" s="33" t="str">
        <f aca="false">IF(OR(P460="", ISBLANK(P460)), "Imputed (Regression/Trend)", "Original")</f>
        <v>Original</v>
      </c>
      <c r="S460" s="46" t="n">
        <v>0.7</v>
      </c>
      <c r="T460" s="46" t="n">
        <v>0.2537</v>
      </c>
      <c r="U460" s="18" t="n">
        <v>1</v>
      </c>
      <c r="V460" s="18" t="n">
        <v>20</v>
      </c>
      <c r="W460" s="18" t="n">
        <f aca="false">U460+V460</f>
        <v>21</v>
      </c>
      <c r="X460" s="47" t="n">
        <f aca="false">U460/W460</f>
        <v>0.0476190476190476</v>
      </c>
      <c r="Y460" s="47" t="n">
        <f aca="false">V460/W460</f>
        <v>0.952380952380952</v>
      </c>
      <c r="Z460" s="33" t="str">
        <f aca="false">IF(W460&gt;=150, "High Demand", IF(W460&gt;=50, "Moderate Demand", "Low Demand"))</f>
        <v>Low Demand</v>
      </c>
      <c r="AA460" s="45" t="str">
        <f aca="false">TEXT(G460, "00") &amp; ":00"</f>
        <v>00:00</v>
      </c>
      <c r="AB460" s="43" t="n">
        <f aca="false">YEAR(B460)</f>
        <v>2011</v>
      </c>
      <c r="AC460" s="33" t="str">
        <f aca="false">TEXT(B460, "mmmm")</f>
        <v>January</v>
      </c>
      <c r="AD460" s="43" t="n">
        <f aca="false">LEN(TEXT(B460, "YYYY-MM-DD"))</f>
        <v>10</v>
      </c>
      <c r="AE460" s="45" t="str">
        <f aca="false">LEFT(TEXT(B460, "YYYY-MM-DD"), 4)</f>
        <v>2011</v>
      </c>
      <c r="AF460" s="45" t="str">
        <f aca="false">RIGHT(TEXT(B460, "YYYY-MM-DD"), 2)</f>
        <v>21</v>
      </c>
    </row>
    <row r="461" customFormat="false" ht="15" hidden="false" customHeight="false" outlineLevel="0" collapsed="false">
      <c r="A461" s="37" t="n">
        <v>457</v>
      </c>
      <c r="B461" s="38" t="s">
        <v>97</v>
      </c>
      <c r="C461" s="37" t="n">
        <v>1</v>
      </c>
      <c r="D461" s="35" t="str">
        <f aca="false">VLOOKUP(C461, Lookups_Metadata!$A$4:$B$7, 2, FALSE())</f>
        <v>Spring</v>
      </c>
      <c r="E461" s="37" t="n">
        <v>0</v>
      </c>
      <c r="F461" s="37" t="n">
        <v>1</v>
      </c>
      <c r="G461" s="37" t="n">
        <v>1</v>
      </c>
      <c r="H461" s="39" t="b">
        <f aca="false">FALSE()</f>
        <v>0</v>
      </c>
      <c r="I461" s="37" t="n">
        <v>5</v>
      </c>
      <c r="J461" s="35" t="str">
        <f aca="false">INDEX(Lookups_Metadata!$E$4:$E$10, MATCH(I461, Lookups_Metadata!$D$4:$D$10, 0))</f>
        <v>Friday</v>
      </c>
      <c r="K461" s="35" t="str">
        <f aca="false">IF(H461=TRUE(), "Holiday", IF(OR(I461=0, I461=6), "Weekend", "Weekday"))</f>
        <v>Weekday</v>
      </c>
      <c r="L461" s="35" t="str">
        <f aca="false">IF(AND(K461="Weekday", OR(AND(G461&gt;=7, G461&lt;=9), AND(G461&gt;=17, G461&lt;=19))), "Peak Commute", "Off-Peak")</f>
        <v>Off-Peak</v>
      </c>
      <c r="M461" s="37" t="n">
        <v>2</v>
      </c>
      <c r="N461" s="35" t="str">
        <f aca="false">VLOOKUP(M461, Lookups_Metadata!$G$4:$H$7, 2, FALSE())</f>
        <v>Mist / Cloudy</v>
      </c>
      <c r="O461" s="40" t="n">
        <v>0.24</v>
      </c>
      <c r="P461" s="40" t="n">
        <v>0.2273</v>
      </c>
      <c r="Q461" s="40" t="n">
        <f aca="false">IF(OR(P461="", ISBLANK(P461)), ROUND(0.9367*O461+0.0175, 4), P461)</f>
        <v>0.2273</v>
      </c>
      <c r="R461" s="35" t="str">
        <f aca="false">IF(OR(P461="", ISBLANK(P461)), "Imputed (Regression/Trend)", "Original")</f>
        <v>Original</v>
      </c>
      <c r="S461" s="40" t="n">
        <v>0.7</v>
      </c>
      <c r="T461" s="40" t="n">
        <v>0.2537</v>
      </c>
      <c r="U461" s="41" t="n">
        <v>0</v>
      </c>
      <c r="V461" s="41" t="n">
        <v>6</v>
      </c>
      <c r="W461" s="41" t="n">
        <f aca="false">U461+V461</f>
        <v>6</v>
      </c>
      <c r="X461" s="42" t="n">
        <f aca="false">U461/W461</f>
        <v>0</v>
      </c>
      <c r="Y461" s="42" t="n">
        <f aca="false">V461/W461</f>
        <v>1</v>
      </c>
      <c r="Z461" s="35" t="str">
        <f aca="false">IF(W461&gt;=150, "High Demand", IF(W461&gt;=50, "Moderate Demand", "Low Demand"))</f>
        <v>Low Demand</v>
      </c>
      <c r="AA461" s="39" t="str">
        <f aca="false">TEXT(G461, "00") &amp; ":00"</f>
        <v>01:00</v>
      </c>
      <c r="AB461" s="37" t="n">
        <f aca="false">YEAR(B461)</f>
        <v>2011</v>
      </c>
      <c r="AC461" s="35" t="str">
        <f aca="false">TEXT(B461, "mmmm")</f>
        <v>January</v>
      </c>
      <c r="AD461" s="37" t="n">
        <f aca="false">LEN(TEXT(B461, "YYYY-MM-DD"))</f>
        <v>10</v>
      </c>
      <c r="AE461" s="39" t="str">
        <f aca="false">LEFT(TEXT(B461, "YYYY-MM-DD"), 4)</f>
        <v>2011</v>
      </c>
      <c r="AF461" s="39" t="str">
        <f aca="false">RIGHT(TEXT(B461, "YYYY-MM-DD"), 2)</f>
        <v>21</v>
      </c>
    </row>
    <row r="462" customFormat="false" ht="15" hidden="false" customHeight="false" outlineLevel="0" collapsed="false">
      <c r="A462" s="43" t="n">
        <v>458</v>
      </c>
      <c r="B462" s="44" t="s">
        <v>97</v>
      </c>
      <c r="C462" s="43" t="n">
        <v>1</v>
      </c>
      <c r="D462" s="33" t="str">
        <f aca="false">VLOOKUP(C462, Lookups_Metadata!$A$4:$B$7, 2, FALSE())</f>
        <v>Spring</v>
      </c>
      <c r="E462" s="43" t="n">
        <v>0</v>
      </c>
      <c r="F462" s="43" t="n">
        <v>1</v>
      </c>
      <c r="G462" s="43" t="n">
        <v>2</v>
      </c>
      <c r="H462" s="45" t="b">
        <f aca="false">FALSE()</f>
        <v>0</v>
      </c>
      <c r="I462" s="43" t="n">
        <v>5</v>
      </c>
      <c r="J462" s="33" t="str">
        <f aca="false">INDEX(Lookups_Metadata!$E$4:$E$10, MATCH(I462, Lookups_Metadata!$D$4:$D$10, 0))</f>
        <v>Friday</v>
      </c>
      <c r="K462" s="33" t="str">
        <f aca="false">IF(H462=TRUE(), "Holiday", IF(OR(I462=0, I462=6), "Weekend", "Weekday"))</f>
        <v>Weekday</v>
      </c>
      <c r="L462" s="33" t="str">
        <f aca="false">IF(AND(K462="Weekday", OR(AND(G462&gt;=7, G462&lt;=9), AND(G462&gt;=17, G462&lt;=19))), "Peak Commute", "Off-Peak")</f>
        <v>Off-Peak</v>
      </c>
      <c r="M462" s="43" t="n">
        <v>3</v>
      </c>
      <c r="N462" s="33" t="str">
        <f aca="false">VLOOKUP(M462, Lookups_Metadata!$G$4:$H$7, 2, FALSE())</f>
        <v>Light Snow / Light Rain</v>
      </c>
      <c r="O462" s="46" t="n">
        <v>0.24</v>
      </c>
      <c r="P462" s="46" t="n">
        <v>0.2424</v>
      </c>
      <c r="Q462" s="46" t="n">
        <f aca="false">IF(OR(P462="", ISBLANK(P462)), ROUND(0.9367*O462+0.0175, 4), P462)</f>
        <v>0.2424</v>
      </c>
      <c r="R462" s="33" t="str">
        <f aca="false">IF(OR(P462="", ISBLANK(P462)), "Imputed (Regression/Trend)", "Original")</f>
        <v>Original</v>
      </c>
      <c r="S462" s="46" t="n">
        <v>0.75</v>
      </c>
      <c r="T462" s="46" t="n">
        <v>0.1642</v>
      </c>
      <c r="U462" s="18" t="n">
        <v>0</v>
      </c>
      <c r="V462" s="18" t="n">
        <v>2</v>
      </c>
      <c r="W462" s="18" t="n">
        <f aca="false">U462+V462</f>
        <v>2</v>
      </c>
      <c r="X462" s="47" t="n">
        <f aca="false">U462/W462</f>
        <v>0</v>
      </c>
      <c r="Y462" s="47" t="n">
        <f aca="false">V462/W462</f>
        <v>1</v>
      </c>
      <c r="Z462" s="33" t="str">
        <f aca="false">IF(W462&gt;=150, "High Demand", IF(W462&gt;=50, "Moderate Demand", "Low Demand"))</f>
        <v>Low Demand</v>
      </c>
      <c r="AA462" s="45" t="str">
        <f aca="false">TEXT(G462, "00") &amp; ":00"</f>
        <v>02:00</v>
      </c>
      <c r="AB462" s="43" t="n">
        <f aca="false">YEAR(B462)</f>
        <v>2011</v>
      </c>
      <c r="AC462" s="33" t="str">
        <f aca="false">TEXT(B462, "mmmm")</f>
        <v>January</v>
      </c>
      <c r="AD462" s="43" t="n">
        <f aca="false">LEN(TEXT(B462, "YYYY-MM-DD"))</f>
        <v>10</v>
      </c>
      <c r="AE462" s="45" t="str">
        <f aca="false">LEFT(TEXT(B462, "YYYY-MM-DD"), 4)</f>
        <v>2011</v>
      </c>
      <c r="AF462" s="45" t="str">
        <f aca="false">RIGHT(TEXT(B462, "YYYY-MM-DD"), 2)</f>
        <v>21</v>
      </c>
    </row>
    <row r="463" customFormat="false" ht="15" hidden="false" customHeight="false" outlineLevel="0" collapsed="false">
      <c r="A463" s="37" t="n">
        <v>459</v>
      </c>
      <c r="B463" s="38" t="s">
        <v>97</v>
      </c>
      <c r="C463" s="37" t="n">
        <v>1</v>
      </c>
      <c r="D463" s="35" t="str">
        <f aca="false">VLOOKUP(C463, Lookups_Metadata!$A$4:$B$7, 2, FALSE())</f>
        <v>Spring</v>
      </c>
      <c r="E463" s="37" t="n">
        <v>0</v>
      </c>
      <c r="F463" s="37" t="n">
        <v>1</v>
      </c>
      <c r="G463" s="37" t="n">
        <v>3</v>
      </c>
      <c r="H463" s="39" t="b">
        <f aca="false">FALSE()</f>
        <v>0</v>
      </c>
      <c r="I463" s="37" t="n">
        <v>5</v>
      </c>
      <c r="J463" s="35" t="str">
        <f aca="false">INDEX(Lookups_Metadata!$E$4:$E$10, MATCH(I463, Lookups_Metadata!$D$4:$D$10, 0))</f>
        <v>Friday</v>
      </c>
      <c r="K463" s="35" t="str">
        <f aca="false">IF(H463=TRUE(), "Holiday", IF(OR(I463=0, I463=6), "Weekend", "Weekday"))</f>
        <v>Weekday</v>
      </c>
      <c r="L463" s="35" t="str">
        <f aca="false">IF(AND(K463="Weekday", OR(AND(G463&gt;=7, G463&lt;=9), AND(G463&gt;=17, G463&lt;=19))), "Peak Commute", "Off-Peak")</f>
        <v>Off-Peak</v>
      </c>
      <c r="M463" s="37" t="n">
        <v>3</v>
      </c>
      <c r="N463" s="35" t="str">
        <f aca="false">VLOOKUP(M463, Lookups_Metadata!$G$4:$H$7, 2, FALSE())</f>
        <v>Light Snow / Light Rain</v>
      </c>
      <c r="O463" s="40" t="n">
        <v>0.22</v>
      </c>
      <c r="P463" s="40" t="n">
        <v>0.2121</v>
      </c>
      <c r="Q463" s="40" t="n">
        <f aca="false">IF(OR(P463="", ISBLANK(P463)), ROUND(0.9367*O463+0.0175, 4), P463)</f>
        <v>0.2121</v>
      </c>
      <c r="R463" s="35" t="str">
        <f aca="false">IF(OR(P463="", ISBLANK(P463)), "Imputed (Regression/Trend)", "Original")</f>
        <v>Original</v>
      </c>
      <c r="S463" s="40" t="n">
        <v>0.8</v>
      </c>
      <c r="T463" s="40" t="n">
        <v>0.2985</v>
      </c>
      <c r="U463" s="41" t="n">
        <v>0</v>
      </c>
      <c r="V463" s="41" t="n">
        <v>1</v>
      </c>
      <c r="W463" s="41" t="n">
        <f aca="false">U463+V463</f>
        <v>1</v>
      </c>
      <c r="X463" s="42" t="n">
        <f aca="false">U463/W463</f>
        <v>0</v>
      </c>
      <c r="Y463" s="42" t="n">
        <f aca="false">V463/W463</f>
        <v>1</v>
      </c>
      <c r="Z463" s="35" t="str">
        <f aca="false">IF(W463&gt;=150, "High Demand", IF(W463&gt;=50, "Moderate Demand", "Low Demand"))</f>
        <v>Low Demand</v>
      </c>
      <c r="AA463" s="39" t="str">
        <f aca="false">TEXT(G463, "00") &amp; ":00"</f>
        <v>03:00</v>
      </c>
      <c r="AB463" s="37" t="n">
        <f aca="false">YEAR(B463)</f>
        <v>2011</v>
      </c>
      <c r="AC463" s="35" t="str">
        <f aca="false">TEXT(B463, "mmmm")</f>
        <v>January</v>
      </c>
      <c r="AD463" s="37" t="n">
        <f aca="false">LEN(TEXT(B463, "YYYY-MM-DD"))</f>
        <v>10</v>
      </c>
      <c r="AE463" s="39" t="str">
        <f aca="false">LEFT(TEXT(B463, "YYYY-MM-DD"), 4)</f>
        <v>2011</v>
      </c>
      <c r="AF463" s="39" t="str">
        <f aca="false">RIGHT(TEXT(B463, "YYYY-MM-DD"), 2)</f>
        <v>21</v>
      </c>
    </row>
    <row r="464" customFormat="false" ht="15" hidden="false" customHeight="false" outlineLevel="0" collapsed="false">
      <c r="A464" s="43" t="n">
        <v>460</v>
      </c>
      <c r="B464" s="44" t="s">
        <v>97</v>
      </c>
      <c r="C464" s="43" t="n">
        <v>1</v>
      </c>
      <c r="D464" s="33" t="str">
        <f aca="false">VLOOKUP(C464, Lookups_Metadata!$A$4:$B$7, 2, FALSE())</f>
        <v>Spring</v>
      </c>
      <c r="E464" s="43" t="n">
        <v>0</v>
      </c>
      <c r="F464" s="43" t="n">
        <v>1</v>
      </c>
      <c r="G464" s="43" t="n">
        <v>4</v>
      </c>
      <c r="H464" s="45" t="b">
        <f aca="false">FALSE()</f>
        <v>0</v>
      </c>
      <c r="I464" s="43" t="n">
        <v>5</v>
      </c>
      <c r="J464" s="33" t="str">
        <f aca="false">INDEX(Lookups_Metadata!$E$4:$E$10, MATCH(I464, Lookups_Metadata!$D$4:$D$10, 0))</f>
        <v>Friday</v>
      </c>
      <c r="K464" s="33" t="str">
        <f aca="false">IF(H464=TRUE(), "Holiday", IF(OR(I464=0, I464=6), "Weekend", "Weekday"))</f>
        <v>Weekday</v>
      </c>
      <c r="L464" s="33" t="str">
        <f aca="false">IF(AND(K464="Weekday", OR(AND(G464&gt;=7, G464&lt;=9), AND(G464&gt;=17, G464&lt;=19))), "Peak Commute", "Off-Peak")</f>
        <v>Off-Peak</v>
      </c>
      <c r="M464" s="43" t="n">
        <v>2</v>
      </c>
      <c r="N464" s="33" t="str">
        <f aca="false">VLOOKUP(M464, Lookups_Metadata!$G$4:$H$7, 2, FALSE())</f>
        <v>Mist / Cloudy</v>
      </c>
      <c r="O464" s="46" t="n">
        <v>0.22</v>
      </c>
      <c r="P464" s="46" t="n">
        <v>0.2576</v>
      </c>
      <c r="Q464" s="46" t="n">
        <f aca="false">IF(OR(P464="", ISBLANK(P464)), ROUND(0.9367*O464+0.0175, 4), P464)</f>
        <v>0.2576</v>
      </c>
      <c r="R464" s="33" t="str">
        <f aca="false">IF(OR(P464="", ISBLANK(P464)), "Imputed (Regression/Trend)", "Original")</f>
        <v>Original</v>
      </c>
      <c r="S464" s="46" t="n">
        <v>0.87</v>
      </c>
      <c r="T464" s="46" t="n">
        <v>0.0896</v>
      </c>
      <c r="U464" s="18" t="n">
        <v>0</v>
      </c>
      <c r="V464" s="18" t="n">
        <v>1</v>
      </c>
      <c r="W464" s="18" t="n">
        <f aca="false">U464+V464</f>
        <v>1</v>
      </c>
      <c r="X464" s="47" t="n">
        <f aca="false">U464/W464</f>
        <v>0</v>
      </c>
      <c r="Y464" s="47" t="n">
        <f aca="false">V464/W464</f>
        <v>1</v>
      </c>
      <c r="Z464" s="33" t="str">
        <f aca="false">IF(W464&gt;=150, "High Demand", IF(W464&gt;=50, "Moderate Demand", "Low Demand"))</f>
        <v>Low Demand</v>
      </c>
      <c r="AA464" s="45" t="str">
        <f aca="false">TEXT(G464, "00") &amp; ":00"</f>
        <v>04:00</v>
      </c>
      <c r="AB464" s="43" t="n">
        <f aca="false">YEAR(B464)</f>
        <v>2011</v>
      </c>
      <c r="AC464" s="33" t="str">
        <f aca="false">TEXT(B464, "mmmm")</f>
        <v>January</v>
      </c>
      <c r="AD464" s="43" t="n">
        <f aca="false">LEN(TEXT(B464, "YYYY-MM-DD"))</f>
        <v>10</v>
      </c>
      <c r="AE464" s="45" t="str">
        <f aca="false">LEFT(TEXT(B464, "YYYY-MM-DD"), 4)</f>
        <v>2011</v>
      </c>
      <c r="AF464" s="45" t="str">
        <f aca="false">RIGHT(TEXT(B464, "YYYY-MM-DD"), 2)</f>
        <v>21</v>
      </c>
    </row>
    <row r="465" customFormat="false" ht="15" hidden="false" customHeight="false" outlineLevel="0" collapsed="false">
      <c r="A465" s="37" t="n">
        <v>461</v>
      </c>
      <c r="B465" s="38" t="s">
        <v>97</v>
      </c>
      <c r="C465" s="37" t="n">
        <v>1</v>
      </c>
      <c r="D465" s="35" t="str">
        <f aca="false">VLOOKUP(C465, Lookups_Metadata!$A$4:$B$7, 2, FALSE())</f>
        <v>Spring</v>
      </c>
      <c r="E465" s="37" t="n">
        <v>0</v>
      </c>
      <c r="F465" s="37" t="n">
        <v>1</v>
      </c>
      <c r="G465" s="37" t="n">
        <v>5</v>
      </c>
      <c r="H465" s="39" t="b">
        <f aca="false">FALSE()</f>
        <v>0</v>
      </c>
      <c r="I465" s="37" t="n">
        <v>5</v>
      </c>
      <c r="J465" s="35" t="str">
        <f aca="false">INDEX(Lookups_Metadata!$E$4:$E$10, MATCH(I465, Lookups_Metadata!$D$4:$D$10, 0))</f>
        <v>Friday</v>
      </c>
      <c r="K465" s="35" t="str">
        <f aca="false">IF(H465=TRUE(), "Holiday", IF(OR(I465=0, I465=6), "Weekend", "Weekday"))</f>
        <v>Weekday</v>
      </c>
      <c r="L465" s="35" t="str">
        <f aca="false">IF(AND(K465="Weekday", OR(AND(G465&gt;=7, G465&lt;=9), AND(G465&gt;=17, G465&lt;=19))), "Peak Commute", "Off-Peak")</f>
        <v>Off-Peak</v>
      </c>
      <c r="M465" s="37" t="n">
        <v>1</v>
      </c>
      <c r="N465" s="35" t="str">
        <f aca="false">VLOOKUP(M465, Lookups_Metadata!$G$4:$H$7, 2, FALSE())</f>
        <v>Clear / Few Clouds</v>
      </c>
      <c r="O465" s="40" t="n">
        <v>0.24</v>
      </c>
      <c r="P465" s="40" t="n">
        <v>0.197</v>
      </c>
      <c r="Q465" s="40" t="n">
        <f aca="false">IF(OR(P465="", ISBLANK(P465)), ROUND(0.9367*O465+0.0175, 4), P465)</f>
        <v>0.197</v>
      </c>
      <c r="R465" s="35" t="str">
        <f aca="false">IF(OR(P465="", ISBLANK(P465)), "Imputed (Regression/Trend)", "Original")</f>
        <v>Original</v>
      </c>
      <c r="S465" s="40" t="n">
        <v>0.6</v>
      </c>
      <c r="T465" s="40" t="n">
        <v>0.4179</v>
      </c>
      <c r="U465" s="41" t="n">
        <v>1</v>
      </c>
      <c r="V465" s="41" t="n">
        <v>4</v>
      </c>
      <c r="W465" s="41" t="n">
        <f aca="false">U465+V465</f>
        <v>5</v>
      </c>
      <c r="X465" s="42" t="n">
        <f aca="false">U465/W465</f>
        <v>0.2</v>
      </c>
      <c r="Y465" s="42" t="n">
        <f aca="false">V465/W465</f>
        <v>0.8</v>
      </c>
      <c r="Z465" s="35" t="str">
        <f aca="false">IF(W465&gt;=150, "High Demand", IF(W465&gt;=50, "Moderate Demand", "Low Demand"))</f>
        <v>Low Demand</v>
      </c>
      <c r="AA465" s="39" t="str">
        <f aca="false">TEXT(G465, "00") &amp; ":00"</f>
        <v>05:00</v>
      </c>
      <c r="AB465" s="37" t="n">
        <f aca="false">YEAR(B465)</f>
        <v>2011</v>
      </c>
      <c r="AC465" s="35" t="str">
        <f aca="false">TEXT(B465, "mmmm")</f>
        <v>January</v>
      </c>
      <c r="AD465" s="37" t="n">
        <f aca="false">LEN(TEXT(B465, "YYYY-MM-DD"))</f>
        <v>10</v>
      </c>
      <c r="AE465" s="39" t="str">
        <f aca="false">LEFT(TEXT(B465, "YYYY-MM-DD"), 4)</f>
        <v>2011</v>
      </c>
      <c r="AF465" s="39" t="str">
        <f aca="false">RIGHT(TEXT(B465, "YYYY-MM-DD"), 2)</f>
        <v>21</v>
      </c>
    </row>
    <row r="466" customFormat="false" ht="15" hidden="false" customHeight="false" outlineLevel="0" collapsed="false">
      <c r="A466" s="43" t="n">
        <v>462</v>
      </c>
      <c r="B466" s="44" t="s">
        <v>97</v>
      </c>
      <c r="C466" s="43" t="n">
        <v>1</v>
      </c>
      <c r="D466" s="33" t="str">
        <f aca="false">VLOOKUP(C466, Lookups_Metadata!$A$4:$B$7, 2, FALSE())</f>
        <v>Spring</v>
      </c>
      <c r="E466" s="43" t="n">
        <v>0</v>
      </c>
      <c r="F466" s="43" t="n">
        <v>1</v>
      </c>
      <c r="G466" s="43" t="n">
        <v>6</v>
      </c>
      <c r="H466" s="45" t="b">
        <f aca="false">FALSE()</f>
        <v>0</v>
      </c>
      <c r="I466" s="43" t="n">
        <v>5</v>
      </c>
      <c r="J466" s="33" t="str">
        <f aca="false">INDEX(Lookups_Metadata!$E$4:$E$10, MATCH(I466, Lookups_Metadata!$D$4:$D$10, 0))</f>
        <v>Friday</v>
      </c>
      <c r="K466" s="33" t="str">
        <f aca="false">IF(H466=TRUE(), "Holiday", IF(OR(I466=0, I466=6), "Weekend", "Weekday"))</f>
        <v>Weekday</v>
      </c>
      <c r="L466" s="33" t="str">
        <f aca="false">IF(AND(K466="Weekday", OR(AND(G466&gt;=7, G466&lt;=9), AND(G466&gt;=17, G466&lt;=19))), "Peak Commute", "Off-Peak")</f>
        <v>Off-Peak</v>
      </c>
      <c r="M466" s="43" t="n">
        <v>1</v>
      </c>
      <c r="N466" s="33" t="str">
        <f aca="false">VLOOKUP(M466, Lookups_Metadata!$G$4:$H$7, 2, FALSE())</f>
        <v>Clear / Few Clouds</v>
      </c>
      <c r="O466" s="46" t="n">
        <v>0.22</v>
      </c>
      <c r="P466" s="46" t="n">
        <v>0.2121</v>
      </c>
      <c r="Q466" s="46" t="n">
        <f aca="false">IF(OR(P466="", ISBLANK(P466)), ROUND(0.9367*O466+0.0175, 4), P466)</f>
        <v>0.2121</v>
      </c>
      <c r="R466" s="33" t="str">
        <f aca="false">IF(OR(P466="", ISBLANK(P466)), "Imputed (Regression/Trend)", "Original")</f>
        <v>Original</v>
      </c>
      <c r="S466" s="46" t="n">
        <v>0.55</v>
      </c>
      <c r="T466" s="46" t="n">
        <v>0.2537</v>
      </c>
      <c r="U466" s="18" t="n">
        <v>0</v>
      </c>
      <c r="V466" s="18" t="n">
        <v>27</v>
      </c>
      <c r="W466" s="18" t="n">
        <f aca="false">U466+V466</f>
        <v>27</v>
      </c>
      <c r="X466" s="47" t="n">
        <f aca="false">U466/W466</f>
        <v>0</v>
      </c>
      <c r="Y466" s="47" t="n">
        <f aca="false">V466/W466</f>
        <v>1</v>
      </c>
      <c r="Z466" s="33" t="str">
        <f aca="false">IF(W466&gt;=150, "High Demand", IF(W466&gt;=50, "Moderate Demand", "Low Demand"))</f>
        <v>Low Demand</v>
      </c>
      <c r="AA466" s="45" t="str">
        <f aca="false">TEXT(G466, "00") &amp; ":00"</f>
        <v>06:00</v>
      </c>
      <c r="AB466" s="43" t="n">
        <f aca="false">YEAR(B466)</f>
        <v>2011</v>
      </c>
      <c r="AC466" s="33" t="str">
        <f aca="false">TEXT(B466, "mmmm")</f>
        <v>January</v>
      </c>
      <c r="AD466" s="43" t="n">
        <f aca="false">LEN(TEXT(B466, "YYYY-MM-DD"))</f>
        <v>10</v>
      </c>
      <c r="AE466" s="45" t="str">
        <f aca="false">LEFT(TEXT(B466, "YYYY-MM-DD"), 4)</f>
        <v>2011</v>
      </c>
      <c r="AF466" s="45" t="str">
        <f aca="false">RIGHT(TEXT(B466, "YYYY-MM-DD"), 2)</f>
        <v>21</v>
      </c>
    </row>
    <row r="467" customFormat="false" ht="15" hidden="false" customHeight="false" outlineLevel="0" collapsed="false">
      <c r="A467" s="37" t="n">
        <v>463</v>
      </c>
      <c r="B467" s="38" t="s">
        <v>97</v>
      </c>
      <c r="C467" s="37" t="n">
        <v>1</v>
      </c>
      <c r="D467" s="35" t="str">
        <f aca="false">VLOOKUP(C467, Lookups_Metadata!$A$4:$B$7, 2, FALSE())</f>
        <v>Spring</v>
      </c>
      <c r="E467" s="37" t="n">
        <v>0</v>
      </c>
      <c r="F467" s="37" t="n">
        <v>1</v>
      </c>
      <c r="G467" s="37" t="n">
        <v>7</v>
      </c>
      <c r="H467" s="39" t="b">
        <f aca="false">FALSE()</f>
        <v>0</v>
      </c>
      <c r="I467" s="37" t="n">
        <v>5</v>
      </c>
      <c r="J467" s="35" t="str">
        <f aca="false">INDEX(Lookups_Metadata!$E$4:$E$10, MATCH(I467, Lookups_Metadata!$D$4:$D$10, 0))</f>
        <v>Friday</v>
      </c>
      <c r="K467" s="35" t="str">
        <f aca="false">IF(H467=TRUE(), "Holiday", IF(OR(I467=0, I467=6), "Weekend", "Weekday"))</f>
        <v>Weekday</v>
      </c>
      <c r="L467" s="35" t="str">
        <f aca="false">IF(AND(K467="Weekday", OR(AND(G467&gt;=7, G467&lt;=9), AND(G467&gt;=17, G467&lt;=19))), "Peak Commute", "Off-Peak")</f>
        <v>Peak Commute</v>
      </c>
      <c r="M467" s="37" t="n">
        <v>1</v>
      </c>
      <c r="N467" s="35" t="str">
        <f aca="false">VLOOKUP(M467, Lookups_Metadata!$G$4:$H$7, 2, FALSE())</f>
        <v>Clear / Few Clouds</v>
      </c>
      <c r="O467" s="40" t="n">
        <v>0.2</v>
      </c>
      <c r="P467" s="40" t="n">
        <v>0.1818</v>
      </c>
      <c r="Q467" s="40" t="n">
        <f aca="false">IF(OR(P467="", ISBLANK(P467)), ROUND(0.9367*O467+0.0175, 4), P467)</f>
        <v>0.1818</v>
      </c>
      <c r="R467" s="35" t="str">
        <f aca="false">IF(OR(P467="", ISBLANK(P467)), "Imputed (Regression/Trend)", "Original")</f>
        <v>Original</v>
      </c>
      <c r="S467" s="40" t="n">
        <v>0.51</v>
      </c>
      <c r="T467" s="40" t="n">
        <v>0.2836</v>
      </c>
      <c r="U467" s="41" t="n">
        <v>2</v>
      </c>
      <c r="V467" s="41" t="n">
        <v>66</v>
      </c>
      <c r="W467" s="41" t="n">
        <f aca="false">U467+V467</f>
        <v>68</v>
      </c>
      <c r="X467" s="42" t="n">
        <f aca="false">U467/W467</f>
        <v>0.0294117647058824</v>
      </c>
      <c r="Y467" s="42" t="n">
        <f aca="false">V467/W467</f>
        <v>0.970588235294118</v>
      </c>
      <c r="Z467" s="35" t="str">
        <f aca="false">IF(W467&gt;=150, "High Demand", IF(W467&gt;=50, "Moderate Demand", "Low Demand"))</f>
        <v>Moderate Demand</v>
      </c>
      <c r="AA467" s="39" t="str">
        <f aca="false">TEXT(G467, "00") &amp; ":00"</f>
        <v>07:00</v>
      </c>
      <c r="AB467" s="37" t="n">
        <f aca="false">YEAR(B467)</f>
        <v>2011</v>
      </c>
      <c r="AC467" s="35" t="str">
        <f aca="false">TEXT(B467, "mmmm")</f>
        <v>January</v>
      </c>
      <c r="AD467" s="37" t="n">
        <f aca="false">LEN(TEXT(B467, "YYYY-MM-DD"))</f>
        <v>10</v>
      </c>
      <c r="AE467" s="39" t="str">
        <f aca="false">LEFT(TEXT(B467, "YYYY-MM-DD"), 4)</f>
        <v>2011</v>
      </c>
      <c r="AF467" s="39" t="str">
        <f aca="false">RIGHT(TEXT(B467, "YYYY-MM-DD"), 2)</f>
        <v>21</v>
      </c>
    </row>
    <row r="468" customFormat="false" ht="15" hidden="false" customHeight="false" outlineLevel="0" collapsed="false">
      <c r="A468" s="43" t="n">
        <v>464</v>
      </c>
      <c r="B468" s="44" t="s">
        <v>97</v>
      </c>
      <c r="C468" s="43" t="n">
        <v>1</v>
      </c>
      <c r="D468" s="33" t="str">
        <f aca="false">VLOOKUP(C468, Lookups_Metadata!$A$4:$B$7, 2, FALSE())</f>
        <v>Spring</v>
      </c>
      <c r="E468" s="43" t="n">
        <v>0</v>
      </c>
      <c r="F468" s="43" t="n">
        <v>1</v>
      </c>
      <c r="G468" s="43" t="n">
        <v>8</v>
      </c>
      <c r="H468" s="45" t="b">
        <f aca="false">FALSE()</f>
        <v>0</v>
      </c>
      <c r="I468" s="43" t="n">
        <v>5</v>
      </c>
      <c r="J468" s="33" t="str">
        <f aca="false">INDEX(Lookups_Metadata!$E$4:$E$10, MATCH(I468, Lookups_Metadata!$D$4:$D$10, 0))</f>
        <v>Friday</v>
      </c>
      <c r="K468" s="33" t="str">
        <f aca="false">IF(H468=TRUE(), "Holiday", IF(OR(I468=0, I468=6), "Weekend", "Weekday"))</f>
        <v>Weekday</v>
      </c>
      <c r="L468" s="33" t="str">
        <f aca="false">IF(AND(K468="Weekday", OR(AND(G468&gt;=7, G468&lt;=9), AND(G468&gt;=17, G468&lt;=19))), "Peak Commute", "Off-Peak")</f>
        <v>Peak Commute</v>
      </c>
      <c r="M468" s="43" t="n">
        <v>1</v>
      </c>
      <c r="N468" s="33" t="str">
        <f aca="false">VLOOKUP(M468, Lookups_Metadata!$G$4:$H$7, 2, FALSE())</f>
        <v>Clear / Few Clouds</v>
      </c>
      <c r="O468" s="46" t="n">
        <v>0.2</v>
      </c>
      <c r="P468" s="46" t="n">
        <v>0.1818</v>
      </c>
      <c r="Q468" s="46" t="n">
        <f aca="false">IF(OR(P468="", ISBLANK(P468)), ROUND(0.9367*O468+0.0175, 4), P468)</f>
        <v>0.1818</v>
      </c>
      <c r="R468" s="33" t="str">
        <f aca="false">IF(OR(P468="", ISBLANK(P468)), "Imputed (Regression/Trend)", "Original")</f>
        <v>Original</v>
      </c>
      <c r="S468" s="46" t="n">
        <v>0.47</v>
      </c>
      <c r="T468" s="46" t="n">
        <v>0.3284</v>
      </c>
      <c r="U468" s="18" t="n">
        <v>7</v>
      </c>
      <c r="V468" s="18" t="n">
        <v>210</v>
      </c>
      <c r="W468" s="18" t="n">
        <f aca="false">U468+V468</f>
        <v>217</v>
      </c>
      <c r="X468" s="47" t="n">
        <f aca="false">U468/W468</f>
        <v>0.032258064516129</v>
      </c>
      <c r="Y468" s="47" t="n">
        <f aca="false">V468/W468</f>
        <v>0.967741935483871</v>
      </c>
      <c r="Z468" s="33" t="str">
        <f aca="false">IF(W468&gt;=150, "High Demand", IF(W468&gt;=50, "Moderate Demand", "Low Demand"))</f>
        <v>High Demand</v>
      </c>
      <c r="AA468" s="45" t="str">
        <f aca="false">TEXT(G468, "00") &amp; ":00"</f>
        <v>08:00</v>
      </c>
      <c r="AB468" s="43" t="n">
        <f aca="false">YEAR(B468)</f>
        <v>2011</v>
      </c>
      <c r="AC468" s="33" t="str">
        <f aca="false">TEXT(B468, "mmmm")</f>
        <v>January</v>
      </c>
      <c r="AD468" s="43" t="n">
        <f aca="false">LEN(TEXT(B468, "YYYY-MM-DD"))</f>
        <v>10</v>
      </c>
      <c r="AE468" s="45" t="str">
        <f aca="false">LEFT(TEXT(B468, "YYYY-MM-DD"), 4)</f>
        <v>2011</v>
      </c>
      <c r="AF468" s="45" t="str">
        <f aca="false">RIGHT(TEXT(B468, "YYYY-MM-DD"), 2)</f>
        <v>21</v>
      </c>
    </row>
    <row r="469" customFormat="false" ht="15" hidden="false" customHeight="false" outlineLevel="0" collapsed="false">
      <c r="A469" s="37" t="n">
        <v>465</v>
      </c>
      <c r="B469" s="38" t="s">
        <v>97</v>
      </c>
      <c r="C469" s="37" t="n">
        <v>1</v>
      </c>
      <c r="D469" s="35" t="str">
        <f aca="false">VLOOKUP(C469, Lookups_Metadata!$A$4:$B$7, 2, FALSE())</f>
        <v>Spring</v>
      </c>
      <c r="E469" s="37" t="n">
        <v>0</v>
      </c>
      <c r="F469" s="37" t="n">
        <v>1</v>
      </c>
      <c r="G469" s="37" t="n">
        <v>9</v>
      </c>
      <c r="H469" s="39" t="b">
        <f aca="false">FALSE()</f>
        <v>0</v>
      </c>
      <c r="I469" s="37" t="n">
        <v>5</v>
      </c>
      <c r="J469" s="35" t="str">
        <f aca="false">INDEX(Lookups_Metadata!$E$4:$E$10, MATCH(I469, Lookups_Metadata!$D$4:$D$10, 0))</f>
        <v>Friday</v>
      </c>
      <c r="K469" s="35" t="str">
        <f aca="false">IF(H469=TRUE(), "Holiday", IF(OR(I469=0, I469=6), "Weekend", "Weekday"))</f>
        <v>Weekday</v>
      </c>
      <c r="L469" s="35" t="str">
        <f aca="false">IF(AND(K469="Weekday", OR(AND(G469&gt;=7, G469&lt;=9), AND(G469&gt;=17, G469&lt;=19))), "Peak Commute", "Off-Peak")</f>
        <v>Peak Commute</v>
      </c>
      <c r="M469" s="37" t="n">
        <v>1</v>
      </c>
      <c r="N469" s="35" t="str">
        <f aca="false">VLOOKUP(M469, Lookups_Metadata!$G$4:$H$7, 2, FALSE())</f>
        <v>Clear / Few Clouds</v>
      </c>
      <c r="O469" s="40" t="n">
        <v>0.2</v>
      </c>
      <c r="P469" s="40" t="n">
        <v>0.1818</v>
      </c>
      <c r="Q469" s="40" t="n">
        <f aca="false">IF(OR(P469="", ISBLANK(P469)), ROUND(0.9367*O469+0.0175, 4), P469)</f>
        <v>0.1818</v>
      </c>
      <c r="R469" s="35" t="str">
        <f aca="false">IF(OR(P469="", ISBLANK(P469)), "Imputed (Regression/Trend)", "Original")</f>
        <v>Original</v>
      </c>
      <c r="S469" s="40" t="n">
        <v>0.51</v>
      </c>
      <c r="T469" s="40" t="n">
        <v>0.3582</v>
      </c>
      <c r="U469" s="41" t="n">
        <v>7</v>
      </c>
      <c r="V469" s="41" t="n">
        <v>159</v>
      </c>
      <c r="W469" s="41" t="n">
        <f aca="false">U469+V469</f>
        <v>166</v>
      </c>
      <c r="X469" s="42" t="n">
        <f aca="false">U469/W469</f>
        <v>0.0421686746987952</v>
      </c>
      <c r="Y469" s="42" t="n">
        <f aca="false">V469/W469</f>
        <v>0.957831325301205</v>
      </c>
      <c r="Z469" s="35" t="str">
        <f aca="false">IF(W469&gt;=150, "High Demand", IF(W469&gt;=50, "Moderate Demand", "Low Demand"))</f>
        <v>High Demand</v>
      </c>
      <c r="AA469" s="39" t="str">
        <f aca="false">TEXT(G469, "00") &amp; ":00"</f>
        <v>09:00</v>
      </c>
      <c r="AB469" s="37" t="n">
        <f aca="false">YEAR(B469)</f>
        <v>2011</v>
      </c>
      <c r="AC469" s="35" t="str">
        <f aca="false">TEXT(B469, "mmmm")</f>
        <v>January</v>
      </c>
      <c r="AD469" s="37" t="n">
        <f aca="false">LEN(TEXT(B469, "YYYY-MM-DD"))</f>
        <v>10</v>
      </c>
      <c r="AE469" s="39" t="str">
        <f aca="false">LEFT(TEXT(B469, "YYYY-MM-DD"), 4)</f>
        <v>2011</v>
      </c>
      <c r="AF469" s="39" t="str">
        <f aca="false">RIGHT(TEXT(B469, "YYYY-MM-DD"), 2)</f>
        <v>21</v>
      </c>
    </row>
    <row r="470" customFormat="false" ht="15" hidden="false" customHeight="false" outlineLevel="0" collapsed="false">
      <c r="A470" s="43" t="n">
        <v>466</v>
      </c>
      <c r="B470" s="44" t="s">
        <v>97</v>
      </c>
      <c r="C470" s="43" t="n">
        <v>1</v>
      </c>
      <c r="D470" s="33" t="str">
        <f aca="false">VLOOKUP(C470, Lookups_Metadata!$A$4:$B$7, 2, FALSE())</f>
        <v>Spring</v>
      </c>
      <c r="E470" s="43" t="n">
        <v>0</v>
      </c>
      <c r="F470" s="43" t="n">
        <v>1</v>
      </c>
      <c r="G470" s="43" t="n">
        <v>10</v>
      </c>
      <c r="H470" s="45" t="b">
        <f aca="false">FALSE()</f>
        <v>0</v>
      </c>
      <c r="I470" s="43" t="n">
        <v>5</v>
      </c>
      <c r="J470" s="33" t="str">
        <f aca="false">INDEX(Lookups_Metadata!$E$4:$E$10, MATCH(I470, Lookups_Metadata!$D$4:$D$10, 0))</f>
        <v>Friday</v>
      </c>
      <c r="K470" s="33" t="str">
        <f aca="false">IF(H470=TRUE(), "Holiday", IF(OR(I470=0, I470=6), "Weekend", "Weekday"))</f>
        <v>Weekday</v>
      </c>
      <c r="L470" s="33" t="str">
        <f aca="false">IF(AND(K470="Weekday", OR(AND(G470&gt;=7, G470&lt;=9), AND(G470&gt;=17, G470&lt;=19))), "Peak Commute", "Off-Peak")</f>
        <v>Off-Peak</v>
      </c>
      <c r="M470" s="43" t="n">
        <v>1</v>
      </c>
      <c r="N470" s="33" t="str">
        <f aca="false">VLOOKUP(M470, Lookups_Metadata!$G$4:$H$7, 2, FALSE())</f>
        <v>Clear / Few Clouds</v>
      </c>
      <c r="O470" s="46" t="n">
        <v>0.2</v>
      </c>
      <c r="P470" s="46" t="n">
        <v>0.1667</v>
      </c>
      <c r="Q470" s="46" t="n">
        <f aca="false">IF(OR(P470="", ISBLANK(P470)), ROUND(0.9367*O470+0.0175, 4), P470)</f>
        <v>0.1667</v>
      </c>
      <c r="R470" s="33" t="str">
        <f aca="false">IF(OR(P470="", ISBLANK(P470)), "Imputed (Regression/Trend)", "Original")</f>
        <v>Original</v>
      </c>
      <c r="S470" s="46" t="n">
        <v>0.47</v>
      </c>
      <c r="T470" s="46" t="n">
        <v>0.4627</v>
      </c>
      <c r="U470" s="18" t="n">
        <v>6</v>
      </c>
      <c r="V470" s="18" t="n">
        <v>57</v>
      </c>
      <c r="W470" s="18" t="n">
        <f aca="false">U470+V470</f>
        <v>63</v>
      </c>
      <c r="X470" s="47" t="n">
        <f aca="false">U470/W470</f>
        <v>0.0952380952380952</v>
      </c>
      <c r="Y470" s="47" t="n">
        <f aca="false">V470/W470</f>
        <v>0.904761904761905</v>
      </c>
      <c r="Z470" s="33" t="str">
        <f aca="false">IF(W470&gt;=150, "High Demand", IF(W470&gt;=50, "Moderate Demand", "Low Demand"))</f>
        <v>Moderate Demand</v>
      </c>
      <c r="AA470" s="45" t="str">
        <f aca="false">TEXT(G470, "00") &amp; ":00"</f>
        <v>10:00</v>
      </c>
      <c r="AB470" s="43" t="n">
        <f aca="false">YEAR(B470)</f>
        <v>2011</v>
      </c>
      <c r="AC470" s="33" t="str">
        <f aca="false">TEXT(B470, "mmmm")</f>
        <v>January</v>
      </c>
      <c r="AD470" s="43" t="n">
        <f aca="false">LEN(TEXT(B470, "YYYY-MM-DD"))</f>
        <v>10</v>
      </c>
      <c r="AE470" s="45" t="str">
        <f aca="false">LEFT(TEXT(B470, "YYYY-MM-DD"), 4)</f>
        <v>2011</v>
      </c>
      <c r="AF470" s="45" t="str">
        <f aca="false">RIGHT(TEXT(B470, "YYYY-MM-DD"), 2)</f>
        <v>21</v>
      </c>
    </row>
    <row r="471" customFormat="false" ht="15" hidden="false" customHeight="false" outlineLevel="0" collapsed="false">
      <c r="A471" s="37" t="n">
        <v>467</v>
      </c>
      <c r="B471" s="38" t="s">
        <v>97</v>
      </c>
      <c r="C471" s="37" t="n">
        <v>1</v>
      </c>
      <c r="D471" s="35" t="str">
        <f aca="false">VLOOKUP(C471, Lookups_Metadata!$A$4:$B$7, 2, FALSE())</f>
        <v>Spring</v>
      </c>
      <c r="E471" s="37" t="n">
        <v>0</v>
      </c>
      <c r="F471" s="37" t="n">
        <v>1</v>
      </c>
      <c r="G471" s="37" t="n">
        <v>11</v>
      </c>
      <c r="H471" s="39" t="b">
        <f aca="false">FALSE()</f>
        <v>0</v>
      </c>
      <c r="I471" s="37" t="n">
        <v>5</v>
      </c>
      <c r="J471" s="35" t="str">
        <f aca="false">INDEX(Lookups_Metadata!$E$4:$E$10, MATCH(I471, Lookups_Metadata!$D$4:$D$10, 0))</f>
        <v>Friday</v>
      </c>
      <c r="K471" s="35" t="str">
        <f aca="false">IF(H471=TRUE(), "Holiday", IF(OR(I471=0, I471=6), "Weekend", "Weekday"))</f>
        <v>Weekday</v>
      </c>
      <c r="L471" s="35" t="str">
        <f aca="false">IF(AND(K471="Weekday", OR(AND(G471&gt;=7, G471&lt;=9), AND(G471&gt;=17, G471&lt;=19))), "Peak Commute", "Off-Peak")</f>
        <v>Off-Peak</v>
      </c>
      <c r="M471" s="37" t="n">
        <v>1</v>
      </c>
      <c r="N471" s="35" t="str">
        <f aca="false">VLOOKUP(M471, Lookups_Metadata!$G$4:$H$7, 2, FALSE())</f>
        <v>Clear / Few Clouds</v>
      </c>
      <c r="O471" s="40" t="n">
        <v>0.22</v>
      </c>
      <c r="P471" s="40" t="n">
        <v>0.1818</v>
      </c>
      <c r="Q471" s="40" t="n">
        <f aca="false">IF(OR(P471="", ISBLANK(P471)), ROUND(0.9367*O471+0.0175, 4), P471)</f>
        <v>0.1818</v>
      </c>
      <c r="R471" s="35" t="str">
        <f aca="false">IF(OR(P471="", ISBLANK(P471)), "Imputed (Regression/Trend)", "Original")</f>
        <v>Original</v>
      </c>
      <c r="S471" s="40" t="n">
        <v>0.41</v>
      </c>
      <c r="T471" s="40" t="n">
        <v>0.4627</v>
      </c>
      <c r="U471" s="41" t="n">
        <v>6</v>
      </c>
      <c r="V471" s="41" t="n">
        <v>53</v>
      </c>
      <c r="W471" s="41" t="n">
        <f aca="false">U471+V471</f>
        <v>59</v>
      </c>
      <c r="X471" s="42" t="n">
        <f aca="false">U471/W471</f>
        <v>0.101694915254237</v>
      </c>
      <c r="Y471" s="42" t="n">
        <f aca="false">V471/W471</f>
        <v>0.898305084745763</v>
      </c>
      <c r="Z471" s="35" t="str">
        <f aca="false">IF(W471&gt;=150, "High Demand", IF(W471&gt;=50, "Moderate Demand", "Low Demand"))</f>
        <v>Moderate Demand</v>
      </c>
      <c r="AA471" s="39" t="str">
        <f aca="false">TEXT(G471, "00") &amp; ":00"</f>
        <v>11:00</v>
      </c>
      <c r="AB471" s="37" t="n">
        <f aca="false">YEAR(B471)</f>
        <v>2011</v>
      </c>
      <c r="AC471" s="35" t="str">
        <f aca="false">TEXT(B471, "mmmm")</f>
        <v>January</v>
      </c>
      <c r="AD471" s="37" t="n">
        <f aca="false">LEN(TEXT(B471, "YYYY-MM-DD"))</f>
        <v>10</v>
      </c>
      <c r="AE471" s="39" t="str">
        <f aca="false">LEFT(TEXT(B471, "YYYY-MM-DD"), 4)</f>
        <v>2011</v>
      </c>
      <c r="AF471" s="39" t="str">
        <f aca="false">RIGHT(TEXT(B471, "YYYY-MM-DD"), 2)</f>
        <v>21</v>
      </c>
    </row>
    <row r="472" customFormat="false" ht="15" hidden="false" customHeight="false" outlineLevel="0" collapsed="false">
      <c r="A472" s="43" t="n">
        <v>468</v>
      </c>
      <c r="B472" s="44" t="s">
        <v>97</v>
      </c>
      <c r="C472" s="43" t="n">
        <v>1</v>
      </c>
      <c r="D472" s="33" t="str">
        <f aca="false">VLOOKUP(C472, Lookups_Metadata!$A$4:$B$7, 2, FALSE())</f>
        <v>Spring</v>
      </c>
      <c r="E472" s="43" t="n">
        <v>0</v>
      </c>
      <c r="F472" s="43" t="n">
        <v>1</v>
      </c>
      <c r="G472" s="43" t="n">
        <v>12</v>
      </c>
      <c r="H472" s="45" t="b">
        <f aca="false">FALSE()</f>
        <v>0</v>
      </c>
      <c r="I472" s="43" t="n">
        <v>5</v>
      </c>
      <c r="J472" s="33" t="str">
        <f aca="false">INDEX(Lookups_Metadata!$E$4:$E$10, MATCH(I472, Lookups_Metadata!$D$4:$D$10, 0))</f>
        <v>Friday</v>
      </c>
      <c r="K472" s="33" t="str">
        <f aca="false">IF(H472=TRUE(), "Holiday", IF(OR(I472=0, I472=6), "Weekend", "Weekday"))</f>
        <v>Weekday</v>
      </c>
      <c r="L472" s="33" t="str">
        <f aca="false">IF(AND(K472="Weekday", OR(AND(G472&gt;=7, G472&lt;=9), AND(G472&gt;=17, G472&lt;=19))), "Peak Commute", "Off-Peak")</f>
        <v>Off-Peak</v>
      </c>
      <c r="M472" s="43" t="n">
        <v>1</v>
      </c>
      <c r="N472" s="33" t="str">
        <f aca="false">VLOOKUP(M472, Lookups_Metadata!$G$4:$H$7, 2, FALSE())</f>
        <v>Clear / Few Clouds</v>
      </c>
      <c r="O472" s="46" t="n">
        <v>0.22</v>
      </c>
      <c r="P472" s="46" t="n">
        <v>0.1818</v>
      </c>
      <c r="Q472" s="46" t="n">
        <f aca="false">IF(OR(P472="", ISBLANK(P472)), ROUND(0.9367*O472+0.0175, 4), P472)</f>
        <v>0.1818</v>
      </c>
      <c r="R472" s="33" t="str">
        <f aca="false">IF(OR(P472="", ISBLANK(P472)), "Imputed (Regression/Trend)", "Original")</f>
        <v>Original</v>
      </c>
      <c r="S472" s="46" t="n">
        <v>0.27</v>
      </c>
      <c r="T472" s="46" t="n">
        <v>0.5821</v>
      </c>
      <c r="U472" s="18" t="n">
        <v>11</v>
      </c>
      <c r="V472" s="18" t="n">
        <v>67</v>
      </c>
      <c r="W472" s="18" t="n">
        <f aca="false">U472+V472</f>
        <v>78</v>
      </c>
      <c r="X472" s="47" t="n">
        <f aca="false">U472/W472</f>
        <v>0.141025641025641</v>
      </c>
      <c r="Y472" s="47" t="n">
        <f aca="false">V472/W472</f>
        <v>0.858974358974359</v>
      </c>
      <c r="Z472" s="33" t="str">
        <f aca="false">IF(W472&gt;=150, "High Demand", IF(W472&gt;=50, "Moderate Demand", "Low Demand"))</f>
        <v>Moderate Demand</v>
      </c>
      <c r="AA472" s="45" t="str">
        <f aca="false">TEXT(G472, "00") &amp; ":00"</f>
        <v>12:00</v>
      </c>
      <c r="AB472" s="43" t="n">
        <f aca="false">YEAR(B472)</f>
        <v>2011</v>
      </c>
      <c r="AC472" s="33" t="str">
        <f aca="false">TEXT(B472, "mmmm")</f>
        <v>January</v>
      </c>
      <c r="AD472" s="43" t="n">
        <f aca="false">LEN(TEXT(B472, "YYYY-MM-DD"))</f>
        <v>10</v>
      </c>
      <c r="AE472" s="45" t="str">
        <f aca="false">LEFT(TEXT(B472, "YYYY-MM-DD"), 4)</f>
        <v>2011</v>
      </c>
      <c r="AF472" s="45" t="str">
        <f aca="false">RIGHT(TEXT(B472, "YYYY-MM-DD"), 2)</f>
        <v>21</v>
      </c>
    </row>
    <row r="473" customFormat="false" ht="15" hidden="false" customHeight="false" outlineLevel="0" collapsed="false">
      <c r="A473" s="37" t="n">
        <v>469</v>
      </c>
      <c r="B473" s="38" t="s">
        <v>97</v>
      </c>
      <c r="C473" s="37" t="n">
        <v>1</v>
      </c>
      <c r="D473" s="35" t="str">
        <f aca="false">VLOOKUP(C473, Lookups_Metadata!$A$4:$B$7, 2, FALSE())</f>
        <v>Spring</v>
      </c>
      <c r="E473" s="37" t="n">
        <v>0</v>
      </c>
      <c r="F473" s="37" t="n">
        <v>1</v>
      </c>
      <c r="G473" s="37" t="n">
        <v>13</v>
      </c>
      <c r="H473" s="39" t="b">
        <f aca="false">FALSE()</f>
        <v>0</v>
      </c>
      <c r="I473" s="37" t="n">
        <v>5</v>
      </c>
      <c r="J473" s="35" t="str">
        <f aca="false">INDEX(Lookups_Metadata!$E$4:$E$10, MATCH(I473, Lookups_Metadata!$D$4:$D$10, 0))</f>
        <v>Friday</v>
      </c>
      <c r="K473" s="35" t="str">
        <f aca="false">IF(H473=TRUE(), "Holiday", IF(OR(I473=0, I473=6), "Weekend", "Weekday"))</f>
        <v>Weekday</v>
      </c>
      <c r="L473" s="35" t="str">
        <f aca="false">IF(AND(K473="Weekday", OR(AND(G473&gt;=7, G473&lt;=9), AND(G473&gt;=17, G473&lt;=19))), "Peak Commute", "Off-Peak")</f>
        <v>Off-Peak</v>
      </c>
      <c r="M473" s="37" t="n">
        <v>1</v>
      </c>
      <c r="N473" s="35" t="str">
        <f aca="false">VLOOKUP(M473, Lookups_Metadata!$G$4:$H$7, 2, FALSE())</f>
        <v>Clear / Few Clouds</v>
      </c>
      <c r="O473" s="40" t="n">
        <v>0.2</v>
      </c>
      <c r="P473" s="40" t="n">
        <v>0.1515</v>
      </c>
      <c r="Q473" s="40" t="n">
        <f aca="false">IF(OR(P473="", ISBLANK(P473)), ROUND(0.9367*O473+0.0175, 4), P473)</f>
        <v>0.1515</v>
      </c>
      <c r="R473" s="35" t="str">
        <f aca="false">IF(OR(P473="", ISBLANK(P473)), "Imputed (Regression/Trend)", "Original")</f>
        <v>Original</v>
      </c>
      <c r="S473" s="40" t="n">
        <v>0.21</v>
      </c>
      <c r="T473" s="40" t="n">
        <v>0.5821</v>
      </c>
      <c r="U473" s="41" t="n">
        <v>8</v>
      </c>
      <c r="V473" s="41" t="n">
        <v>65</v>
      </c>
      <c r="W473" s="41" t="n">
        <f aca="false">U473+V473</f>
        <v>73</v>
      </c>
      <c r="X473" s="42" t="n">
        <f aca="false">U473/W473</f>
        <v>0.10958904109589</v>
      </c>
      <c r="Y473" s="42" t="n">
        <f aca="false">V473/W473</f>
        <v>0.89041095890411</v>
      </c>
      <c r="Z473" s="35" t="str">
        <f aca="false">IF(W473&gt;=150, "High Demand", IF(W473&gt;=50, "Moderate Demand", "Low Demand"))</f>
        <v>Moderate Demand</v>
      </c>
      <c r="AA473" s="39" t="str">
        <f aca="false">TEXT(G473, "00") &amp; ":00"</f>
        <v>13:00</v>
      </c>
      <c r="AB473" s="37" t="n">
        <f aca="false">YEAR(B473)</f>
        <v>2011</v>
      </c>
      <c r="AC473" s="35" t="str">
        <f aca="false">TEXT(B473, "mmmm")</f>
        <v>January</v>
      </c>
      <c r="AD473" s="37" t="n">
        <f aca="false">LEN(TEXT(B473, "YYYY-MM-DD"))</f>
        <v>10</v>
      </c>
      <c r="AE473" s="39" t="str">
        <f aca="false">LEFT(TEXT(B473, "YYYY-MM-DD"), 4)</f>
        <v>2011</v>
      </c>
      <c r="AF473" s="39" t="str">
        <f aca="false">RIGHT(TEXT(B473, "YYYY-MM-DD"), 2)</f>
        <v>21</v>
      </c>
    </row>
    <row r="474" customFormat="false" ht="15" hidden="false" customHeight="false" outlineLevel="0" collapsed="false">
      <c r="A474" s="43" t="n">
        <v>470</v>
      </c>
      <c r="B474" s="44" t="s">
        <v>97</v>
      </c>
      <c r="C474" s="43" t="n">
        <v>1</v>
      </c>
      <c r="D474" s="33" t="str">
        <f aca="false">VLOOKUP(C474, Lookups_Metadata!$A$4:$B$7, 2, FALSE())</f>
        <v>Spring</v>
      </c>
      <c r="E474" s="43" t="n">
        <v>0</v>
      </c>
      <c r="F474" s="43" t="n">
        <v>1</v>
      </c>
      <c r="G474" s="43" t="n">
        <v>14</v>
      </c>
      <c r="H474" s="45" t="b">
        <f aca="false">FALSE()</f>
        <v>0</v>
      </c>
      <c r="I474" s="43" t="n">
        <v>5</v>
      </c>
      <c r="J474" s="33" t="str">
        <f aca="false">INDEX(Lookups_Metadata!$E$4:$E$10, MATCH(I474, Lookups_Metadata!$D$4:$D$10, 0))</f>
        <v>Friday</v>
      </c>
      <c r="K474" s="33" t="str">
        <f aca="false">IF(H474=TRUE(), "Holiday", IF(OR(I474=0, I474=6), "Weekend", "Weekday"))</f>
        <v>Weekday</v>
      </c>
      <c r="L474" s="33" t="str">
        <f aca="false">IF(AND(K474="Weekday", OR(AND(G474&gt;=7, G474&lt;=9), AND(G474&gt;=17, G474&lt;=19))), "Peak Commute", "Off-Peak")</f>
        <v>Off-Peak</v>
      </c>
      <c r="M474" s="43" t="n">
        <v>1</v>
      </c>
      <c r="N474" s="33" t="str">
        <f aca="false">VLOOKUP(M474, Lookups_Metadata!$G$4:$H$7, 2, FALSE())</f>
        <v>Clear / Few Clouds</v>
      </c>
      <c r="O474" s="46" t="n">
        <v>0.2</v>
      </c>
      <c r="P474" s="46" t="n">
        <v>0.1515</v>
      </c>
      <c r="Q474" s="46" t="n">
        <f aca="false">IF(OR(P474="", ISBLANK(P474)), ROUND(0.9367*O474+0.0175, 4), P474)</f>
        <v>0.1515</v>
      </c>
      <c r="R474" s="33" t="str">
        <f aca="false">IF(OR(P474="", ISBLANK(P474)), "Imputed (Regression/Trend)", "Original")</f>
        <v>Original</v>
      </c>
      <c r="S474" s="46" t="n">
        <v>0.25</v>
      </c>
      <c r="T474" s="46" t="n">
        <v>0.5224</v>
      </c>
      <c r="U474" s="18" t="n">
        <v>6</v>
      </c>
      <c r="V474" s="18" t="n">
        <v>56</v>
      </c>
      <c r="W474" s="18" t="n">
        <f aca="false">U474+V474</f>
        <v>62</v>
      </c>
      <c r="X474" s="47" t="n">
        <f aca="false">U474/W474</f>
        <v>0.0967741935483871</v>
      </c>
      <c r="Y474" s="47" t="n">
        <f aca="false">V474/W474</f>
        <v>0.903225806451613</v>
      </c>
      <c r="Z474" s="33" t="str">
        <f aca="false">IF(W474&gt;=150, "High Demand", IF(W474&gt;=50, "Moderate Demand", "Low Demand"))</f>
        <v>Moderate Demand</v>
      </c>
      <c r="AA474" s="45" t="str">
        <f aca="false">TEXT(G474, "00") &amp; ":00"</f>
        <v>14:00</v>
      </c>
      <c r="AB474" s="43" t="n">
        <f aca="false">YEAR(B474)</f>
        <v>2011</v>
      </c>
      <c r="AC474" s="33" t="str">
        <f aca="false">TEXT(B474, "mmmm")</f>
        <v>January</v>
      </c>
      <c r="AD474" s="43" t="n">
        <f aca="false">LEN(TEXT(B474, "YYYY-MM-DD"))</f>
        <v>10</v>
      </c>
      <c r="AE474" s="45" t="str">
        <f aca="false">LEFT(TEXT(B474, "YYYY-MM-DD"), 4)</f>
        <v>2011</v>
      </c>
      <c r="AF474" s="45" t="str">
        <f aca="false">RIGHT(TEXT(B474, "YYYY-MM-DD"), 2)</f>
        <v>21</v>
      </c>
    </row>
    <row r="475" customFormat="false" ht="15" hidden="false" customHeight="false" outlineLevel="0" collapsed="false">
      <c r="A475" s="37" t="n">
        <v>471</v>
      </c>
      <c r="B475" s="38" t="s">
        <v>97</v>
      </c>
      <c r="C475" s="37" t="n">
        <v>1</v>
      </c>
      <c r="D475" s="35" t="str">
        <f aca="false">VLOOKUP(C475, Lookups_Metadata!$A$4:$B$7, 2, FALSE())</f>
        <v>Spring</v>
      </c>
      <c r="E475" s="37" t="n">
        <v>0</v>
      </c>
      <c r="F475" s="37" t="n">
        <v>1</v>
      </c>
      <c r="G475" s="37" t="n">
        <v>15</v>
      </c>
      <c r="H475" s="39" t="b">
        <f aca="false">FALSE()</f>
        <v>0</v>
      </c>
      <c r="I475" s="37" t="n">
        <v>5</v>
      </c>
      <c r="J475" s="35" t="str">
        <f aca="false">INDEX(Lookups_Metadata!$E$4:$E$10, MATCH(I475, Lookups_Metadata!$D$4:$D$10, 0))</f>
        <v>Friday</v>
      </c>
      <c r="K475" s="35" t="str">
        <f aca="false">IF(H475=TRUE(), "Holiday", IF(OR(I475=0, I475=6), "Weekend", "Weekday"))</f>
        <v>Weekday</v>
      </c>
      <c r="L475" s="35" t="str">
        <f aca="false">IF(AND(K475="Weekday", OR(AND(G475&gt;=7, G475&lt;=9), AND(G475&gt;=17, G475&lt;=19))), "Peak Commute", "Off-Peak")</f>
        <v>Off-Peak</v>
      </c>
      <c r="M475" s="37" t="n">
        <v>1</v>
      </c>
      <c r="N475" s="35" t="str">
        <f aca="false">VLOOKUP(M475, Lookups_Metadata!$G$4:$H$7, 2, FALSE())</f>
        <v>Clear / Few Clouds</v>
      </c>
      <c r="O475" s="40" t="n">
        <v>0.16</v>
      </c>
      <c r="P475" s="40" t="n">
        <v>0.1212</v>
      </c>
      <c r="Q475" s="40" t="n">
        <f aca="false">IF(OR(P475="", ISBLANK(P475)), ROUND(0.9367*O475+0.0175, 4), P475)</f>
        <v>0.1212</v>
      </c>
      <c r="R475" s="35" t="str">
        <f aca="false">IF(OR(P475="", ISBLANK(P475)), "Imputed (Regression/Trend)", "Original")</f>
        <v>Original</v>
      </c>
      <c r="S475" s="40" t="n">
        <v>0.26</v>
      </c>
      <c r="T475" s="40" t="n">
        <v>0.4478</v>
      </c>
      <c r="U475" s="41" t="n">
        <v>4</v>
      </c>
      <c r="V475" s="41" t="n">
        <v>61</v>
      </c>
      <c r="W475" s="41" t="n">
        <f aca="false">U475+V475</f>
        <v>65</v>
      </c>
      <c r="X475" s="42" t="n">
        <f aca="false">U475/W475</f>
        <v>0.0615384615384615</v>
      </c>
      <c r="Y475" s="42" t="n">
        <f aca="false">V475/W475</f>
        <v>0.938461538461539</v>
      </c>
      <c r="Z475" s="35" t="str">
        <f aca="false">IF(W475&gt;=150, "High Demand", IF(W475&gt;=50, "Moderate Demand", "Low Demand"))</f>
        <v>Moderate Demand</v>
      </c>
      <c r="AA475" s="39" t="str">
        <f aca="false">TEXT(G475, "00") &amp; ":00"</f>
        <v>15:00</v>
      </c>
      <c r="AB475" s="37" t="n">
        <f aca="false">YEAR(B475)</f>
        <v>2011</v>
      </c>
      <c r="AC475" s="35" t="str">
        <f aca="false">TEXT(B475, "mmmm")</f>
        <v>January</v>
      </c>
      <c r="AD475" s="37" t="n">
        <f aca="false">LEN(TEXT(B475, "YYYY-MM-DD"))</f>
        <v>10</v>
      </c>
      <c r="AE475" s="39" t="str">
        <f aca="false">LEFT(TEXT(B475, "YYYY-MM-DD"), 4)</f>
        <v>2011</v>
      </c>
      <c r="AF475" s="39" t="str">
        <f aca="false">RIGHT(TEXT(B475, "YYYY-MM-DD"), 2)</f>
        <v>21</v>
      </c>
    </row>
    <row r="476" customFormat="false" ht="15" hidden="false" customHeight="false" outlineLevel="0" collapsed="false">
      <c r="A476" s="43" t="n">
        <v>472</v>
      </c>
      <c r="B476" s="44" t="s">
        <v>97</v>
      </c>
      <c r="C476" s="43" t="n">
        <v>1</v>
      </c>
      <c r="D476" s="33" t="str">
        <f aca="false">VLOOKUP(C476, Lookups_Metadata!$A$4:$B$7, 2, FALSE())</f>
        <v>Spring</v>
      </c>
      <c r="E476" s="43" t="n">
        <v>0</v>
      </c>
      <c r="F476" s="43" t="n">
        <v>1</v>
      </c>
      <c r="G476" s="43" t="n">
        <v>16</v>
      </c>
      <c r="H476" s="45" t="b">
        <f aca="false">FALSE()</f>
        <v>0</v>
      </c>
      <c r="I476" s="43" t="n">
        <v>5</v>
      </c>
      <c r="J476" s="33" t="str">
        <f aca="false">INDEX(Lookups_Metadata!$E$4:$E$10, MATCH(I476, Lookups_Metadata!$D$4:$D$10, 0))</f>
        <v>Friday</v>
      </c>
      <c r="K476" s="33" t="str">
        <f aca="false">IF(H476=TRUE(), "Holiday", IF(OR(I476=0, I476=6), "Weekend", "Weekday"))</f>
        <v>Weekday</v>
      </c>
      <c r="L476" s="33" t="str">
        <f aca="false">IF(AND(K476="Weekday", OR(AND(G476&gt;=7, G476&lt;=9), AND(G476&gt;=17, G476&lt;=19))), "Peak Commute", "Off-Peak")</f>
        <v>Off-Peak</v>
      </c>
      <c r="M476" s="43" t="n">
        <v>1</v>
      </c>
      <c r="N476" s="33" t="str">
        <f aca="false">VLOOKUP(M476, Lookups_Metadata!$G$4:$H$7, 2, FALSE())</f>
        <v>Clear / Few Clouds</v>
      </c>
      <c r="O476" s="46" t="n">
        <v>0.16</v>
      </c>
      <c r="P476" s="46" t="n">
        <v>0.1364</v>
      </c>
      <c r="Q476" s="46" t="n">
        <f aca="false">IF(OR(P476="", ISBLANK(P476)), ROUND(0.9367*O476+0.0175, 4), P476)</f>
        <v>0.1364</v>
      </c>
      <c r="R476" s="33" t="str">
        <f aca="false">IF(OR(P476="", ISBLANK(P476)), "Imputed (Regression/Trend)", "Original")</f>
        <v>Original</v>
      </c>
      <c r="S476" s="46" t="n">
        <v>0.26</v>
      </c>
      <c r="T476" s="46" t="n">
        <v>0.3582</v>
      </c>
      <c r="U476" s="18" t="n">
        <v>0</v>
      </c>
      <c r="V476" s="18" t="n">
        <v>97</v>
      </c>
      <c r="W476" s="18" t="n">
        <f aca="false">U476+V476</f>
        <v>97</v>
      </c>
      <c r="X476" s="47" t="n">
        <f aca="false">U476/W476</f>
        <v>0</v>
      </c>
      <c r="Y476" s="47" t="n">
        <f aca="false">V476/W476</f>
        <v>1</v>
      </c>
      <c r="Z476" s="33" t="str">
        <f aca="false">IF(W476&gt;=150, "High Demand", IF(W476&gt;=50, "Moderate Demand", "Low Demand"))</f>
        <v>Moderate Demand</v>
      </c>
      <c r="AA476" s="45" t="str">
        <f aca="false">TEXT(G476, "00") &amp; ":00"</f>
        <v>16:00</v>
      </c>
      <c r="AB476" s="43" t="n">
        <f aca="false">YEAR(B476)</f>
        <v>2011</v>
      </c>
      <c r="AC476" s="33" t="str">
        <f aca="false">TEXT(B476, "mmmm")</f>
        <v>January</v>
      </c>
      <c r="AD476" s="43" t="n">
        <f aca="false">LEN(TEXT(B476, "YYYY-MM-DD"))</f>
        <v>10</v>
      </c>
      <c r="AE476" s="45" t="str">
        <f aca="false">LEFT(TEXT(B476, "YYYY-MM-DD"), 4)</f>
        <v>2011</v>
      </c>
      <c r="AF476" s="45" t="str">
        <f aca="false">RIGHT(TEXT(B476, "YYYY-MM-DD"), 2)</f>
        <v>21</v>
      </c>
    </row>
    <row r="477" customFormat="false" ht="15" hidden="false" customHeight="false" outlineLevel="0" collapsed="false">
      <c r="A477" s="37" t="n">
        <v>473</v>
      </c>
      <c r="B477" s="38" t="s">
        <v>97</v>
      </c>
      <c r="C477" s="37" t="n">
        <v>1</v>
      </c>
      <c r="D477" s="35" t="str">
        <f aca="false">VLOOKUP(C477, Lookups_Metadata!$A$4:$B$7, 2, FALSE())</f>
        <v>Spring</v>
      </c>
      <c r="E477" s="37" t="n">
        <v>0</v>
      </c>
      <c r="F477" s="37" t="n">
        <v>1</v>
      </c>
      <c r="G477" s="37" t="n">
        <v>17</v>
      </c>
      <c r="H477" s="39" t="b">
        <f aca="false">FALSE()</f>
        <v>0</v>
      </c>
      <c r="I477" s="37" t="n">
        <v>5</v>
      </c>
      <c r="J477" s="35" t="str">
        <f aca="false">INDEX(Lookups_Metadata!$E$4:$E$10, MATCH(I477, Lookups_Metadata!$D$4:$D$10, 0))</f>
        <v>Friday</v>
      </c>
      <c r="K477" s="35" t="str">
        <f aca="false">IF(H477=TRUE(), "Holiday", IF(OR(I477=0, I477=6), "Weekend", "Weekday"))</f>
        <v>Weekday</v>
      </c>
      <c r="L477" s="35" t="str">
        <f aca="false">IF(AND(K477="Weekday", OR(AND(G477&gt;=7, G477&lt;=9), AND(G477&gt;=17, G477&lt;=19))), "Peak Commute", "Off-Peak")</f>
        <v>Peak Commute</v>
      </c>
      <c r="M477" s="37" t="n">
        <v>1</v>
      </c>
      <c r="N477" s="35" t="str">
        <f aca="false">VLOOKUP(M477, Lookups_Metadata!$G$4:$H$7, 2, FALSE())</f>
        <v>Clear / Few Clouds</v>
      </c>
      <c r="O477" s="40" t="n">
        <v>0.14</v>
      </c>
      <c r="P477" s="40" t="n">
        <v>0.1212</v>
      </c>
      <c r="Q477" s="40" t="n">
        <f aca="false">IF(OR(P477="", ISBLANK(P477)), ROUND(0.9367*O477+0.0175, 4), P477)</f>
        <v>0.1212</v>
      </c>
      <c r="R477" s="35" t="str">
        <f aca="false">IF(OR(P477="", ISBLANK(P477)), "Imputed (Regression/Trend)", "Original")</f>
        <v>Original</v>
      </c>
      <c r="S477" s="40" t="n">
        <v>0.28</v>
      </c>
      <c r="T477" s="40" t="n">
        <v>0.3582</v>
      </c>
      <c r="U477" s="41" t="n">
        <v>10</v>
      </c>
      <c r="V477" s="41" t="n">
        <v>151</v>
      </c>
      <c r="W477" s="41" t="n">
        <f aca="false">U477+V477</f>
        <v>161</v>
      </c>
      <c r="X477" s="42" t="n">
        <f aca="false">U477/W477</f>
        <v>0.062111801242236</v>
      </c>
      <c r="Y477" s="42" t="n">
        <f aca="false">V477/W477</f>
        <v>0.937888198757764</v>
      </c>
      <c r="Z477" s="35" t="str">
        <f aca="false">IF(W477&gt;=150, "High Demand", IF(W477&gt;=50, "Moderate Demand", "Low Demand"))</f>
        <v>High Demand</v>
      </c>
      <c r="AA477" s="39" t="str">
        <f aca="false">TEXT(G477, "00") &amp; ":00"</f>
        <v>17:00</v>
      </c>
      <c r="AB477" s="37" t="n">
        <f aca="false">YEAR(B477)</f>
        <v>2011</v>
      </c>
      <c r="AC477" s="35" t="str">
        <f aca="false">TEXT(B477, "mmmm")</f>
        <v>January</v>
      </c>
      <c r="AD477" s="37" t="n">
        <f aca="false">LEN(TEXT(B477, "YYYY-MM-DD"))</f>
        <v>10</v>
      </c>
      <c r="AE477" s="39" t="str">
        <f aca="false">LEFT(TEXT(B477, "YYYY-MM-DD"), 4)</f>
        <v>2011</v>
      </c>
      <c r="AF477" s="39" t="str">
        <f aca="false">RIGHT(TEXT(B477, "YYYY-MM-DD"), 2)</f>
        <v>21</v>
      </c>
    </row>
    <row r="478" customFormat="false" ht="15" hidden="false" customHeight="false" outlineLevel="0" collapsed="false">
      <c r="A478" s="43" t="n">
        <v>474</v>
      </c>
      <c r="B478" s="44" t="s">
        <v>97</v>
      </c>
      <c r="C478" s="43" t="n">
        <v>1</v>
      </c>
      <c r="D478" s="33" t="str">
        <f aca="false">VLOOKUP(C478, Lookups_Metadata!$A$4:$B$7, 2, FALSE())</f>
        <v>Spring</v>
      </c>
      <c r="E478" s="43" t="n">
        <v>0</v>
      </c>
      <c r="F478" s="43" t="n">
        <v>1</v>
      </c>
      <c r="G478" s="43" t="n">
        <v>18</v>
      </c>
      <c r="H478" s="45" t="b">
        <f aca="false">FALSE()</f>
        <v>0</v>
      </c>
      <c r="I478" s="43" t="n">
        <v>5</v>
      </c>
      <c r="J478" s="33" t="str">
        <f aca="false">INDEX(Lookups_Metadata!$E$4:$E$10, MATCH(I478, Lookups_Metadata!$D$4:$D$10, 0))</f>
        <v>Friday</v>
      </c>
      <c r="K478" s="33" t="str">
        <f aca="false">IF(H478=TRUE(), "Holiday", IF(OR(I478=0, I478=6), "Weekend", "Weekday"))</f>
        <v>Weekday</v>
      </c>
      <c r="L478" s="33" t="str">
        <f aca="false">IF(AND(K478="Weekday", OR(AND(G478&gt;=7, G478&lt;=9), AND(G478&gt;=17, G478&lt;=19))), "Peak Commute", "Off-Peak")</f>
        <v>Peak Commute</v>
      </c>
      <c r="M478" s="43" t="n">
        <v>1</v>
      </c>
      <c r="N478" s="33" t="str">
        <f aca="false">VLOOKUP(M478, Lookups_Metadata!$G$4:$H$7, 2, FALSE())</f>
        <v>Clear / Few Clouds</v>
      </c>
      <c r="O478" s="46" t="n">
        <v>0.12</v>
      </c>
      <c r="P478" s="46" t="n">
        <v>0.1212</v>
      </c>
      <c r="Q478" s="46" t="n">
        <f aca="false">IF(OR(P478="", ISBLANK(P478)), ROUND(0.9367*O478+0.0175, 4), P478)</f>
        <v>0.1212</v>
      </c>
      <c r="R478" s="33" t="str">
        <f aca="false">IF(OR(P478="", ISBLANK(P478)), "Imputed (Regression/Trend)", "Original")</f>
        <v>Original</v>
      </c>
      <c r="S478" s="46" t="n">
        <v>0.3</v>
      </c>
      <c r="T478" s="46" t="n">
        <v>0.2537</v>
      </c>
      <c r="U478" s="18" t="n">
        <v>1</v>
      </c>
      <c r="V478" s="18" t="n">
        <v>119</v>
      </c>
      <c r="W478" s="18" t="n">
        <f aca="false">U478+V478</f>
        <v>120</v>
      </c>
      <c r="X478" s="47" t="n">
        <f aca="false">U478/W478</f>
        <v>0.00833333333333333</v>
      </c>
      <c r="Y478" s="47" t="n">
        <f aca="false">V478/W478</f>
        <v>0.991666666666667</v>
      </c>
      <c r="Z478" s="33" t="str">
        <f aca="false">IF(W478&gt;=150, "High Demand", IF(W478&gt;=50, "Moderate Demand", "Low Demand"))</f>
        <v>Moderate Demand</v>
      </c>
      <c r="AA478" s="45" t="str">
        <f aca="false">TEXT(G478, "00") &amp; ":00"</f>
        <v>18:00</v>
      </c>
      <c r="AB478" s="43" t="n">
        <f aca="false">YEAR(B478)</f>
        <v>2011</v>
      </c>
      <c r="AC478" s="33" t="str">
        <f aca="false">TEXT(B478, "mmmm")</f>
        <v>January</v>
      </c>
      <c r="AD478" s="43" t="n">
        <f aca="false">LEN(TEXT(B478, "YYYY-MM-DD"))</f>
        <v>10</v>
      </c>
      <c r="AE478" s="45" t="str">
        <f aca="false">LEFT(TEXT(B478, "YYYY-MM-DD"), 4)</f>
        <v>2011</v>
      </c>
      <c r="AF478" s="45" t="str">
        <f aca="false">RIGHT(TEXT(B478, "YYYY-MM-DD"), 2)</f>
        <v>21</v>
      </c>
    </row>
    <row r="479" customFormat="false" ht="15" hidden="false" customHeight="false" outlineLevel="0" collapsed="false">
      <c r="A479" s="37" t="n">
        <v>475</v>
      </c>
      <c r="B479" s="38" t="s">
        <v>97</v>
      </c>
      <c r="C479" s="37" t="n">
        <v>1</v>
      </c>
      <c r="D479" s="35" t="str">
        <f aca="false">VLOOKUP(C479, Lookups_Metadata!$A$4:$B$7, 2, FALSE())</f>
        <v>Spring</v>
      </c>
      <c r="E479" s="37" t="n">
        <v>0</v>
      </c>
      <c r="F479" s="37" t="n">
        <v>1</v>
      </c>
      <c r="G479" s="37" t="n">
        <v>19</v>
      </c>
      <c r="H479" s="39" t="b">
        <f aca="false">FALSE()</f>
        <v>0</v>
      </c>
      <c r="I479" s="37" t="n">
        <v>5</v>
      </c>
      <c r="J479" s="35" t="str">
        <f aca="false">INDEX(Lookups_Metadata!$E$4:$E$10, MATCH(I479, Lookups_Metadata!$D$4:$D$10, 0))</f>
        <v>Friday</v>
      </c>
      <c r="K479" s="35" t="str">
        <f aca="false">IF(H479=TRUE(), "Holiday", IF(OR(I479=0, I479=6), "Weekend", "Weekday"))</f>
        <v>Weekday</v>
      </c>
      <c r="L479" s="35" t="str">
        <f aca="false">IF(AND(K479="Weekday", OR(AND(G479&gt;=7, G479&lt;=9), AND(G479&gt;=17, G479&lt;=19))), "Peak Commute", "Off-Peak")</f>
        <v>Peak Commute</v>
      </c>
      <c r="M479" s="37" t="n">
        <v>1</v>
      </c>
      <c r="N479" s="35" t="str">
        <f aca="false">VLOOKUP(M479, Lookups_Metadata!$G$4:$H$7, 2, FALSE())</f>
        <v>Clear / Few Clouds</v>
      </c>
      <c r="O479" s="40" t="n">
        <v>0.12</v>
      </c>
      <c r="P479" s="40" t="n">
        <v>0.1061</v>
      </c>
      <c r="Q479" s="40" t="n">
        <f aca="false">IF(OR(P479="", ISBLANK(P479)), ROUND(0.9367*O479+0.0175, 4), P479)</f>
        <v>0.1061</v>
      </c>
      <c r="R479" s="35" t="str">
        <f aca="false">IF(OR(P479="", ISBLANK(P479)), "Imputed (Regression/Trend)", "Original")</f>
        <v>Original</v>
      </c>
      <c r="S479" s="40" t="n">
        <v>0.3</v>
      </c>
      <c r="T479" s="40" t="n">
        <v>0.3284</v>
      </c>
      <c r="U479" s="41" t="n">
        <v>3</v>
      </c>
      <c r="V479" s="41" t="n">
        <v>93</v>
      </c>
      <c r="W479" s="41" t="n">
        <f aca="false">U479+V479</f>
        <v>96</v>
      </c>
      <c r="X479" s="42" t="n">
        <f aca="false">U479/W479</f>
        <v>0.03125</v>
      </c>
      <c r="Y479" s="42" t="n">
        <f aca="false">V479/W479</f>
        <v>0.96875</v>
      </c>
      <c r="Z479" s="35" t="str">
        <f aca="false">IF(W479&gt;=150, "High Demand", IF(W479&gt;=50, "Moderate Demand", "Low Demand"))</f>
        <v>Moderate Demand</v>
      </c>
      <c r="AA479" s="39" t="str">
        <f aca="false">TEXT(G479, "00") &amp; ":00"</f>
        <v>19:00</v>
      </c>
      <c r="AB479" s="37" t="n">
        <f aca="false">YEAR(B479)</f>
        <v>2011</v>
      </c>
      <c r="AC479" s="35" t="str">
        <f aca="false">TEXT(B479, "mmmm")</f>
        <v>January</v>
      </c>
      <c r="AD479" s="37" t="n">
        <f aca="false">LEN(TEXT(B479, "YYYY-MM-DD"))</f>
        <v>10</v>
      </c>
      <c r="AE479" s="39" t="str">
        <f aca="false">LEFT(TEXT(B479, "YYYY-MM-DD"), 4)</f>
        <v>2011</v>
      </c>
      <c r="AF479" s="39" t="str">
        <f aca="false">RIGHT(TEXT(B479, "YYYY-MM-DD"), 2)</f>
        <v>21</v>
      </c>
    </row>
    <row r="480" customFormat="false" ht="15" hidden="false" customHeight="false" outlineLevel="0" collapsed="false">
      <c r="A480" s="43" t="n">
        <v>476</v>
      </c>
      <c r="B480" s="44" t="s">
        <v>97</v>
      </c>
      <c r="C480" s="43" t="n">
        <v>1</v>
      </c>
      <c r="D480" s="33" t="str">
        <f aca="false">VLOOKUP(C480, Lookups_Metadata!$A$4:$B$7, 2, FALSE())</f>
        <v>Spring</v>
      </c>
      <c r="E480" s="43" t="n">
        <v>0</v>
      </c>
      <c r="F480" s="43" t="n">
        <v>1</v>
      </c>
      <c r="G480" s="43" t="n">
        <v>20</v>
      </c>
      <c r="H480" s="45" t="b">
        <f aca="false">FALSE()</f>
        <v>0</v>
      </c>
      <c r="I480" s="43" t="n">
        <v>5</v>
      </c>
      <c r="J480" s="33" t="str">
        <f aca="false">INDEX(Lookups_Metadata!$E$4:$E$10, MATCH(I480, Lookups_Metadata!$D$4:$D$10, 0))</f>
        <v>Friday</v>
      </c>
      <c r="K480" s="33" t="str">
        <f aca="false">IF(H480=TRUE(), "Holiday", IF(OR(I480=0, I480=6), "Weekend", "Weekday"))</f>
        <v>Weekday</v>
      </c>
      <c r="L480" s="33" t="str">
        <f aca="false">IF(AND(K480="Weekday", OR(AND(G480&gt;=7, G480&lt;=9), AND(G480&gt;=17, G480&lt;=19))), "Peak Commute", "Off-Peak")</f>
        <v>Off-Peak</v>
      </c>
      <c r="M480" s="43" t="n">
        <v>1</v>
      </c>
      <c r="N480" s="33" t="str">
        <f aca="false">VLOOKUP(M480, Lookups_Metadata!$G$4:$H$7, 2, FALSE())</f>
        <v>Clear / Few Clouds</v>
      </c>
      <c r="O480" s="46" t="n">
        <v>0.1</v>
      </c>
      <c r="P480" s="46" t="n">
        <v>0.0758</v>
      </c>
      <c r="Q480" s="46" t="n">
        <f aca="false">IF(OR(P480="", ISBLANK(P480)), ROUND(0.9367*O480+0.0175, 4), P480)</f>
        <v>0.0758</v>
      </c>
      <c r="R480" s="33" t="str">
        <f aca="false">IF(OR(P480="", ISBLANK(P480)), "Imputed (Regression/Trend)", "Original")</f>
        <v>Original</v>
      </c>
      <c r="S480" s="46" t="n">
        <v>0.33</v>
      </c>
      <c r="T480" s="46" t="n">
        <v>0.4179</v>
      </c>
      <c r="U480" s="18" t="n">
        <v>1</v>
      </c>
      <c r="V480" s="18" t="n">
        <v>52</v>
      </c>
      <c r="W480" s="18" t="n">
        <f aca="false">U480+V480</f>
        <v>53</v>
      </c>
      <c r="X480" s="47" t="n">
        <f aca="false">U480/W480</f>
        <v>0.0188679245283019</v>
      </c>
      <c r="Y480" s="47" t="n">
        <f aca="false">V480/W480</f>
        <v>0.981132075471698</v>
      </c>
      <c r="Z480" s="33" t="str">
        <f aca="false">IF(W480&gt;=150, "High Demand", IF(W480&gt;=50, "Moderate Demand", "Low Demand"))</f>
        <v>Moderate Demand</v>
      </c>
      <c r="AA480" s="45" t="str">
        <f aca="false">TEXT(G480, "00") &amp; ":00"</f>
        <v>20:00</v>
      </c>
      <c r="AB480" s="43" t="n">
        <f aca="false">YEAR(B480)</f>
        <v>2011</v>
      </c>
      <c r="AC480" s="33" t="str">
        <f aca="false">TEXT(B480, "mmmm")</f>
        <v>January</v>
      </c>
      <c r="AD480" s="43" t="n">
        <f aca="false">LEN(TEXT(B480, "YYYY-MM-DD"))</f>
        <v>10</v>
      </c>
      <c r="AE480" s="45" t="str">
        <f aca="false">LEFT(TEXT(B480, "YYYY-MM-DD"), 4)</f>
        <v>2011</v>
      </c>
      <c r="AF480" s="45" t="str">
        <f aca="false">RIGHT(TEXT(B480, "YYYY-MM-DD"), 2)</f>
        <v>21</v>
      </c>
    </row>
    <row r="481" customFormat="false" ht="15" hidden="false" customHeight="false" outlineLevel="0" collapsed="false">
      <c r="A481" s="37" t="n">
        <v>477</v>
      </c>
      <c r="B481" s="38" t="s">
        <v>97</v>
      </c>
      <c r="C481" s="37" t="n">
        <v>1</v>
      </c>
      <c r="D481" s="35" t="str">
        <f aca="false">VLOOKUP(C481, Lookups_Metadata!$A$4:$B$7, 2, FALSE())</f>
        <v>Spring</v>
      </c>
      <c r="E481" s="37" t="n">
        <v>0</v>
      </c>
      <c r="F481" s="37" t="n">
        <v>1</v>
      </c>
      <c r="G481" s="37" t="n">
        <v>21</v>
      </c>
      <c r="H481" s="39" t="b">
        <f aca="false">FALSE()</f>
        <v>0</v>
      </c>
      <c r="I481" s="37" t="n">
        <v>5</v>
      </c>
      <c r="J481" s="35" t="str">
        <f aca="false">INDEX(Lookups_Metadata!$E$4:$E$10, MATCH(I481, Lookups_Metadata!$D$4:$D$10, 0))</f>
        <v>Friday</v>
      </c>
      <c r="K481" s="35" t="str">
        <f aca="false">IF(H481=TRUE(), "Holiday", IF(OR(I481=0, I481=6), "Weekend", "Weekday"))</f>
        <v>Weekday</v>
      </c>
      <c r="L481" s="35" t="str">
        <f aca="false">IF(AND(K481="Weekday", OR(AND(G481&gt;=7, G481&lt;=9), AND(G481&gt;=17, G481&lt;=19))), "Peak Commute", "Off-Peak")</f>
        <v>Off-Peak</v>
      </c>
      <c r="M481" s="37" t="n">
        <v>1</v>
      </c>
      <c r="N481" s="35" t="str">
        <f aca="false">VLOOKUP(M481, Lookups_Metadata!$G$4:$H$7, 2, FALSE())</f>
        <v>Clear / Few Clouds</v>
      </c>
      <c r="O481" s="40" t="n">
        <v>0.08</v>
      </c>
      <c r="P481" s="40" t="n">
        <v>0.0758</v>
      </c>
      <c r="Q481" s="40" t="n">
        <f aca="false">IF(OR(P481="", ISBLANK(P481)), ROUND(0.9367*O481+0.0175, 4), P481)</f>
        <v>0.0758</v>
      </c>
      <c r="R481" s="35" t="str">
        <f aca="false">IF(OR(P481="", ISBLANK(P481)), "Imputed (Regression/Trend)", "Original")</f>
        <v>Original</v>
      </c>
      <c r="S481" s="40" t="n">
        <v>0.38</v>
      </c>
      <c r="T481" s="40" t="n">
        <v>0.2836</v>
      </c>
      <c r="U481" s="41" t="n">
        <v>0</v>
      </c>
      <c r="V481" s="41" t="n">
        <v>41</v>
      </c>
      <c r="W481" s="41" t="n">
        <f aca="false">U481+V481</f>
        <v>41</v>
      </c>
      <c r="X481" s="42" t="n">
        <f aca="false">U481/W481</f>
        <v>0</v>
      </c>
      <c r="Y481" s="42" t="n">
        <f aca="false">V481/W481</f>
        <v>1</v>
      </c>
      <c r="Z481" s="35" t="str">
        <f aca="false">IF(W481&gt;=150, "High Demand", IF(W481&gt;=50, "Moderate Demand", "Low Demand"))</f>
        <v>Low Demand</v>
      </c>
      <c r="AA481" s="39" t="str">
        <f aca="false">TEXT(G481, "00") &amp; ":00"</f>
        <v>21:00</v>
      </c>
      <c r="AB481" s="37" t="n">
        <f aca="false">YEAR(B481)</f>
        <v>2011</v>
      </c>
      <c r="AC481" s="35" t="str">
        <f aca="false">TEXT(B481, "mmmm")</f>
        <v>January</v>
      </c>
      <c r="AD481" s="37" t="n">
        <f aca="false">LEN(TEXT(B481, "YYYY-MM-DD"))</f>
        <v>10</v>
      </c>
      <c r="AE481" s="39" t="str">
        <f aca="false">LEFT(TEXT(B481, "YYYY-MM-DD"), 4)</f>
        <v>2011</v>
      </c>
      <c r="AF481" s="39" t="str">
        <f aca="false">RIGHT(TEXT(B481, "YYYY-MM-DD"), 2)</f>
        <v>21</v>
      </c>
    </row>
    <row r="482" customFormat="false" ht="15" hidden="false" customHeight="false" outlineLevel="0" collapsed="false">
      <c r="A482" s="43" t="n">
        <v>478</v>
      </c>
      <c r="B482" s="44" t="s">
        <v>97</v>
      </c>
      <c r="C482" s="43" t="n">
        <v>1</v>
      </c>
      <c r="D482" s="33" t="str">
        <f aca="false">VLOOKUP(C482, Lookups_Metadata!$A$4:$B$7, 2, FALSE())</f>
        <v>Spring</v>
      </c>
      <c r="E482" s="43" t="n">
        <v>0</v>
      </c>
      <c r="F482" s="43" t="n">
        <v>1</v>
      </c>
      <c r="G482" s="43" t="n">
        <v>22</v>
      </c>
      <c r="H482" s="45" t="b">
        <f aca="false">FALSE()</f>
        <v>0</v>
      </c>
      <c r="I482" s="43" t="n">
        <v>5</v>
      </c>
      <c r="J482" s="33" t="str">
        <f aca="false">INDEX(Lookups_Metadata!$E$4:$E$10, MATCH(I482, Lookups_Metadata!$D$4:$D$10, 0))</f>
        <v>Friday</v>
      </c>
      <c r="K482" s="33" t="str">
        <f aca="false">IF(H482=TRUE(), "Holiday", IF(OR(I482=0, I482=6), "Weekend", "Weekday"))</f>
        <v>Weekday</v>
      </c>
      <c r="L482" s="33" t="str">
        <f aca="false">IF(AND(K482="Weekday", OR(AND(G482&gt;=7, G482&lt;=9), AND(G482&gt;=17, G482&lt;=19))), "Peak Commute", "Off-Peak")</f>
        <v>Off-Peak</v>
      </c>
      <c r="M482" s="43" t="n">
        <v>1</v>
      </c>
      <c r="N482" s="33" t="str">
        <f aca="false">VLOOKUP(M482, Lookups_Metadata!$G$4:$H$7, 2, FALSE())</f>
        <v>Clear / Few Clouds</v>
      </c>
      <c r="O482" s="46" t="n">
        <v>0.06</v>
      </c>
      <c r="P482" s="46" t="n">
        <v>0.0303</v>
      </c>
      <c r="Q482" s="46" t="n">
        <f aca="false">IF(OR(P482="", ISBLANK(P482)), ROUND(0.9367*O482+0.0175, 4), P482)</f>
        <v>0.0303</v>
      </c>
      <c r="R482" s="33" t="str">
        <f aca="false">IF(OR(P482="", ISBLANK(P482)), "Imputed (Regression/Trend)", "Original")</f>
        <v>Original</v>
      </c>
      <c r="S482" s="46" t="n">
        <v>0.41</v>
      </c>
      <c r="T482" s="46" t="n">
        <v>0.3881</v>
      </c>
      <c r="U482" s="18" t="n">
        <v>1</v>
      </c>
      <c r="V482" s="18" t="n">
        <v>33</v>
      </c>
      <c r="W482" s="18" t="n">
        <f aca="false">U482+V482</f>
        <v>34</v>
      </c>
      <c r="X482" s="47" t="n">
        <f aca="false">U482/W482</f>
        <v>0.0294117647058824</v>
      </c>
      <c r="Y482" s="47" t="n">
        <f aca="false">V482/W482</f>
        <v>0.970588235294118</v>
      </c>
      <c r="Z482" s="33" t="str">
        <f aca="false">IF(W482&gt;=150, "High Demand", IF(W482&gt;=50, "Moderate Demand", "Low Demand"))</f>
        <v>Low Demand</v>
      </c>
      <c r="AA482" s="45" t="str">
        <f aca="false">TEXT(G482, "00") &amp; ":00"</f>
        <v>22:00</v>
      </c>
      <c r="AB482" s="43" t="n">
        <f aca="false">YEAR(B482)</f>
        <v>2011</v>
      </c>
      <c r="AC482" s="33" t="str">
        <f aca="false">TEXT(B482, "mmmm")</f>
        <v>January</v>
      </c>
      <c r="AD482" s="43" t="n">
        <f aca="false">LEN(TEXT(B482, "YYYY-MM-DD"))</f>
        <v>10</v>
      </c>
      <c r="AE482" s="45" t="str">
        <f aca="false">LEFT(TEXT(B482, "YYYY-MM-DD"), 4)</f>
        <v>2011</v>
      </c>
      <c r="AF482" s="45" t="str">
        <f aca="false">RIGHT(TEXT(B482, "YYYY-MM-DD"), 2)</f>
        <v>21</v>
      </c>
    </row>
    <row r="483" customFormat="false" ht="15" hidden="false" customHeight="false" outlineLevel="0" collapsed="false">
      <c r="A483" s="37" t="n">
        <v>479</v>
      </c>
      <c r="B483" s="38" t="s">
        <v>97</v>
      </c>
      <c r="C483" s="37" t="n">
        <v>1</v>
      </c>
      <c r="D483" s="35" t="str">
        <f aca="false">VLOOKUP(C483, Lookups_Metadata!$A$4:$B$7, 2, FALSE())</f>
        <v>Spring</v>
      </c>
      <c r="E483" s="37" t="n">
        <v>0</v>
      </c>
      <c r="F483" s="37" t="n">
        <v>1</v>
      </c>
      <c r="G483" s="37" t="n">
        <v>23</v>
      </c>
      <c r="H483" s="39" t="b">
        <f aca="false">FALSE()</f>
        <v>0</v>
      </c>
      <c r="I483" s="37" t="n">
        <v>5</v>
      </c>
      <c r="J483" s="35" t="str">
        <f aca="false">INDEX(Lookups_Metadata!$E$4:$E$10, MATCH(I483, Lookups_Metadata!$D$4:$D$10, 0))</f>
        <v>Friday</v>
      </c>
      <c r="K483" s="35" t="str">
        <f aca="false">IF(H483=TRUE(), "Holiday", IF(OR(I483=0, I483=6), "Weekend", "Weekday"))</f>
        <v>Weekday</v>
      </c>
      <c r="L483" s="35" t="str">
        <f aca="false">IF(AND(K483="Weekday", OR(AND(G483&gt;=7, G483&lt;=9), AND(G483&gt;=17, G483&lt;=19))), "Peak Commute", "Off-Peak")</f>
        <v>Off-Peak</v>
      </c>
      <c r="M483" s="37" t="n">
        <v>1</v>
      </c>
      <c r="N483" s="35" t="str">
        <f aca="false">VLOOKUP(M483, Lookups_Metadata!$G$4:$H$7, 2, FALSE())</f>
        <v>Clear / Few Clouds</v>
      </c>
      <c r="O483" s="40" t="n">
        <v>0.06</v>
      </c>
      <c r="P483" s="40" t="n">
        <v>0.0455</v>
      </c>
      <c r="Q483" s="40" t="n">
        <f aca="false">IF(OR(P483="", ISBLANK(P483)), ROUND(0.9367*O483+0.0175, 4), P483)</f>
        <v>0.0455</v>
      </c>
      <c r="R483" s="35" t="str">
        <f aca="false">IF(OR(P483="", ISBLANK(P483)), "Imputed (Regression/Trend)", "Original")</f>
        <v>Original</v>
      </c>
      <c r="S483" s="40" t="n">
        <v>0.38</v>
      </c>
      <c r="T483" s="40" t="n">
        <v>0.3284</v>
      </c>
      <c r="U483" s="41" t="n">
        <v>0</v>
      </c>
      <c r="V483" s="41" t="n">
        <v>27</v>
      </c>
      <c r="W483" s="41" t="n">
        <f aca="false">U483+V483</f>
        <v>27</v>
      </c>
      <c r="X483" s="42" t="n">
        <f aca="false">U483/W483</f>
        <v>0</v>
      </c>
      <c r="Y483" s="42" t="n">
        <f aca="false">V483/W483</f>
        <v>1</v>
      </c>
      <c r="Z483" s="35" t="str">
        <f aca="false">IF(W483&gt;=150, "High Demand", IF(W483&gt;=50, "Moderate Demand", "Low Demand"))</f>
        <v>Low Demand</v>
      </c>
      <c r="AA483" s="39" t="str">
        <f aca="false">TEXT(G483, "00") &amp; ":00"</f>
        <v>23:00</v>
      </c>
      <c r="AB483" s="37" t="n">
        <f aca="false">YEAR(B483)</f>
        <v>2011</v>
      </c>
      <c r="AC483" s="35" t="str">
        <f aca="false">TEXT(B483, "mmmm")</f>
        <v>January</v>
      </c>
      <c r="AD483" s="37" t="n">
        <f aca="false">LEN(TEXT(B483, "YYYY-MM-DD"))</f>
        <v>10</v>
      </c>
      <c r="AE483" s="39" t="str">
        <f aca="false">LEFT(TEXT(B483, "YYYY-MM-DD"), 4)</f>
        <v>2011</v>
      </c>
      <c r="AF483" s="39" t="str">
        <f aca="false">RIGHT(TEXT(B483, "YYYY-MM-DD"), 2)</f>
        <v>21</v>
      </c>
    </row>
    <row r="484" customFormat="false" ht="15" hidden="false" customHeight="false" outlineLevel="0" collapsed="false">
      <c r="A484" s="43" t="n">
        <v>480</v>
      </c>
      <c r="B484" s="44" t="s">
        <v>98</v>
      </c>
      <c r="C484" s="43" t="n">
        <v>1</v>
      </c>
      <c r="D484" s="33" t="str">
        <f aca="false">VLOOKUP(C484, Lookups_Metadata!$A$4:$B$7, 2, FALSE())</f>
        <v>Spring</v>
      </c>
      <c r="E484" s="43" t="n">
        <v>0</v>
      </c>
      <c r="F484" s="43" t="n">
        <v>1</v>
      </c>
      <c r="G484" s="43" t="n">
        <v>0</v>
      </c>
      <c r="H484" s="45" t="b">
        <f aca="false">FALSE()</f>
        <v>0</v>
      </c>
      <c r="I484" s="43" t="n">
        <v>6</v>
      </c>
      <c r="J484" s="33" t="str">
        <f aca="false">INDEX(Lookups_Metadata!$E$4:$E$10, MATCH(I484, Lookups_Metadata!$D$4:$D$10, 0))</f>
        <v>Saturday</v>
      </c>
      <c r="K484" s="33" t="str">
        <f aca="false">IF(H484=TRUE(), "Holiday", IF(OR(I484=0, I484=6), "Weekend", "Weekday"))</f>
        <v>Weekend</v>
      </c>
      <c r="L484" s="33" t="str">
        <f aca="false">IF(AND(K484="Weekday", OR(AND(G484&gt;=7, G484&lt;=9), AND(G484&gt;=17, G484&lt;=19))), "Peak Commute", "Off-Peak")</f>
        <v>Off-Peak</v>
      </c>
      <c r="M484" s="43" t="n">
        <v>1</v>
      </c>
      <c r="N484" s="33" t="str">
        <f aca="false">VLOOKUP(M484, Lookups_Metadata!$G$4:$H$7, 2, FALSE())</f>
        <v>Clear / Few Clouds</v>
      </c>
      <c r="O484" s="46" t="n">
        <v>0.04</v>
      </c>
      <c r="P484" s="46" t="n">
        <v>0.0303</v>
      </c>
      <c r="Q484" s="46" t="n">
        <f aca="false">IF(OR(P484="", ISBLANK(P484)), ROUND(0.9367*O484+0.0175, 4), P484)</f>
        <v>0.0303</v>
      </c>
      <c r="R484" s="33" t="str">
        <f aca="false">IF(OR(P484="", ISBLANK(P484)), "Imputed (Regression/Trend)", "Original")</f>
        <v>Original</v>
      </c>
      <c r="S484" s="46" t="n">
        <v>0.45</v>
      </c>
      <c r="T484" s="46" t="n">
        <v>0.2537</v>
      </c>
      <c r="U484" s="18" t="n">
        <v>0</v>
      </c>
      <c r="V484" s="18" t="n">
        <v>13</v>
      </c>
      <c r="W484" s="18" t="n">
        <f aca="false">U484+V484</f>
        <v>13</v>
      </c>
      <c r="X484" s="47" t="n">
        <f aca="false">U484/W484</f>
        <v>0</v>
      </c>
      <c r="Y484" s="47" t="n">
        <f aca="false">V484/W484</f>
        <v>1</v>
      </c>
      <c r="Z484" s="33" t="str">
        <f aca="false">IF(W484&gt;=150, "High Demand", IF(W484&gt;=50, "Moderate Demand", "Low Demand"))</f>
        <v>Low Demand</v>
      </c>
      <c r="AA484" s="45" t="str">
        <f aca="false">TEXT(G484, "00") &amp; ":00"</f>
        <v>00:00</v>
      </c>
      <c r="AB484" s="43" t="n">
        <f aca="false">YEAR(B484)</f>
        <v>2011</v>
      </c>
      <c r="AC484" s="33" t="str">
        <f aca="false">TEXT(B484, "mmmm")</f>
        <v>January</v>
      </c>
      <c r="AD484" s="43" t="n">
        <f aca="false">LEN(TEXT(B484, "YYYY-MM-DD"))</f>
        <v>10</v>
      </c>
      <c r="AE484" s="45" t="str">
        <f aca="false">LEFT(TEXT(B484, "YYYY-MM-DD"), 4)</f>
        <v>2011</v>
      </c>
      <c r="AF484" s="45" t="str">
        <f aca="false">RIGHT(TEXT(B484, "YYYY-MM-DD"), 2)</f>
        <v>22</v>
      </c>
    </row>
    <row r="485" customFormat="false" ht="15" hidden="false" customHeight="false" outlineLevel="0" collapsed="false">
      <c r="A485" s="37" t="n">
        <v>481</v>
      </c>
      <c r="B485" s="38" t="s">
        <v>98</v>
      </c>
      <c r="C485" s="37" t="n">
        <v>1</v>
      </c>
      <c r="D485" s="35" t="str">
        <f aca="false">VLOOKUP(C485, Lookups_Metadata!$A$4:$B$7, 2, FALSE())</f>
        <v>Spring</v>
      </c>
      <c r="E485" s="37" t="n">
        <v>0</v>
      </c>
      <c r="F485" s="37" t="n">
        <v>1</v>
      </c>
      <c r="G485" s="37" t="n">
        <v>1</v>
      </c>
      <c r="H485" s="39" t="b">
        <f aca="false">FALSE()</f>
        <v>0</v>
      </c>
      <c r="I485" s="37" t="n">
        <v>6</v>
      </c>
      <c r="J485" s="35" t="str">
        <f aca="false">INDEX(Lookups_Metadata!$E$4:$E$10, MATCH(I485, Lookups_Metadata!$D$4:$D$10, 0))</f>
        <v>Saturday</v>
      </c>
      <c r="K485" s="35" t="str">
        <f aca="false">IF(H485=TRUE(), "Holiday", IF(OR(I485=0, I485=6), "Weekend", "Weekday"))</f>
        <v>Weekend</v>
      </c>
      <c r="L485" s="35" t="str">
        <f aca="false">IF(AND(K485="Weekday", OR(AND(G485&gt;=7, G485&lt;=9), AND(G485&gt;=17, G485&lt;=19))), "Peak Commute", "Off-Peak")</f>
        <v>Off-Peak</v>
      </c>
      <c r="M485" s="37" t="n">
        <v>2</v>
      </c>
      <c r="N485" s="35" t="str">
        <f aca="false">VLOOKUP(M485, Lookups_Metadata!$G$4:$H$7, 2, FALSE())</f>
        <v>Mist / Cloudy</v>
      </c>
      <c r="O485" s="40" t="n">
        <v>0.04</v>
      </c>
      <c r="P485" s="40" t="n">
        <v>0</v>
      </c>
      <c r="Q485" s="40" t="n">
        <f aca="false">IF(OR(P485="", ISBLANK(P485)), ROUND(0.9367*O485+0.0175, 4), P485)</f>
        <v>0</v>
      </c>
      <c r="R485" s="35" t="str">
        <f aca="false">IF(OR(P485="", ISBLANK(P485)), "Imputed (Regression/Trend)", "Original")</f>
        <v>Original</v>
      </c>
      <c r="S485" s="40" t="n">
        <v>0.41</v>
      </c>
      <c r="T485" s="40" t="n">
        <v>0.3881</v>
      </c>
      <c r="U485" s="41" t="n">
        <v>3</v>
      </c>
      <c r="V485" s="41" t="n">
        <v>9</v>
      </c>
      <c r="W485" s="41" t="n">
        <f aca="false">U485+V485</f>
        <v>12</v>
      </c>
      <c r="X485" s="42" t="n">
        <f aca="false">U485/W485</f>
        <v>0.25</v>
      </c>
      <c r="Y485" s="42" t="n">
        <f aca="false">V485/W485</f>
        <v>0.75</v>
      </c>
      <c r="Z485" s="35" t="str">
        <f aca="false">IF(W485&gt;=150, "High Demand", IF(W485&gt;=50, "Moderate Demand", "Low Demand"))</f>
        <v>Low Demand</v>
      </c>
      <c r="AA485" s="39" t="str">
        <f aca="false">TEXT(G485, "00") &amp; ":00"</f>
        <v>01:00</v>
      </c>
      <c r="AB485" s="37" t="n">
        <f aca="false">YEAR(B485)</f>
        <v>2011</v>
      </c>
      <c r="AC485" s="35" t="str">
        <f aca="false">TEXT(B485, "mmmm")</f>
        <v>January</v>
      </c>
      <c r="AD485" s="37" t="n">
        <f aca="false">LEN(TEXT(B485, "YYYY-MM-DD"))</f>
        <v>10</v>
      </c>
      <c r="AE485" s="39" t="str">
        <f aca="false">LEFT(TEXT(B485, "YYYY-MM-DD"), 4)</f>
        <v>2011</v>
      </c>
      <c r="AF485" s="39" t="str">
        <f aca="false">RIGHT(TEXT(B485, "YYYY-MM-DD"), 2)</f>
        <v>22</v>
      </c>
    </row>
    <row r="486" customFormat="false" ht="15" hidden="false" customHeight="false" outlineLevel="0" collapsed="false">
      <c r="A486" s="43" t="n">
        <v>482</v>
      </c>
      <c r="B486" s="44" t="s">
        <v>98</v>
      </c>
      <c r="C486" s="43" t="n">
        <v>1</v>
      </c>
      <c r="D486" s="33" t="str">
        <f aca="false">VLOOKUP(C486, Lookups_Metadata!$A$4:$B$7, 2, FALSE())</f>
        <v>Spring</v>
      </c>
      <c r="E486" s="43" t="n">
        <v>0</v>
      </c>
      <c r="F486" s="43" t="n">
        <v>1</v>
      </c>
      <c r="G486" s="43" t="n">
        <v>2</v>
      </c>
      <c r="H486" s="45" t="b">
        <f aca="false">FALSE()</f>
        <v>0</v>
      </c>
      <c r="I486" s="43" t="n">
        <v>6</v>
      </c>
      <c r="J486" s="33" t="str">
        <f aca="false">INDEX(Lookups_Metadata!$E$4:$E$10, MATCH(I486, Lookups_Metadata!$D$4:$D$10, 0))</f>
        <v>Saturday</v>
      </c>
      <c r="K486" s="33" t="str">
        <f aca="false">IF(H486=TRUE(), "Holiday", IF(OR(I486=0, I486=6), "Weekend", "Weekday"))</f>
        <v>Weekend</v>
      </c>
      <c r="L486" s="33" t="str">
        <f aca="false">IF(AND(K486="Weekday", OR(AND(G486&gt;=7, G486&lt;=9), AND(G486&gt;=17, G486&lt;=19))), "Peak Commute", "Off-Peak")</f>
        <v>Off-Peak</v>
      </c>
      <c r="M486" s="43" t="n">
        <v>2</v>
      </c>
      <c r="N486" s="33" t="str">
        <f aca="false">VLOOKUP(M486, Lookups_Metadata!$G$4:$H$7, 2, FALSE())</f>
        <v>Mist / Cloudy</v>
      </c>
      <c r="O486" s="46" t="n">
        <v>0.04</v>
      </c>
      <c r="P486" s="46" t="n">
        <v>0.0303</v>
      </c>
      <c r="Q486" s="46" t="n">
        <f aca="false">IF(OR(P486="", ISBLANK(P486)), ROUND(0.9367*O486+0.0175, 4), P486)</f>
        <v>0.0303</v>
      </c>
      <c r="R486" s="33" t="str">
        <f aca="false">IF(OR(P486="", ISBLANK(P486)), "Imputed (Regression/Trend)", "Original")</f>
        <v>Original</v>
      </c>
      <c r="S486" s="46" t="n">
        <v>0.41</v>
      </c>
      <c r="T486" s="46" t="n">
        <v>0.2537</v>
      </c>
      <c r="U486" s="18" t="n">
        <v>0</v>
      </c>
      <c r="V486" s="18" t="n">
        <v>11</v>
      </c>
      <c r="W486" s="18" t="n">
        <f aca="false">U486+V486</f>
        <v>11</v>
      </c>
      <c r="X486" s="47" t="n">
        <f aca="false">U486/W486</f>
        <v>0</v>
      </c>
      <c r="Y486" s="47" t="n">
        <f aca="false">V486/W486</f>
        <v>1</v>
      </c>
      <c r="Z486" s="33" t="str">
        <f aca="false">IF(W486&gt;=150, "High Demand", IF(W486&gt;=50, "Moderate Demand", "Low Demand"))</f>
        <v>Low Demand</v>
      </c>
      <c r="AA486" s="45" t="str">
        <f aca="false">TEXT(G486, "00") &amp; ":00"</f>
        <v>02:00</v>
      </c>
      <c r="AB486" s="43" t="n">
        <f aca="false">YEAR(B486)</f>
        <v>2011</v>
      </c>
      <c r="AC486" s="33" t="str">
        <f aca="false">TEXT(B486, "mmmm")</f>
        <v>January</v>
      </c>
      <c r="AD486" s="43" t="n">
        <f aca="false">LEN(TEXT(B486, "YYYY-MM-DD"))</f>
        <v>10</v>
      </c>
      <c r="AE486" s="45" t="str">
        <f aca="false">LEFT(TEXT(B486, "YYYY-MM-DD"), 4)</f>
        <v>2011</v>
      </c>
      <c r="AF486" s="45" t="str">
        <f aca="false">RIGHT(TEXT(B486, "YYYY-MM-DD"), 2)</f>
        <v>22</v>
      </c>
    </row>
    <row r="487" customFormat="false" ht="15" hidden="false" customHeight="false" outlineLevel="0" collapsed="false">
      <c r="A487" s="37" t="n">
        <v>483</v>
      </c>
      <c r="B487" s="38" t="s">
        <v>98</v>
      </c>
      <c r="C487" s="37" t="n">
        <v>1</v>
      </c>
      <c r="D487" s="35" t="str">
        <f aca="false">VLOOKUP(C487, Lookups_Metadata!$A$4:$B$7, 2, FALSE())</f>
        <v>Spring</v>
      </c>
      <c r="E487" s="37" t="n">
        <v>0</v>
      </c>
      <c r="F487" s="37" t="n">
        <v>1</v>
      </c>
      <c r="G487" s="37" t="n">
        <v>3</v>
      </c>
      <c r="H487" s="39" t="b">
        <f aca="false">FALSE()</f>
        <v>0</v>
      </c>
      <c r="I487" s="37" t="n">
        <v>6</v>
      </c>
      <c r="J487" s="35" t="str">
        <f aca="false">INDEX(Lookups_Metadata!$E$4:$E$10, MATCH(I487, Lookups_Metadata!$D$4:$D$10, 0))</f>
        <v>Saturday</v>
      </c>
      <c r="K487" s="35" t="str">
        <f aca="false">IF(H487=TRUE(), "Holiday", IF(OR(I487=0, I487=6), "Weekend", "Weekday"))</f>
        <v>Weekend</v>
      </c>
      <c r="L487" s="35" t="str">
        <f aca="false">IF(AND(K487="Weekday", OR(AND(G487&gt;=7, G487&lt;=9), AND(G487&gt;=17, G487&lt;=19))), "Peak Commute", "Off-Peak")</f>
        <v>Off-Peak</v>
      </c>
      <c r="M487" s="37" t="n">
        <v>2</v>
      </c>
      <c r="N487" s="35" t="str">
        <f aca="false">VLOOKUP(M487, Lookups_Metadata!$G$4:$H$7, 2, FALSE())</f>
        <v>Mist / Cloudy</v>
      </c>
      <c r="O487" s="40" t="n">
        <v>0.04</v>
      </c>
      <c r="P487" s="40" t="n">
        <v>0.0303</v>
      </c>
      <c r="Q487" s="40" t="n">
        <f aca="false">IF(OR(P487="", ISBLANK(P487)), ROUND(0.9367*O487+0.0175, 4), P487)</f>
        <v>0.0303</v>
      </c>
      <c r="R487" s="35" t="str">
        <f aca="false">IF(OR(P487="", ISBLANK(P487)), "Imputed (Regression/Trend)", "Original")</f>
        <v>Original</v>
      </c>
      <c r="S487" s="40" t="n">
        <v>0.41</v>
      </c>
      <c r="T487" s="40" t="n">
        <v>0.2836</v>
      </c>
      <c r="U487" s="41" t="n">
        <v>1</v>
      </c>
      <c r="V487" s="41" t="n">
        <v>6</v>
      </c>
      <c r="W487" s="41" t="n">
        <f aca="false">U487+V487</f>
        <v>7</v>
      </c>
      <c r="X487" s="42" t="n">
        <f aca="false">U487/W487</f>
        <v>0.142857142857143</v>
      </c>
      <c r="Y487" s="42" t="n">
        <f aca="false">V487/W487</f>
        <v>0.857142857142857</v>
      </c>
      <c r="Z487" s="35" t="str">
        <f aca="false">IF(W487&gt;=150, "High Demand", IF(W487&gt;=50, "Moderate Demand", "Low Demand"))</f>
        <v>Low Demand</v>
      </c>
      <c r="AA487" s="39" t="str">
        <f aca="false">TEXT(G487, "00") &amp; ":00"</f>
        <v>03:00</v>
      </c>
      <c r="AB487" s="37" t="n">
        <f aca="false">YEAR(B487)</f>
        <v>2011</v>
      </c>
      <c r="AC487" s="35" t="str">
        <f aca="false">TEXT(B487, "mmmm")</f>
        <v>January</v>
      </c>
      <c r="AD487" s="37" t="n">
        <f aca="false">LEN(TEXT(B487, "YYYY-MM-DD"))</f>
        <v>10</v>
      </c>
      <c r="AE487" s="39" t="str">
        <f aca="false">LEFT(TEXT(B487, "YYYY-MM-DD"), 4)</f>
        <v>2011</v>
      </c>
      <c r="AF487" s="39" t="str">
        <f aca="false">RIGHT(TEXT(B487, "YYYY-MM-DD"), 2)</f>
        <v>22</v>
      </c>
    </row>
    <row r="488" customFormat="false" ht="15" hidden="false" customHeight="false" outlineLevel="0" collapsed="false">
      <c r="A488" s="43" t="n">
        <v>484</v>
      </c>
      <c r="B488" s="44" t="s">
        <v>98</v>
      </c>
      <c r="C488" s="43" t="n">
        <v>1</v>
      </c>
      <c r="D488" s="33" t="str">
        <f aca="false">VLOOKUP(C488, Lookups_Metadata!$A$4:$B$7, 2, FALSE())</f>
        <v>Spring</v>
      </c>
      <c r="E488" s="43" t="n">
        <v>0</v>
      </c>
      <c r="F488" s="43" t="n">
        <v>1</v>
      </c>
      <c r="G488" s="43" t="n">
        <v>4</v>
      </c>
      <c r="H488" s="45" t="b">
        <f aca="false">FALSE()</f>
        <v>0</v>
      </c>
      <c r="I488" s="43" t="n">
        <v>6</v>
      </c>
      <c r="J488" s="33" t="str">
        <f aca="false">INDEX(Lookups_Metadata!$E$4:$E$10, MATCH(I488, Lookups_Metadata!$D$4:$D$10, 0))</f>
        <v>Saturday</v>
      </c>
      <c r="K488" s="33" t="str">
        <f aca="false">IF(H488=TRUE(), "Holiday", IF(OR(I488=0, I488=6), "Weekend", "Weekday"))</f>
        <v>Weekend</v>
      </c>
      <c r="L488" s="33" t="str">
        <f aca="false">IF(AND(K488="Weekday", OR(AND(G488&gt;=7, G488&lt;=9), AND(G488&gt;=17, G488&lt;=19))), "Peak Commute", "Off-Peak")</f>
        <v>Off-Peak</v>
      </c>
      <c r="M488" s="43" t="n">
        <v>2</v>
      </c>
      <c r="N488" s="33" t="str">
        <f aca="false">VLOOKUP(M488, Lookups_Metadata!$G$4:$H$7, 2, FALSE())</f>
        <v>Mist / Cloudy</v>
      </c>
      <c r="O488" s="46" t="n">
        <v>0.02</v>
      </c>
      <c r="P488" s="46" t="n">
        <v>0.0152</v>
      </c>
      <c r="Q488" s="46" t="n">
        <f aca="false">IF(OR(P488="", ISBLANK(P488)), ROUND(0.9367*O488+0.0175, 4), P488)</f>
        <v>0.0152</v>
      </c>
      <c r="R488" s="33" t="str">
        <f aca="false">IF(OR(P488="", ISBLANK(P488)), "Imputed (Regression/Trend)", "Original")</f>
        <v>Original</v>
      </c>
      <c r="S488" s="46" t="n">
        <v>0.48</v>
      </c>
      <c r="T488" s="46" t="n">
        <v>0.2985</v>
      </c>
      <c r="U488" s="18" t="n">
        <v>0</v>
      </c>
      <c r="V488" s="18" t="n">
        <v>3</v>
      </c>
      <c r="W488" s="18" t="n">
        <f aca="false">U488+V488</f>
        <v>3</v>
      </c>
      <c r="X488" s="47" t="n">
        <f aca="false">U488/W488</f>
        <v>0</v>
      </c>
      <c r="Y488" s="47" t="n">
        <f aca="false">V488/W488</f>
        <v>1</v>
      </c>
      <c r="Z488" s="33" t="str">
        <f aca="false">IF(W488&gt;=150, "High Demand", IF(W488&gt;=50, "Moderate Demand", "Low Demand"))</f>
        <v>Low Demand</v>
      </c>
      <c r="AA488" s="45" t="str">
        <f aca="false">TEXT(G488, "00") &amp; ":00"</f>
        <v>04:00</v>
      </c>
      <c r="AB488" s="43" t="n">
        <f aca="false">YEAR(B488)</f>
        <v>2011</v>
      </c>
      <c r="AC488" s="33" t="str">
        <f aca="false">TEXT(B488, "mmmm")</f>
        <v>January</v>
      </c>
      <c r="AD488" s="43" t="n">
        <f aca="false">LEN(TEXT(B488, "YYYY-MM-DD"))</f>
        <v>10</v>
      </c>
      <c r="AE488" s="45" t="str">
        <f aca="false">LEFT(TEXT(B488, "YYYY-MM-DD"), 4)</f>
        <v>2011</v>
      </c>
      <c r="AF488" s="45" t="str">
        <f aca="false">RIGHT(TEXT(B488, "YYYY-MM-DD"), 2)</f>
        <v>22</v>
      </c>
    </row>
    <row r="489" customFormat="false" ht="15" hidden="false" customHeight="false" outlineLevel="0" collapsed="false">
      <c r="A489" s="37" t="n">
        <v>485</v>
      </c>
      <c r="B489" s="38" t="s">
        <v>98</v>
      </c>
      <c r="C489" s="37" t="n">
        <v>1</v>
      </c>
      <c r="D489" s="35" t="str">
        <f aca="false">VLOOKUP(C489, Lookups_Metadata!$A$4:$B$7, 2, FALSE())</f>
        <v>Spring</v>
      </c>
      <c r="E489" s="37" t="n">
        <v>0</v>
      </c>
      <c r="F489" s="37" t="n">
        <v>1</v>
      </c>
      <c r="G489" s="37" t="n">
        <v>6</v>
      </c>
      <c r="H489" s="39" t="b">
        <f aca="false">FALSE()</f>
        <v>0</v>
      </c>
      <c r="I489" s="37" t="n">
        <v>6</v>
      </c>
      <c r="J489" s="35" t="str">
        <f aca="false">INDEX(Lookups_Metadata!$E$4:$E$10, MATCH(I489, Lookups_Metadata!$D$4:$D$10, 0))</f>
        <v>Saturday</v>
      </c>
      <c r="K489" s="35" t="str">
        <f aca="false">IF(H489=TRUE(), "Holiday", IF(OR(I489=0, I489=6), "Weekend", "Weekday"))</f>
        <v>Weekend</v>
      </c>
      <c r="L489" s="35" t="str">
        <f aca="false">IF(AND(K489="Weekday", OR(AND(G489&gt;=7, G489&lt;=9), AND(G489&gt;=17, G489&lt;=19))), "Peak Commute", "Off-Peak")</f>
        <v>Off-Peak</v>
      </c>
      <c r="M489" s="37" t="n">
        <v>2</v>
      </c>
      <c r="N489" s="35" t="str">
        <f aca="false">VLOOKUP(M489, Lookups_Metadata!$G$4:$H$7, 2, FALSE())</f>
        <v>Mist / Cloudy</v>
      </c>
      <c r="O489" s="40" t="n">
        <v>0.02</v>
      </c>
      <c r="P489" s="40" t="n">
        <v>0.0303</v>
      </c>
      <c r="Q489" s="40" t="n">
        <f aca="false">IF(OR(P489="", ISBLANK(P489)), ROUND(0.9367*O489+0.0175, 4), P489)</f>
        <v>0.0303</v>
      </c>
      <c r="R489" s="35" t="str">
        <f aca="false">IF(OR(P489="", ISBLANK(P489)), "Imputed (Regression/Trend)", "Original")</f>
        <v>Original</v>
      </c>
      <c r="S489" s="40" t="n">
        <v>0.44</v>
      </c>
      <c r="T489" s="40" t="n">
        <v>0.2239</v>
      </c>
      <c r="U489" s="41" t="n">
        <v>0</v>
      </c>
      <c r="V489" s="41" t="n">
        <v>2</v>
      </c>
      <c r="W489" s="41" t="n">
        <f aca="false">U489+V489</f>
        <v>2</v>
      </c>
      <c r="X489" s="42" t="n">
        <f aca="false">U489/W489</f>
        <v>0</v>
      </c>
      <c r="Y489" s="42" t="n">
        <f aca="false">V489/W489</f>
        <v>1</v>
      </c>
      <c r="Z489" s="35" t="str">
        <f aca="false">IF(W489&gt;=150, "High Demand", IF(W489&gt;=50, "Moderate Demand", "Low Demand"))</f>
        <v>Low Demand</v>
      </c>
      <c r="AA489" s="39" t="str">
        <f aca="false">TEXT(G489, "00") &amp; ":00"</f>
        <v>06:00</v>
      </c>
      <c r="AB489" s="37" t="n">
        <f aca="false">YEAR(B489)</f>
        <v>2011</v>
      </c>
      <c r="AC489" s="35" t="str">
        <f aca="false">TEXT(B489, "mmmm")</f>
        <v>January</v>
      </c>
      <c r="AD489" s="37" t="n">
        <f aca="false">LEN(TEXT(B489, "YYYY-MM-DD"))</f>
        <v>10</v>
      </c>
      <c r="AE489" s="39" t="str">
        <f aca="false">LEFT(TEXT(B489, "YYYY-MM-DD"), 4)</f>
        <v>2011</v>
      </c>
      <c r="AF489" s="39" t="str">
        <f aca="false">RIGHT(TEXT(B489, "YYYY-MM-DD"), 2)</f>
        <v>22</v>
      </c>
    </row>
    <row r="490" customFormat="false" ht="15" hidden="false" customHeight="false" outlineLevel="0" collapsed="false">
      <c r="A490" s="43" t="n">
        <v>486</v>
      </c>
      <c r="B490" s="44" t="s">
        <v>98</v>
      </c>
      <c r="C490" s="43" t="n">
        <v>1</v>
      </c>
      <c r="D490" s="33" t="str">
        <f aca="false">VLOOKUP(C490, Lookups_Metadata!$A$4:$B$7, 2, FALSE())</f>
        <v>Spring</v>
      </c>
      <c r="E490" s="43" t="n">
        <v>0</v>
      </c>
      <c r="F490" s="43" t="n">
        <v>1</v>
      </c>
      <c r="G490" s="43" t="n">
        <v>7</v>
      </c>
      <c r="H490" s="45" t="b">
        <f aca="false">FALSE()</f>
        <v>0</v>
      </c>
      <c r="I490" s="43" t="n">
        <v>6</v>
      </c>
      <c r="J490" s="33" t="str">
        <f aca="false">INDEX(Lookups_Metadata!$E$4:$E$10, MATCH(I490, Lookups_Metadata!$D$4:$D$10, 0))</f>
        <v>Saturday</v>
      </c>
      <c r="K490" s="33" t="str">
        <f aca="false">IF(H490=TRUE(), "Holiday", IF(OR(I490=0, I490=6), "Weekend", "Weekday"))</f>
        <v>Weekend</v>
      </c>
      <c r="L490" s="33" t="str">
        <f aca="false">IF(AND(K490="Weekday", OR(AND(G490&gt;=7, G490&lt;=9), AND(G490&gt;=17, G490&lt;=19))), "Peak Commute", "Off-Peak")</f>
        <v>Off-Peak</v>
      </c>
      <c r="M490" s="43" t="n">
        <v>1</v>
      </c>
      <c r="N490" s="33" t="str">
        <f aca="false">VLOOKUP(M490, Lookups_Metadata!$G$4:$H$7, 2, FALSE())</f>
        <v>Clear / Few Clouds</v>
      </c>
      <c r="O490" s="46" t="n">
        <v>0.02</v>
      </c>
      <c r="P490" s="46" t="n">
        <v>0.0152</v>
      </c>
      <c r="Q490" s="46" t="n">
        <f aca="false">IF(OR(P490="", ISBLANK(P490)), ROUND(0.9367*O490+0.0175, 4), P490)</f>
        <v>0.0152</v>
      </c>
      <c r="R490" s="33" t="str">
        <f aca="false">IF(OR(P490="", ISBLANK(P490)), "Imputed (Regression/Trend)", "Original")</f>
        <v>Original</v>
      </c>
      <c r="S490" s="46" t="n">
        <v>0.44</v>
      </c>
      <c r="T490" s="46" t="n">
        <v>0.2836</v>
      </c>
      <c r="U490" s="18" t="n">
        <v>0</v>
      </c>
      <c r="V490" s="18" t="n">
        <v>8</v>
      </c>
      <c r="W490" s="18" t="n">
        <f aca="false">U490+V490</f>
        <v>8</v>
      </c>
      <c r="X490" s="47" t="n">
        <f aca="false">U490/W490</f>
        <v>0</v>
      </c>
      <c r="Y490" s="47" t="n">
        <f aca="false">V490/W490</f>
        <v>1</v>
      </c>
      <c r="Z490" s="33" t="str">
        <f aca="false">IF(W490&gt;=150, "High Demand", IF(W490&gt;=50, "Moderate Demand", "Low Demand"))</f>
        <v>Low Demand</v>
      </c>
      <c r="AA490" s="45" t="str">
        <f aca="false">TEXT(G490, "00") &amp; ":00"</f>
        <v>07:00</v>
      </c>
      <c r="AB490" s="43" t="n">
        <f aca="false">YEAR(B490)</f>
        <v>2011</v>
      </c>
      <c r="AC490" s="33" t="str">
        <f aca="false">TEXT(B490, "mmmm")</f>
        <v>January</v>
      </c>
      <c r="AD490" s="43" t="n">
        <f aca="false">LEN(TEXT(B490, "YYYY-MM-DD"))</f>
        <v>10</v>
      </c>
      <c r="AE490" s="45" t="str">
        <f aca="false">LEFT(TEXT(B490, "YYYY-MM-DD"), 4)</f>
        <v>2011</v>
      </c>
      <c r="AF490" s="45" t="str">
        <f aca="false">RIGHT(TEXT(B490, "YYYY-MM-DD"), 2)</f>
        <v>22</v>
      </c>
    </row>
    <row r="491" customFormat="false" ht="15" hidden="false" customHeight="false" outlineLevel="0" collapsed="false">
      <c r="A491" s="37" t="n">
        <v>487</v>
      </c>
      <c r="B491" s="38" t="s">
        <v>98</v>
      </c>
      <c r="C491" s="37" t="n">
        <v>1</v>
      </c>
      <c r="D491" s="35" t="str">
        <f aca="false">VLOOKUP(C491, Lookups_Metadata!$A$4:$B$7, 2, FALSE())</f>
        <v>Spring</v>
      </c>
      <c r="E491" s="37" t="n">
        <v>0</v>
      </c>
      <c r="F491" s="37" t="n">
        <v>1</v>
      </c>
      <c r="G491" s="37" t="n">
        <v>8</v>
      </c>
      <c r="H491" s="39" t="b">
        <f aca="false">FALSE()</f>
        <v>0</v>
      </c>
      <c r="I491" s="37" t="n">
        <v>6</v>
      </c>
      <c r="J491" s="35" t="str">
        <f aca="false">INDEX(Lookups_Metadata!$E$4:$E$10, MATCH(I491, Lookups_Metadata!$D$4:$D$10, 0))</f>
        <v>Saturday</v>
      </c>
      <c r="K491" s="35" t="str">
        <f aca="false">IF(H491=TRUE(), "Holiday", IF(OR(I491=0, I491=6), "Weekend", "Weekday"))</f>
        <v>Weekend</v>
      </c>
      <c r="L491" s="35" t="str">
        <f aca="false">IF(AND(K491="Weekday", OR(AND(G491&gt;=7, G491&lt;=9), AND(G491&gt;=17, G491&lt;=19))), "Peak Commute", "Off-Peak")</f>
        <v>Off-Peak</v>
      </c>
      <c r="M491" s="37" t="n">
        <v>1</v>
      </c>
      <c r="N491" s="35" t="str">
        <f aca="false">VLOOKUP(M491, Lookups_Metadata!$G$4:$H$7, 2, FALSE())</f>
        <v>Clear / Few Clouds</v>
      </c>
      <c r="O491" s="40" t="n">
        <v>0.02</v>
      </c>
      <c r="P491" s="40" t="n">
        <v>0</v>
      </c>
      <c r="Q491" s="40" t="n">
        <f aca="false">IF(OR(P491="", ISBLANK(P491)), ROUND(0.9367*O491+0.0175, 4), P491)</f>
        <v>0</v>
      </c>
      <c r="R491" s="35" t="str">
        <f aca="false">IF(OR(P491="", ISBLANK(P491)), "Imputed (Regression/Trend)", "Original")</f>
        <v>Original</v>
      </c>
      <c r="S491" s="40" t="n">
        <v>0.44</v>
      </c>
      <c r="T491" s="40" t="n">
        <v>0.3284</v>
      </c>
      <c r="U491" s="41" t="n">
        <v>1</v>
      </c>
      <c r="V491" s="41" t="n">
        <v>26</v>
      </c>
      <c r="W491" s="41" t="n">
        <f aca="false">U491+V491</f>
        <v>27</v>
      </c>
      <c r="X491" s="42" t="n">
        <f aca="false">U491/W491</f>
        <v>0.037037037037037</v>
      </c>
      <c r="Y491" s="42" t="n">
        <f aca="false">V491/W491</f>
        <v>0.962962962962963</v>
      </c>
      <c r="Z491" s="35" t="str">
        <f aca="false">IF(W491&gt;=150, "High Demand", IF(W491&gt;=50, "Moderate Demand", "Low Demand"))</f>
        <v>Low Demand</v>
      </c>
      <c r="AA491" s="39" t="str">
        <f aca="false">TEXT(G491, "00") &amp; ":00"</f>
        <v>08:00</v>
      </c>
      <c r="AB491" s="37" t="n">
        <f aca="false">YEAR(B491)</f>
        <v>2011</v>
      </c>
      <c r="AC491" s="35" t="str">
        <f aca="false">TEXT(B491, "mmmm")</f>
        <v>January</v>
      </c>
      <c r="AD491" s="37" t="n">
        <f aca="false">LEN(TEXT(B491, "YYYY-MM-DD"))</f>
        <v>10</v>
      </c>
      <c r="AE491" s="39" t="str">
        <f aca="false">LEFT(TEXT(B491, "YYYY-MM-DD"), 4)</f>
        <v>2011</v>
      </c>
      <c r="AF491" s="39" t="str">
        <f aca="false">RIGHT(TEXT(B491, "YYYY-MM-DD"), 2)</f>
        <v>22</v>
      </c>
    </row>
    <row r="492" customFormat="false" ht="15" hidden="false" customHeight="false" outlineLevel="0" collapsed="false">
      <c r="A492" s="43" t="n">
        <v>488</v>
      </c>
      <c r="B492" s="44" t="s">
        <v>98</v>
      </c>
      <c r="C492" s="43" t="n">
        <v>1</v>
      </c>
      <c r="D492" s="33" t="str">
        <f aca="false">VLOOKUP(C492, Lookups_Metadata!$A$4:$B$7, 2, FALSE())</f>
        <v>Spring</v>
      </c>
      <c r="E492" s="43" t="n">
        <v>0</v>
      </c>
      <c r="F492" s="43" t="n">
        <v>1</v>
      </c>
      <c r="G492" s="43" t="n">
        <v>9</v>
      </c>
      <c r="H492" s="45" t="b">
        <f aca="false">FALSE()</f>
        <v>0</v>
      </c>
      <c r="I492" s="43" t="n">
        <v>6</v>
      </c>
      <c r="J492" s="33" t="str">
        <f aca="false">INDEX(Lookups_Metadata!$E$4:$E$10, MATCH(I492, Lookups_Metadata!$D$4:$D$10, 0))</f>
        <v>Saturday</v>
      </c>
      <c r="K492" s="33" t="str">
        <f aca="false">IF(H492=TRUE(), "Holiday", IF(OR(I492=0, I492=6), "Weekend", "Weekday"))</f>
        <v>Weekend</v>
      </c>
      <c r="L492" s="33" t="str">
        <f aca="false">IF(AND(K492="Weekday", OR(AND(G492&gt;=7, G492&lt;=9), AND(G492&gt;=17, G492&lt;=19))), "Peak Commute", "Off-Peak")</f>
        <v>Off-Peak</v>
      </c>
      <c r="M492" s="43" t="n">
        <v>1</v>
      </c>
      <c r="N492" s="33" t="str">
        <f aca="false">VLOOKUP(M492, Lookups_Metadata!$G$4:$H$7, 2, FALSE())</f>
        <v>Clear / Few Clouds</v>
      </c>
      <c r="O492" s="46" t="n">
        <v>0.04</v>
      </c>
      <c r="P492" s="46" t="n">
        <v>0.0303</v>
      </c>
      <c r="Q492" s="46" t="n">
        <f aca="false">IF(OR(P492="", ISBLANK(P492)), ROUND(0.9367*O492+0.0175, 4), P492)</f>
        <v>0.0303</v>
      </c>
      <c r="R492" s="33" t="str">
        <f aca="false">IF(OR(P492="", ISBLANK(P492)), "Imputed (Regression/Trend)", "Original")</f>
        <v>Original</v>
      </c>
      <c r="S492" s="46" t="n">
        <v>0.41</v>
      </c>
      <c r="T492" s="46" t="n">
        <v>0.2537</v>
      </c>
      <c r="U492" s="18" t="n">
        <v>3</v>
      </c>
      <c r="V492" s="18" t="n">
        <v>37</v>
      </c>
      <c r="W492" s="18" t="n">
        <f aca="false">U492+V492</f>
        <v>40</v>
      </c>
      <c r="X492" s="47" t="n">
        <f aca="false">U492/W492</f>
        <v>0.075</v>
      </c>
      <c r="Y492" s="47" t="n">
        <f aca="false">V492/W492</f>
        <v>0.925</v>
      </c>
      <c r="Z492" s="33" t="str">
        <f aca="false">IF(W492&gt;=150, "High Demand", IF(W492&gt;=50, "Moderate Demand", "Low Demand"))</f>
        <v>Low Demand</v>
      </c>
      <c r="AA492" s="45" t="str">
        <f aca="false">TEXT(G492, "00") &amp; ":00"</f>
        <v>09:00</v>
      </c>
      <c r="AB492" s="43" t="n">
        <f aca="false">YEAR(B492)</f>
        <v>2011</v>
      </c>
      <c r="AC492" s="33" t="str">
        <f aca="false">TEXT(B492, "mmmm")</f>
        <v>January</v>
      </c>
      <c r="AD492" s="43" t="n">
        <f aca="false">LEN(TEXT(B492, "YYYY-MM-DD"))</f>
        <v>10</v>
      </c>
      <c r="AE492" s="45" t="str">
        <f aca="false">LEFT(TEXT(B492, "YYYY-MM-DD"), 4)</f>
        <v>2011</v>
      </c>
      <c r="AF492" s="45" t="str">
        <f aca="false">RIGHT(TEXT(B492, "YYYY-MM-DD"), 2)</f>
        <v>22</v>
      </c>
    </row>
    <row r="493" customFormat="false" ht="15" hidden="false" customHeight="false" outlineLevel="0" collapsed="false">
      <c r="A493" s="37" t="n">
        <v>489</v>
      </c>
      <c r="B493" s="38" t="s">
        <v>98</v>
      </c>
      <c r="C493" s="37" t="n">
        <v>1</v>
      </c>
      <c r="D493" s="35" t="str">
        <f aca="false">VLOOKUP(C493, Lookups_Metadata!$A$4:$B$7, 2, FALSE())</f>
        <v>Spring</v>
      </c>
      <c r="E493" s="37" t="n">
        <v>0</v>
      </c>
      <c r="F493" s="37" t="n">
        <v>1</v>
      </c>
      <c r="G493" s="37" t="n">
        <v>10</v>
      </c>
      <c r="H493" s="39" t="b">
        <f aca="false">FALSE()</f>
        <v>0</v>
      </c>
      <c r="I493" s="37" t="n">
        <v>6</v>
      </c>
      <c r="J493" s="35" t="str">
        <f aca="false">INDEX(Lookups_Metadata!$E$4:$E$10, MATCH(I493, Lookups_Metadata!$D$4:$D$10, 0))</f>
        <v>Saturday</v>
      </c>
      <c r="K493" s="35" t="str">
        <f aca="false">IF(H493=TRUE(), "Holiday", IF(OR(I493=0, I493=6), "Weekend", "Weekday"))</f>
        <v>Weekend</v>
      </c>
      <c r="L493" s="35" t="str">
        <f aca="false">IF(AND(K493="Weekday", OR(AND(G493&gt;=7, G493&lt;=9), AND(G493&gt;=17, G493&lt;=19))), "Peak Commute", "Off-Peak")</f>
        <v>Off-Peak</v>
      </c>
      <c r="M493" s="37" t="n">
        <v>2</v>
      </c>
      <c r="N493" s="35" t="str">
        <f aca="false">VLOOKUP(M493, Lookups_Metadata!$G$4:$H$7, 2, FALSE())</f>
        <v>Mist / Cloudy</v>
      </c>
      <c r="O493" s="40" t="n">
        <v>0.04</v>
      </c>
      <c r="P493" s="40" t="n">
        <v>0.0606</v>
      </c>
      <c r="Q493" s="40" t="n">
        <f aca="false">IF(OR(P493="", ISBLANK(P493)), ROUND(0.9367*O493+0.0175, 4), P493)</f>
        <v>0.0606</v>
      </c>
      <c r="R493" s="35" t="str">
        <f aca="false">IF(OR(P493="", ISBLANK(P493)), "Imputed (Regression/Trend)", "Original")</f>
        <v>Original</v>
      </c>
      <c r="S493" s="40" t="n">
        <v>0.41</v>
      </c>
      <c r="T493" s="40" t="n">
        <v>0.1642</v>
      </c>
      <c r="U493" s="41" t="n">
        <v>3</v>
      </c>
      <c r="V493" s="41" t="n">
        <v>50</v>
      </c>
      <c r="W493" s="41" t="n">
        <f aca="false">U493+V493</f>
        <v>53</v>
      </c>
      <c r="X493" s="42" t="n">
        <f aca="false">U493/W493</f>
        <v>0.0566037735849057</v>
      </c>
      <c r="Y493" s="42" t="n">
        <f aca="false">V493/W493</f>
        <v>0.943396226415094</v>
      </c>
      <c r="Z493" s="35" t="str">
        <f aca="false">IF(W493&gt;=150, "High Demand", IF(W493&gt;=50, "Moderate Demand", "Low Demand"))</f>
        <v>Moderate Demand</v>
      </c>
      <c r="AA493" s="39" t="str">
        <f aca="false">TEXT(G493, "00") &amp; ":00"</f>
        <v>10:00</v>
      </c>
      <c r="AB493" s="37" t="n">
        <f aca="false">YEAR(B493)</f>
        <v>2011</v>
      </c>
      <c r="AC493" s="35" t="str">
        <f aca="false">TEXT(B493, "mmmm")</f>
        <v>January</v>
      </c>
      <c r="AD493" s="37" t="n">
        <f aca="false">LEN(TEXT(B493, "YYYY-MM-DD"))</f>
        <v>10</v>
      </c>
      <c r="AE493" s="39" t="str">
        <f aca="false">LEFT(TEXT(B493, "YYYY-MM-DD"), 4)</f>
        <v>2011</v>
      </c>
      <c r="AF493" s="39" t="str">
        <f aca="false">RIGHT(TEXT(B493, "YYYY-MM-DD"), 2)</f>
        <v>22</v>
      </c>
    </row>
    <row r="494" customFormat="false" ht="15" hidden="false" customHeight="false" outlineLevel="0" collapsed="false">
      <c r="A494" s="43" t="n">
        <v>490</v>
      </c>
      <c r="B494" s="44" t="s">
        <v>98</v>
      </c>
      <c r="C494" s="43" t="n">
        <v>1</v>
      </c>
      <c r="D494" s="33" t="str">
        <f aca="false">VLOOKUP(C494, Lookups_Metadata!$A$4:$B$7, 2, FALSE())</f>
        <v>Spring</v>
      </c>
      <c r="E494" s="43" t="n">
        <v>0</v>
      </c>
      <c r="F494" s="43" t="n">
        <v>1</v>
      </c>
      <c r="G494" s="43" t="n">
        <v>11</v>
      </c>
      <c r="H494" s="45" t="b">
        <f aca="false">FALSE()</f>
        <v>0</v>
      </c>
      <c r="I494" s="43" t="n">
        <v>6</v>
      </c>
      <c r="J494" s="33" t="str">
        <f aca="false">INDEX(Lookups_Metadata!$E$4:$E$10, MATCH(I494, Lookups_Metadata!$D$4:$D$10, 0))</f>
        <v>Saturday</v>
      </c>
      <c r="K494" s="33" t="str">
        <f aca="false">IF(H494=TRUE(), "Holiday", IF(OR(I494=0, I494=6), "Weekend", "Weekday"))</f>
        <v>Weekend</v>
      </c>
      <c r="L494" s="33" t="str">
        <f aca="false">IF(AND(K494="Weekday", OR(AND(G494&gt;=7, G494&lt;=9), AND(G494&gt;=17, G494&lt;=19))), "Peak Commute", "Off-Peak")</f>
        <v>Off-Peak</v>
      </c>
      <c r="M494" s="43" t="n">
        <v>2</v>
      </c>
      <c r="N494" s="33" t="str">
        <f aca="false">VLOOKUP(M494, Lookups_Metadata!$G$4:$H$7, 2, FALSE())</f>
        <v>Mist / Cloudy</v>
      </c>
      <c r="O494" s="46" t="n">
        <v>0.06</v>
      </c>
      <c r="P494" s="46" t="n">
        <v>0.0758</v>
      </c>
      <c r="Q494" s="46" t="n">
        <f aca="false">IF(OR(P494="", ISBLANK(P494)), ROUND(0.9367*O494+0.0175, 4), P494)</f>
        <v>0.0758</v>
      </c>
      <c r="R494" s="33" t="str">
        <f aca="false">IF(OR(P494="", ISBLANK(P494)), "Imputed (Regression/Trend)", "Original")</f>
        <v>Original</v>
      </c>
      <c r="S494" s="46" t="n">
        <v>0.38</v>
      </c>
      <c r="T494" s="46" t="n">
        <v>0.1343</v>
      </c>
      <c r="U494" s="18" t="n">
        <v>4</v>
      </c>
      <c r="V494" s="18" t="n">
        <v>59</v>
      </c>
      <c r="W494" s="18" t="n">
        <f aca="false">U494+V494</f>
        <v>63</v>
      </c>
      <c r="X494" s="47" t="n">
        <f aca="false">U494/W494</f>
        <v>0.0634920634920635</v>
      </c>
      <c r="Y494" s="47" t="n">
        <f aca="false">V494/W494</f>
        <v>0.936507936507937</v>
      </c>
      <c r="Z494" s="33" t="str">
        <f aca="false">IF(W494&gt;=150, "High Demand", IF(W494&gt;=50, "Moderate Demand", "Low Demand"))</f>
        <v>Moderate Demand</v>
      </c>
      <c r="AA494" s="45" t="str">
        <f aca="false">TEXT(G494, "00") &amp; ":00"</f>
        <v>11:00</v>
      </c>
      <c r="AB494" s="43" t="n">
        <f aca="false">YEAR(B494)</f>
        <v>2011</v>
      </c>
      <c r="AC494" s="33" t="str">
        <f aca="false">TEXT(B494, "mmmm")</f>
        <v>January</v>
      </c>
      <c r="AD494" s="43" t="n">
        <f aca="false">LEN(TEXT(B494, "YYYY-MM-DD"))</f>
        <v>10</v>
      </c>
      <c r="AE494" s="45" t="str">
        <f aca="false">LEFT(TEXT(B494, "YYYY-MM-DD"), 4)</f>
        <v>2011</v>
      </c>
      <c r="AF494" s="45" t="str">
        <f aca="false">RIGHT(TEXT(B494, "YYYY-MM-DD"), 2)</f>
        <v>22</v>
      </c>
    </row>
    <row r="495" customFormat="false" ht="15" hidden="false" customHeight="false" outlineLevel="0" collapsed="false">
      <c r="A495" s="37" t="n">
        <v>491</v>
      </c>
      <c r="B495" s="38" t="s">
        <v>98</v>
      </c>
      <c r="C495" s="37" t="n">
        <v>1</v>
      </c>
      <c r="D495" s="35" t="str">
        <f aca="false">VLOOKUP(C495, Lookups_Metadata!$A$4:$B$7, 2, FALSE())</f>
        <v>Spring</v>
      </c>
      <c r="E495" s="37" t="n">
        <v>0</v>
      </c>
      <c r="F495" s="37" t="n">
        <v>1</v>
      </c>
      <c r="G495" s="37" t="n">
        <v>12</v>
      </c>
      <c r="H495" s="39" t="b">
        <f aca="false">FALSE()</f>
        <v>0</v>
      </c>
      <c r="I495" s="37" t="n">
        <v>6</v>
      </c>
      <c r="J495" s="35" t="str">
        <f aca="false">INDEX(Lookups_Metadata!$E$4:$E$10, MATCH(I495, Lookups_Metadata!$D$4:$D$10, 0))</f>
        <v>Saturday</v>
      </c>
      <c r="K495" s="35" t="str">
        <f aca="false">IF(H495=TRUE(), "Holiday", IF(OR(I495=0, I495=6), "Weekend", "Weekday"))</f>
        <v>Weekend</v>
      </c>
      <c r="L495" s="35" t="str">
        <f aca="false">IF(AND(K495="Weekday", OR(AND(G495&gt;=7, G495&lt;=9), AND(G495&gt;=17, G495&lt;=19))), "Peak Commute", "Off-Peak")</f>
        <v>Off-Peak</v>
      </c>
      <c r="M495" s="37" t="n">
        <v>2</v>
      </c>
      <c r="N495" s="35" t="str">
        <f aca="false">VLOOKUP(M495, Lookups_Metadata!$G$4:$H$7, 2, FALSE())</f>
        <v>Mist / Cloudy</v>
      </c>
      <c r="O495" s="40" t="n">
        <v>0.06</v>
      </c>
      <c r="P495" s="40" t="n">
        <v>0.1061</v>
      </c>
      <c r="Q495" s="40" t="n">
        <f aca="false">IF(OR(P495="", ISBLANK(P495)), ROUND(0.9367*O495+0.0175, 4), P495)</f>
        <v>0.1061</v>
      </c>
      <c r="R495" s="35" t="str">
        <f aca="false">IF(OR(P495="", ISBLANK(P495)), "Imputed (Regression/Trend)", "Original")</f>
        <v>Original</v>
      </c>
      <c r="S495" s="40" t="n">
        <v>0.38</v>
      </c>
      <c r="T495" s="40" t="n">
        <v>0.1045</v>
      </c>
      <c r="U495" s="41" t="n">
        <v>10</v>
      </c>
      <c r="V495" s="41" t="n">
        <v>60</v>
      </c>
      <c r="W495" s="41" t="n">
        <f aca="false">U495+V495</f>
        <v>70</v>
      </c>
      <c r="X495" s="42" t="n">
        <f aca="false">U495/W495</f>
        <v>0.142857142857143</v>
      </c>
      <c r="Y495" s="42" t="n">
        <f aca="false">V495/W495</f>
        <v>0.857142857142857</v>
      </c>
      <c r="Z495" s="35" t="str">
        <f aca="false">IF(W495&gt;=150, "High Demand", IF(W495&gt;=50, "Moderate Demand", "Low Demand"))</f>
        <v>Moderate Demand</v>
      </c>
      <c r="AA495" s="39" t="str">
        <f aca="false">TEXT(G495, "00") &amp; ":00"</f>
        <v>12:00</v>
      </c>
      <c r="AB495" s="37" t="n">
        <f aca="false">YEAR(B495)</f>
        <v>2011</v>
      </c>
      <c r="AC495" s="35" t="str">
        <f aca="false">TEXT(B495, "mmmm")</f>
        <v>January</v>
      </c>
      <c r="AD495" s="37" t="n">
        <f aca="false">LEN(TEXT(B495, "YYYY-MM-DD"))</f>
        <v>10</v>
      </c>
      <c r="AE495" s="39" t="str">
        <f aca="false">LEFT(TEXT(B495, "YYYY-MM-DD"), 4)</f>
        <v>2011</v>
      </c>
      <c r="AF495" s="39" t="str">
        <f aca="false">RIGHT(TEXT(B495, "YYYY-MM-DD"), 2)</f>
        <v>22</v>
      </c>
    </row>
    <row r="496" customFormat="false" ht="15" hidden="false" customHeight="false" outlineLevel="0" collapsed="false">
      <c r="A496" s="43" t="n">
        <v>492</v>
      </c>
      <c r="B496" s="44" t="s">
        <v>98</v>
      </c>
      <c r="C496" s="43" t="n">
        <v>1</v>
      </c>
      <c r="D496" s="33" t="str">
        <f aca="false">VLOOKUP(C496, Lookups_Metadata!$A$4:$B$7, 2, FALSE())</f>
        <v>Spring</v>
      </c>
      <c r="E496" s="43" t="n">
        <v>0</v>
      </c>
      <c r="F496" s="43" t="n">
        <v>1</v>
      </c>
      <c r="G496" s="43" t="n">
        <v>13</v>
      </c>
      <c r="H496" s="45" t="b">
        <f aca="false">FALSE()</f>
        <v>0</v>
      </c>
      <c r="I496" s="43" t="n">
        <v>6</v>
      </c>
      <c r="J496" s="33" t="str">
        <f aca="false">INDEX(Lookups_Metadata!$E$4:$E$10, MATCH(I496, Lookups_Metadata!$D$4:$D$10, 0))</f>
        <v>Saturday</v>
      </c>
      <c r="K496" s="33" t="str">
        <f aca="false">IF(H496=TRUE(), "Holiday", IF(OR(I496=0, I496=6), "Weekend", "Weekday"))</f>
        <v>Weekend</v>
      </c>
      <c r="L496" s="33" t="str">
        <f aca="false">IF(AND(K496="Weekday", OR(AND(G496&gt;=7, G496&lt;=9), AND(G496&gt;=17, G496&lt;=19))), "Peak Commute", "Off-Peak")</f>
        <v>Off-Peak</v>
      </c>
      <c r="M496" s="43" t="n">
        <v>1</v>
      </c>
      <c r="N496" s="33" t="str">
        <f aca="false">VLOOKUP(M496, Lookups_Metadata!$G$4:$H$7, 2, FALSE())</f>
        <v>Clear / Few Clouds</v>
      </c>
      <c r="O496" s="46" t="n">
        <v>0.08</v>
      </c>
      <c r="P496" s="46" t="n">
        <v>0.1667</v>
      </c>
      <c r="Q496" s="46" t="n">
        <f aca="false">IF(OR(P496="", ISBLANK(P496)), ROUND(0.9367*O496+0.0175, 4), P496)</f>
        <v>0.1667</v>
      </c>
      <c r="R496" s="33" t="str">
        <f aca="false">IF(OR(P496="", ISBLANK(P496)), "Imputed (Regression/Trend)", "Original")</f>
        <v>Original</v>
      </c>
      <c r="S496" s="46" t="n">
        <v>0.35</v>
      </c>
      <c r="T496" s="46" t="n">
        <v>0</v>
      </c>
      <c r="U496" s="18" t="n">
        <v>12</v>
      </c>
      <c r="V496" s="18" t="n">
        <v>72</v>
      </c>
      <c r="W496" s="18" t="n">
        <f aca="false">U496+V496</f>
        <v>84</v>
      </c>
      <c r="X496" s="47" t="n">
        <f aca="false">U496/W496</f>
        <v>0.142857142857143</v>
      </c>
      <c r="Y496" s="47" t="n">
        <f aca="false">V496/W496</f>
        <v>0.857142857142857</v>
      </c>
      <c r="Z496" s="33" t="str">
        <f aca="false">IF(W496&gt;=150, "High Demand", IF(W496&gt;=50, "Moderate Demand", "Low Demand"))</f>
        <v>Moderate Demand</v>
      </c>
      <c r="AA496" s="45" t="str">
        <f aca="false">TEXT(G496, "00") &amp; ":00"</f>
        <v>13:00</v>
      </c>
      <c r="AB496" s="43" t="n">
        <f aca="false">YEAR(B496)</f>
        <v>2011</v>
      </c>
      <c r="AC496" s="33" t="str">
        <f aca="false">TEXT(B496, "mmmm")</f>
        <v>January</v>
      </c>
      <c r="AD496" s="43" t="n">
        <f aca="false">LEN(TEXT(B496, "YYYY-MM-DD"))</f>
        <v>10</v>
      </c>
      <c r="AE496" s="45" t="str">
        <f aca="false">LEFT(TEXT(B496, "YYYY-MM-DD"), 4)</f>
        <v>2011</v>
      </c>
      <c r="AF496" s="45" t="str">
        <f aca="false">RIGHT(TEXT(B496, "YYYY-MM-DD"), 2)</f>
        <v>22</v>
      </c>
    </row>
    <row r="497" customFormat="false" ht="15" hidden="false" customHeight="false" outlineLevel="0" collapsed="false">
      <c r="A497" s="37" t="n">
        <v>493</v>
      </c>
      <c r="B497" s="38" t="s">
        <v>98</v>
      </c>
      <c r="C497" s="37" t="n">
        <v>1</v>
      </c>
      <c r="D497" s="35" t="str">
        <f aca="false">VLOOKUP(C497, Lookups_Metadata!$A$4:$B$7, 2, FALSE())</f>
        <v>Spring</v>
      </c>
      <c r="E497" s="37" t="n">
        <v>0</v>
      </c>
      <c r="F497" s="37" t="n">
        <v>1</v>
      </c>
      <c r="G497" s="37" t="n">
        <v>14</v>
      </c>
      <c r="H497" s="39" t="b">
        <f aca="false">FALSE()</f>
        <v>0</v>
      </c>
      <c r="I497" s="37" t="n">
        <v>6</v>
      </c>
      <c r="J497" s="35" t="str">
        <f aca="false">INDEX(Lookups_Metadata!$E$4:$E$10, MATCH(I497, Lookups_Metadata!$D$4:$D$10, 0))</f>
        <v>Saturday</v>
      </c>
      <c r="K497" s="35" t="str">
        <f aca="false">IF(H497=TRUE(), "Holiday", IF(OR(I497=0, I497=6), "Weekend", "Weekday"))</f>
        <v>Weekend</v>
      </c>
      <c r="L497" s="35" t="str">
        <f aca="false">IF(AND(K497="Weekday", OR(AND(G497&gt;=7, G497&lt;=9), AND(G497&gt;=17, G497&lt;=19))), "Peak Commute", "Off-Peak")</f>
        <v>Off-Peak</v>
      </c>
      <c r="M497" s="37" t="n">
        <v>1</v>
      </c>
      <c r="N497" s="35" t="str">
        <f aca="false">VLOOKUP(M497, Lookups_Metadata!$G$4:$H$7, 2, FALSE())</f>
        <v>Clear / Few Clouds</v>
      </c>
      <c r="O497" s="40" t="n">
        <v>0.1</v>
      </c>
      <c r="P497" s="40" t="n">
        <v>0.1364</v>
      </c>
      <c r="Q497" s="40" t="n">
        <f aca="false">IF(OR(P497="", ISBLANK(P497)), ROUND(0.9367*O497+0.0175, 4), P497)</f>
        <v>0.1364</v>
      </c>
      <c r="R497" s="35" t="str">
        <f aca="false">IF(OR(P497="", ISBLANK(P497)), "Imputed (Regression/Trend)", "Original")</f>
        <v>Original</v>
      </c>
      <c r="S497" s="40" t="n">
        <v>0.33</v>
      </c>
      <c r="T497" s="40" t="n">
        <v>0.1045</v>
      </c>
      <c r="U497" s="41" t="n">
        <v>11</v>
      </c>
      <c r="V497" s="41" t="n">
        <v>64</v>
      </c>
      <c r="W497" s="41" t="n">
        <f aca="false">U497+V497</f>
        <v>75</v>
      </c>
      <c r="X497" s="42" t="n">
        <f aca="false">U497/W497</f>
        <v>0.146666666666667</v>
      </c>
      <c r="Y497" s="42" t="n">
        <f aca="false">V497/W497</f>
        <v>0.853333333333333</v>
      </c>
      <c r="Z497" s="35" t="str">
        <f aca="false">IF(W497&gt;=150, "High Demand", IF(W497&gt;=50, "Moderate Demand", "Low Demand"))</f>
        <v>Moderate Demand</v>
      </c>
      <c r="AA497" s="39" t="str">
        <f aca="false">TEXT(G497, "00") &amp; ":00"</f>
        <v>14:00</v>
      </c>
      <c r="AB497" s="37" t="n">
        <f aca="false">YEAR(B497)</f>
        <v>2011</v>
      </c>
      <c r="AC497" s="35" t="str">
        <f aca="false">TEXT(B497, "mmmm")</f>
        <v>January</v>
      </c>
      <c r="AD497" s="37" t="n">
        <f aca="false">LEN(TEXT(B497, "YYYY-MM-DD"))</f>
        <v>10</v>
      </c>
      <c r="AE497" s="39" t="str">
        <f aca="false">LEFT(TEXT(B497, "YYYY-MM-DD"), 4)</f>
        <v>2011</v>
      </c>
      <c r="AF497" s="39" t="str">
        <f aca="false">RIGHT(TEXT(B497, "YYYY-MM-DD"), 2)</f>
        <v>22</v>
      </c>
    </row>
    <row r="498" customFormat="false" ht="15" hidden="false" customHeight="false" outlineLevel="0" collapsed="false">
      <c r="A498" s="43" t="n">
        <v>494</v>
      </c>
      <c r="B498" s="44" t="s">
        <v>98</v>
      </c>
      <c r="C498" s="43" t="n">
        <v>1</v>
      </c>
      <c r="D498" s="33" t="str">
        <f aca="false">VLOOKUP(C498, Lookups_Metadata!$A$4:$B$7, 2, FALSE())</f>
        <v>Spring</v>
      </c>
      <c r="E498" s="43" t="n">
        <v>0</v>
      </c>
      <c r="F498" s="43" t="n">
        <v>1</v>
      </c>
      <c r="G498" s="43" t="n">
        <v>15</v>
      </c>
      <c r="H498" s="45" t="b">
        <f aca="false">FALSE()</f>
        <v>0</v>
      </c>
      <c r="I498" s="43" t="n">
        <v>6</v>
      </c>
      <c r="J498" s="33" t="str">
        <f aca="false">INDEX(Lookups_Metadata!$E$4:$E$10, MATCH(I498, Lookups_Metadata!$D$4:$D$10, 0))</f>
        <v>Saturday</v>
      </c>
      <c r="K498" s="33" t="str">
        <f aca="false">IF(H498=TRUE(), "Holiday", IF(OR(I498=0, I498=6), "Weekend", "Weekday"))</f>
        <v>Weekend</v>
      </c>
      <c r="L498" s="33" t="str">
        <f aca="false">IF(AND(K498="Weekday", OR(AND(G498&gt;=7, G498&lt;=9), AND(G498&gt;=17, G498&lt;=19))), "Peak Commute", "Off-Peak")</f>
        <v>Off-Peak</v>
      </c>
      <c r="M498" s="43" t="n">
        <v>1</v>
      </c>
      <c r="N498" s="33" t="str">
        <f aca="false">VLOOKUP(M498, Lookups_Metadata!$G$4:$H$7, 2, FALSE())</f>
        <v>Clear / Few Clouds</v>
      </c>
      <c r="O498" s="46" t="n">
        <v>0.12</v>
      </c>
      <c r="P498" s="46" t="n">
        <v>0.1515</v>
      </c>
      <c r="Q498" s="46" t="n">
        <f aca="false">IF(OR(P498="", ISBLANK(P498)), ROUND(0.9367*O498+0.0175, 4), P498)</f>
        <v>0.1515</v>
      </c>
      <c r="R498" s="33" t="str">
        <f aca="false">IF(OR(P498="", ISBLANK(P498)), "Imputed (Regression/Trend)", "Original")</f>
        <v>Original</v>
      </c>
      <c r="S498" s="46" t="n">
        <v>0.28</v>
      </c>
      <c r="T498" s="46" t="n">
        <v>0</v>
      </c>
      <c r="U498" s="18" t="n">
        <v>10</v>
      </c>
      <c r="V498" s="18" t="n">
        <v>93</v>
      </c>
      <c r="W498" s="18" t="n">
        <f aca="false">U498+V498</f>
        <v>103</v>
      </c>
      <c r="X498" s="47" t="n">
        <f aca="false">U498/W498</f>
        <v>0.0970873786407767</v>
      </c>
      <c r="Y498" s="47" t="n">
        <f aca="false">V498/W498</f>
        <v>0.902912621359223</v>
      </c>
      <c r="Z498" s="33" t="str">
        <f aca="false">IF(W498&gt;=150, "High Demand", IF(W498&gt;=50, "Moderate Demand", "Low Demand"))</f>
        <v>Moderate Demand</v>
      </c>
      <c r="AA498" s="45" t="str">
        <f aca="false">TEXT(G498, "00") &amp; ":00"</f>
        <v>15:00</v>
      </c>
      <c r="AB498" s="43" t="n">
        <f aca="false">YEAR(B498)</f>
        <v>2011</v>
      </c>
      <c r="AC498" s="33" t="str">
        <f aca="false">TEXT(B498, "mmmm")</f>
        <v>January</v>
      </c>
      <c r="AD498" s="43" t="n">
        <f aca="false">LEN(TEXT(B498, "YYYY-MM-DD"))</f>
        <v>10</v>
      </c>
      <c r="AE498" s="45" t="str">
        <f aca="false">LEFT(TEXT(B498, "YYYY-MM-DD"), 4)</f>
        <v>2011</v>
      </c>
      <c r="AF498" s="45" t="str">
        <f aca="false">RIGHT(TEXT(B498, "YYYY-MM-DD"), 2)</f>
        <v>22</v>
      </c>
    </row>
    <row r="499" customFormat="false" ht="15" hidden="false" customHeight="false" outlineLevel="0" collapsed="false">
      <c r="A499" s="37" t="n">
        <v>495</v>
      </c>
      <c r="B499" s="38" t="s">
        <v>98</v>
      </c>
      <c r="C499" s="37" t="n">
        <v>1</v>
      </c>
      <c r="D499" s="35" t="str">
        <f aca="false">VLOOKUP(C499, Lookups_Metadata!$A$4:$B$7, 2, FALSE())</f>
        <v>Spring</v>
      </c>
      <c r="E499" s="37" t="n">
        <v>0</v>
      </c>
      <c r="F499" s="37" t="n">
        <v>1</v>
      </c>
      <c r="G499" s="37" t="n">
        <v>16</v>
      </c>
      <c r="H499" s="39" t="b">
        <f aca="false">FALSE()</f>
        <v>0</v>
      </c>
      <c r="I499" s="37" t="n">
        <v>6</v>
      </c>
      <c r="J499" s="35" t="str">
        <f aca="false">INDEX(Lookups_Metadata!$E$4:$E$10, MATCH(I499, Lookups_Metadata!$D$4:$D$10, 0))</f>
        <v>Saturday</v>
      </c>
      <c r="K499" s="35" t="str">
        <f aca="false">IF(H499=TRUE(), "Holiday", IF(OR(I499=0, I499=6), "Weekend", "Weekday"))</f>
        <v>Weekend</v>
      </c>
      <c r="L499" s="35" t="str">
        <f aca="false">IF(AND(K499="Weekday", OR(AND(G499&gt;=7, G499&lt;=9), AND(G499&gt;=17, G499&lt;=19))), "Peak Commute", "Off-Peak")</f>
        <v>Off-Peak</v>
      </c>
      <c r="M499" s="37" t="n">
        <v>1</v>
      </c>
      <c r="N499" s="35" t="str">
        <f aca="false">VLOOKUP(M499, Lookups_Metadata!$G$4:$H$7, 2, FALSE())</f>
        <v>Clear / Few Clouds</v>
      </c>
      <c r="O499" s="40" t="n">
        <v>0.12</v>
      </c>
      <c r="P499" s="40" t="n">
        <v>0.1364</v>
      </c>
      <c r="Q499" s="40" t="n">
        <f aca="false">IF(OR(P499="", ISBLANK(P499)), ROUND(0.9367*O499+0.0175, 4), P499)</f>
        <v>0.1364</v>
      </c>
      <c r="R499" s="35" t="str">
        <f aca="false">IF(OR(P499="", ISBLANK(P499)), "Imputed (Regression/Trend)", "Original")</f>
        <v>Original</v>
      </c>
      <c r="S499" s="40" t="n">
        <v>0.28</v>
      </c>
      <c r="T499" s="40" t="n">
        <v>0.194</v>
      </c>
      <c r="U499" s="41" t="n">
        <v>11</v>
      </c>
      <c r="V499" s="41" t="n">
        <v>72</v>
      </c>
      <c r="W499" s="41" t="n">
        <f aca="false">U499+V499</f>
        <v>83</v>
      </c>
      <c r="X499" s="42" t="n">
        <f aca="false">U499/W499</f>
        <v>0.132530120481928</v>
      </c>
      <c r="Y499" s="42" t="n">
        <f aca="false">V499/W499</f>
        <v>0.867469879518072</v>
      </c>
      <c r="Z499" s="35" t="str">
        <f aca="false">IF(W499&gt;=150, "High Demand", IF(W499&gt;=50, "Moderate Demand", "Low Demand"))</f>
        <v>Moderate Demand</v>
      </c>
      <c r="AA499" s="39" t="str">
        <f aca="false">TEXT(G499, "00") &amp; ":00"</f>
        <v>16:00</v>
      </c>
      <c r="AB499" s="37" t="n">
        <f aca="false">YEAR(B499)</f>
        <v>2011</v>
      </c>
      <c r="AC499" s="35" t="str">
        <f aca="false">TEXT(B499, "mmmm")</f>
        <v>January</v>
      </c>
      <c r="AD499" s="37" t="n">
        <f aca="false">LEN(TEXT(B499, "YYYY-MM-DD"))</f>
        <v>10</v>
      </c>
      <c r="AE499" s="39" t="str">
        <f aca="false">LEFT(TEXT(B499, "YYYY-MM-DD"), 4)</f>
        <v>2011</v>
      </c>
      <c r="AF499" s="39" t="str">
        <f aca="false">RIGHT(TEXT(B499, "YYYY-MM-DD"), 2)</f>
        <v>22</v>
      </c>
    </row>
    <row r="500" customFormat="false" ht="15" hidden="false" customHeight="false" outlineLevel="0" collapsed="false">
      <c r="A500" s="43" t="n">
        <v>496</v>
      </c>
      <c r="B500" s="44" t="s">
        <v>98</v>
      </c>
      <c r="C500" s="43" t="n">
        <v>1</v>
      </c>
      <c r="D500" s="33" t="str">
        <f aca="false">VLOOKUP(C500, Lookups_Metadata!$A$4:$B$7, 2, FALSE())</f>
        <v>Spring</v>
      </c>
      <c r="E500" s="43" t="n">
        <v>0</v>
      </c>
      <c r="F500" s="43" t="n">
        <v>1</v>
      </c>
      <c r="G500" s="43" t="n">
        <v>17</v>
      </c>
      <c r="H500" s="45" t="b">
        <f aca="false">FALSE()</f>
        <v>0</v>
      </c>
      <c r="I500" s="43" t="n">
        <v>6</v>
      </c>
      <c r="J500" s="33" t="str">
        <f aca="false">INDEX(Lookups_Metadata!$E$4:$E$10, MATCH(I500, Lookups_Metadata!$D$4:$D$10, 0))</f>
        <v>Saturday</v>
      </c>
      <c r="K500" s="33" t="str">
        <f aca="false">IF(H500=TRUE(), "Holiday", IF(OR(I500=0, I500=6), "Weekend", "Weekday"))</f>
        <v>Weekend</v>
      </c>
      <c r="L500" s="33" t="str">
        <f aca="false">IF(AND(K500="Weekday", OR(AND(G500&gt;=7, G500&lt;=9), AND(G500&gt;=17, G500&lt;=19))), "Peak Commute", "Off-Peak")</f>
        <v>Off-Peak</v>
      </c>
      <c r="M500" s="43" t="n">
        <v>1</v>
      </c>
      <c r="N500" s="33" t="str">
        <f aca="false">VLOOKUP(M500, Lookups_Metadata!$G$4:$H$7, 2, FALSE())</f>
        <v>Clear / Few Clouds</v>
      </c>
      <c r="O500" s="46" t="n">
        <v>0.12</v>
      </c>
      <c r="P500" s="46" t="n">
        <v>0.197</v>
      </c>
      <c r="Q500" s="46" t="n">
        <f aca="false">IF(OR(P500="", ISBLANK(P500)), ROUND(0.9367*O500+0.0175, 4), P500)</f>
        <v>0.197</v>
      </c>
      <c r="R500" s="33" t="str">
        <f aca="false">IF(OR(P500="", ISBLANK(P500)), "Imputed (Regression/Trend)", "Original")</f>
        <v>Original</v>
      </c>
      <c r="S500" s="46" t="n">
        <v>0.28</v>
      </c>
      <c r="T500" s="46" t="n">
        <v>0</v>
      </c>
      <c r="U500" s="18" t="n">
        <v>8</v>
      </c>
      <c r="V500" s="18" t="n">
        <v>59</v>
      </c>
      <c r="W500" s="18" t="n">
        <f aca="false">U500+V500</f>
        <v>67</v>
      </c>
      <c r="X500" s="47" t="n">
        <f aca="false">U500/W500</f>
        <v>0.119402985074627</v>
      </c>
      <c r="Y500" s="47" t="n">
        <f aca="false">V500/W500</f>
        <v>0.880597014925373</v>
      </c>
      <c r="Z500" s="33" t="str">
        <f aca="false">IF(W500&gt;=150, "High Demand", IF(W500&gt;=50, "Moderate Demand", "Low Demand"))</f>
        <v>Moderate Demand</v>
      </c>
      <c r="AA500" s="45" t="str">
        <f aca="false">TEXT(G500, "00") &amp; ":00"</f>
        <v>17:00</v>
      </c>
      <c r="AB500" s="43" t="n">
        <f aca="false">YEAR(B500)</f>
        <v>2011</v>
      </c>
      <c r="AC500" s="33" t="str">
        <f aca="false">TEXT(B500, "mmmm")</f>
        <v>January</v>
      </c>
      <c r="AD500" s="43" t="n">
        <f aca="false">LEN(TEXT(B500, "YYYY-MM-DD"))</f>
        <v>10</v>
      </c>
      <c r="AE500" s="45" t="str">
        <f aca="false">LEFT(TEXT(B500, "YYYY-MM-DD"), 4)</f>
        <v>2011</v>
      </c>
      <c r="AF500" s="45" t="str">
        <f aca="false">RIGHT(TEXT(B500, "YYYY-MM-DD"), 2)</f>
        <v>22</v>
      </c>
    </row>
    <row r="501" customFormat="false" ht="15" hidden="false" customHeight="false" outlineLevel="0" collapsed="false">
      <c r="A501" s="37" t="n">
        <v>497</v>
      </c>
      <c r="B501" s="38" t="s">
        <v>98</v>
      </c>
      <c r="C501" s="37" t="n">
        <v>1</v>
      </c>
      <c r="D501" s="35" t="str">
        <f aca="false">VLOOKUP(C501, Lookups_Metadata!$A$4:$B$7, 2, FALSE())</f>
        <v>Spring</v>
      </c>
      <c r="E501" s="37" t="n">
        <v>0</v>
      </c>
      <c r="F501" s="37" t="n">
        <v>1</v>
      </c>
      <c r="G501" s="37" t="n">
        <v>18</v>
      </c>
      <c r="H501" s="39" t="b">
        <f aca="false">FALSE()</f>
        <v>0</v>
      </c>
      <c r="I501" s="37" t="n">
        <v>6</v>
      </c>
      <c r="J501" s="35" t="str">
        <f aca="false">INDEX(Lookups_Metadata!$E$4:$E$10, MATCH(I501, Lookups_Metadata!$D$4:$D$10, 0))</f>
        <v>Saturday</v>
      </c>
      <c r="K501" s="35" t="str">
        <f aca="false">IF(H501=TRUE(), "Holiday", IF(OR(I501=0, I501=6), "Weekend", "Weekday"))</f>
        <v>Weekend</v>
      </c>
      <c r="L501" s="35" t="str">
        <f aca="false">IF(AND(K501="Weekday", OR(AND(G501&gt;=7, G501&lt;=9), AND(G501&gt;=17, G501&lt;=19))), "Peak Commute", "Off-Peak")</f>
        <v>Off-Peak</v>
      </c>
      <c r="M501" s="37" t="n">
        <v>1</v>
      </c>
      <c r="N501" s="35" t="str">
        <f aca="false">VLOOKUP(M501, Lookups_Metadata!$G$4:$H$7, 2, FALSE())</f>
        <v>Clear / Few Clouds</v>
      </c>
      <c r="O501" s="40" t="n">
        <v>0.08</v>
      </c>
      <c r="P501" s="40" t="n">
        <v>0.0909</v>
      </c>
      <c r="Q501" s="40" t="n">
        <f aca="false">IF(OR(P501="", ISBLANK(P501)), ROUND(0.9367*O501+0.0175, 4), P501)</f>
        <v>0.0909</v>
      </c>
      <c r="R501" s="35" t="str">
        <f aca="false">IF(OR(P501="", ISBLANK(P501)), "Imputed (Regression/Trend)", "Original")</f>
        <v>Original</v>
      </c>
      <c r="S501" s="40" t="n">
        <v>0.35</v>
      </c>
      <c r="T501" s="40" t="n">
        <v>0.194</v>
      </c>
      <c r="U501" s="41" t="n">
        <v>0</v>
      </c>
      <c r="V501" s="41" t="n">
        <v>54</v>
      </c>
      <c r="W501" s="41" t="n">
        <f aca="false">U501+V501</f>
        <v>54</v>
      </c>
      <c r="X501" s="42" t="n">
        <f aca="false">U501/W501</f>
        <v>0</v>
      </c>
      <c r="Y501" s="42" t="n">
        <f aca="false">V501/W501</f>
        <v>1</v>
      </c>
      <c r="Z501" s="35" t="str">
        <f aca="false">IF(W501&gt;=150, "High Demand", IF(W501&gt;=50, "Moderate Demand", "Low Demand"))</f>
        <v>Moderate Demand</v>
      </c>
      <c r="AA501" s="39" t="str">
        <f aca="false">TEXT(G501, "00") &amp; ":00"</f>
        <v>18:00</v>
      </c>
      <c r="AB501" s="37" t="n">
        <f aca="false">YEAR(B501)</f>
        <v>2011</v>
      </c>
      <c r="AC501" s="35" t="str">
        <f aca="false">TEXT(B501, "mmmm")</f>
        <v>January</v>
      </c>
      <c r="AD501" s="37" t="n">
        <f aca="false">LEN(TEXT(B501, "YYYY-MM-DD"))</f>
        <v>10</v>
      </c>
      <c r="AE501" s="39" t="str">
        <f aca="false">LEFT(TEXT(B501, "YYYY-MM-DD"), 4)</f>
        <v>2011</v>
      </c>
      <c r="AF501" s="39" t="str">
        <f aca="false">RIGHT(TEXT(B501, "YYYY-MM-DD"), 2)</f>
        <v>22</v>
      </c>
    </row>
    <row r="502" customFormat="false" ht="15" hidden="false" customHeight="false" outlineLevel="0" collapsed="false">
      <c r="A502" s="43" t="n">
        <v>498</v>
      </c>
      <c r="B502" s="44" t="s">
        <v>98</v>
      </c>
      <c r="C502" s="43" t="n">
        <v>1</v>
      </c>
      <c r="D502" s="33" t="str">
        <f aca="false">VLOOKUP(C502, Lookups_Metadata!$A$4:$B$7, 2, FALSE())</f>
        <v>Spring</v>
      </c>
      <c r="E502" s="43" t="n">
        <v>0</v>
      </c>
      <c r="F502" s="43" t="n">
        <v>1</v>
      </c>
      <c r="G502" s="43" t="n">
        <v>19</v>
      </c>
      <c r="H502" s="45" t="b">
        <f aca="false">FALSE()</f>
        <v>0</v>
      </c>
      <c r="I502" s="43" t="n">
        <v>6</v>
      </c>
      <c r="J502" s="33" t="str">
        <f aca="false">INDEX(Lookups_Metadata!$E$4:$E$10, MATCH(I502, Lookups_Metadata!$D$4:$D$10, 0))</f>
        <v>Saturday</v>
      </c>
      <c r="K502" s="33" t="str">
        <f aca="false">IF(H502=TRUE(), "Holiday", IF(OR(I502=0, I502=6), "Weekend", "Weekday"))</f>
        <v>Weekend</v>
      </c>
      <c r="L502" s="33" t="str">
        <f aca="false">IF(AND(K502="Weekday", OR(AND(G502&gt;=7, G502&lt;=9), AND(G502&gt;=17, G502&lt;=19))), "Peak Commute", "Off-Peak")</f>
        <v>Off-Peak</v>
      </c>
      <c r="M502" s="43" t="n">
        <v>1</v>
      </c>
      <c r="N502" s="33" t="str">
        <f aca="false">VLOOKUP(M502, Lookups_Metadata!$G$4:$H$7, 2, FALSE())</f>
        <v>Clear / Few Clouds</v>
      </c>
      <c r="O502" s="46" t="n">
        <v>0.08</v>
      </c>
      <c r="P502" s="46" t="n">
        <v>0.1061</v>
      </c>
      <c r="Q502" s="46" t="n">
        <f aca="false">IF(OR(P502="", ISBLANK(P502)), ROUND(0.9367*O502+0.0175, 4), P502)</f>
        <v>0.1061</v>
      </c>
      <c r="R502" s="33" t="str">
        <f aca="false">IF(OR(P502="", ISBLANK(P502)), "Imputed (Regression/Trend)", "Original")</f>
        <v>Original</v>
      </c>
      <c r="S502" s="46" t="n">
        <v>0.35</v>
      </c>
      <c r="T502" s="46" t="n">
        <v>0.1343</v>
      </c>
      <c r="U502" s="18" t="n">
        <v>6</v>
      </c>
      <c r="V502" s="18" t="n">
        <v>53</v>
      </c>
      <c r="W502" s="18" t="n">
        <f aca="false">U502+V502</f>
        <v>59</v>
      </c>
      <c r="X502" s="47" t="n">
        <f aca="false">U502/W502</f>
        <v>0.101694915254237</v>
      </c>
      <c r="Y502" s="47" t="n">
        <f aca="false">V502/W502</f>
        <v>0.898305084745763</v>
      </c>
      <c r="Z502" s="33" t="str">
        <f aca="false">IF(W502&gt;=150, "High Demand", IF(W502&gt;=50, "Moderate Demand", "Low Demand"))</f>
        <v>Moderate Demand</v>
      </c>
      <c r="AA502" s="45" t="str">
        <f aca="false">TEXT(G502, "00") &amp; ":00"</f>
        <v>19:00</v>
      </c>
      <c r="AB502" s="43" t="n">
        <f aca="false">YEAR(B502)</f>
        <v>2011</v>
      </c>
      <c r="AC502" s="33" t="str">
        <f aca="false">TEXT(B502, "mmmm")</f>
        <v>January</v>
      </c>
      <c r="AD502" s="43" t="n">
        <f aca="false">LEN(TEXT(B502, "YYYY-MM-DD"))</f>
        <v>10</v>
      </c>
      <c r="AE502" s="45" t="str">
        <f aca="false">LEFT(TEXT(B502, "YYYY-MM-DD"), 4)</f>
        <v>2011</v>
      </c>
      <c r="AF502" s="45" t="str">
        <f aca="false">RIGHT(TEXT(B502, "YYYY-MM-DD"), 2)</f>
        <v>22</v>
      </c>
    </row>
    <row r="503" customFormat="false" ht="15" hidden="false" customHeight="false" outlineLevel="0" collapsed="false">
      <c r="A503" s="37" t="n">
        <v>499</v>
      </c>
      <c r="B503" s="38" t="s">
        <v>98</v>
      </c>
      <c r="C503" s="37" t="n">
        <v>1</v>
      </c>
      <c r="D503" s="35" t="str">
        <f aca="false">VLOOKUP(C503, Lookups_Metadata!$A$4:$B$7, 2, FALSE())</f>
        <v>Spring</v>
      </c>
      <c r="E503" s="37" t="n">
        <v>0</v>
      </c>
      <c r="F503" s="37" t="n">
        <v>1</v>
      </c>
      <c r="G503" s="37" t="n">
        <v>20</v>
      </c>
      <c r="H503" s="39" t="b">
        <f aca="false">FALSE()</f>
        <v>0</v>
      </c>
      <c r="I503" s="37" t="n">
        <v>6</v>
      </c>
      <c r="J503" s="35" t="str">
        <f aca="false">INDEX(Lookups_Metadata!$E$4:$E$10, MATCH(I503, Lookups_Metadata!$D$4:$D$10, 0))</f>
        <v>Saturday</v>
      </c>
      <c r="K503" s="35" t="str">
        <f aca="false">IF(H503=TRUE(), "Holiday", IF(OR(I503=0, I503=6), "Weekend", "Weekday"))</f>
        <v>Weekend</v>
      </c>
      <c r="L503" s="35" t="str">
        <f aca="false">IF(AND(K503="Weekday", OR(AND(G503&gt;=7, G503&lt;=9), AND(G503&gt;=17, G503&lt;=19))), "Peak Commute", "Off-Peak")</f>
        <v>Off-Peak</v>
      </c>
      <c r="M503" s="37" t="n">
        <v>1</v>
      </c>
      <c r="N503" s="35" t="str">
        <f aca="false">VLOOKUP(M503, Lookups_Metadata!$G$4:$H$7, 2, FALSE())</f>
        <v>Clear / Few Clouds</v>
      </c>
      <c r="O503" s="40" t="n">
        <v>0.06</v>
      </c>
      <c r="P503" s="40" t="n">
        <v>0.0758</v>
      </c>
      <c r="Q503" s="40" t="n">
        <f aca="false">IF(OR(P503="", ISBLANK(P503)), ROUND(0.9367*O503+0.0175, 4), P503)</f>
        <v>0.0758</v>
      </c>
      <c r="R503" s="35" t="str">
        <f aca="false">IF(OR(P503="", ISBLANK(P503)), "Imputed (Regression/Trend)", "Original")</f>
        <v>Original</v>
      </c>
      <c r="S503" s="40" t="n">
        <v>0.45</v>
      </c>
      <c r="T503" s="40" t="n">
        <v>0.1642</v>
      </c>
      <c r="U503" s="41" t="n">
        <v>1</v>
      </c>
      <c r="V503" s="41" t="n">
        <v>44</v>
      </c>
      <c r="W503" s="41" t="n">
        <f aca="false">U503+V503</f>
        <v>45</v>
      </c>
      <c r="X503" s="42" t="n">
        <f aca="false">U503/W503</f>
        <v>0.0222222222222222</v>
      </c>
      <c r="Y503" s="42" t="n">
        <f aca="false">V503/W503</f>
        <v>0.977777777777778</v>
      </c>
      <c r="Z503" s="35" t="str">
        <f aca="false">IF(W503&gt;=150, "High Demand", IF(W503&gt;=50, "Moderate Demand", "Low Demand"))</f>
        <v>Low Demand</v>
      </c>
      <c r="AA503" s="39" t="str">
        <f aca="false">TEXT(G503, "00") &amp; ":00"</f>
        <v>20:00</v>
      </c>
      <c r="AB503" s="37" t="n">
        <f aca="false">YEAR(B503)</f>
        <v>2011</v>
      </c>
      <c r="AC503" s="35" t="str">
        <f aca="false">TEXT(B503, "mmmm")</f>
        <v>January</v>
      </c>
      <c r="AD503" s="37" t="n">
        <f aca="false">LEN(TEXT(B503, "YYYY-MM-DD"))</f>
        <v>10</v>
      </c>
      <c r="AE503" s="39" t="str">
        <f aca="false">LEFT(TEXT(B503, "YYYY-MM-DD"), 4)</f>
        <v>2011</v>
      </c>
      <c r="AF503" s="39" t="str">
        <f aca="false">RIGHT(TEXT(B503, "YYYY-MM-DD"), 2)</f>
        <v>22</v>
      </c>
    </row>
    <row r="504" customFormat="false" ht="15" hidden="false" customHeight="false" outlineLevel="0" collapsed="false">
      <c r="A504" s="43" t="n">
        <v>500</v>
      </c>
      <c r="B504" s="44" t="s">
        <v>98</v>
      </c>
      <c r="C504" s="43" t="n">
        <v>1</v>
      </c>
      <c r="D504" s="33" t="str">
        <f aca="false">VLOOKUP(C504, Lookups_Metadata!$A$4:$B$7, 2, FALSE())</f>
        <v>Spring</v>
      </c>
      <c r="E504" s="43" t="n">
        <v>0</v>
      </c>
      <c r="F504" s="43" t="n">
        <v>1</v>
      </c>
      <c r="G504" s="43" t="n">
        <v>21</v>
      </c>
      <c r="H504" s="45" t="b">
        <f aca="false">FALSE()</f>
        <v>0</v>
      </c>
      <c r="I504" s="43" t="n">
        <v>6</v>
      </c>
      <c r="J504" s="33" t="str">
        <f aca="false">INDEX(Lookups_Metadata!$E$4:$E$10, MATCH(I504, Lookups_Metadata!$D$4:$D$10, 0))</f>
        <v>Saturday</v>
      </c>
      <c r="K504" s="33" t="str">
        <f aca="false">IF(H504=TRUE(), "Holiday", IF(OR(I504=0, I504=6), "Weekend", "Weekday"))</f>
        <v>Weekend</v>
      </c>
      <c r="L504" s="33" t="str">
        <f aca="false">IF(AND(K504="Weekday", OR(AND(G504&gt;=7, G504&lt;=9), AND(G504&gt;=17, G504&lt;=19))), "Peak Commute", "Off-Peak")</f>
        <v>Off-Peak</v>
      </c>
      <c r="M504" s="43" t="n">
        <v>1</v>
      </c>
      <c r="N504" s="33" t="str">
        <f aca="false">VLOOKUP(M504, Lookups_Metadata!$G$4:$H$7, 2, FALSE())</f>
        <v>Clear / Few Clouds</v>
      </c>
      <c r="O504" s="46" t="n">
        <v>0.06</v>
      </c>
      <c r="P504" s="46" t="n">
        <v>0.1061</v>
      </c>
      <c r="Q504" s="46" t="n">
        <f aca="false">IF(OR(P504="", ISBLANK(P504)), ROUND(0.9367*O504+0.0175, 4), P504)</f>
        <v>0.1061</v>
      </c>
      <c r="R504" s="33" t="str">
        <f aca="false">IF(OR(P504="", ISBLANK(P504)), "Imputed (Regression/Trend)", "Original")</f>
        <v>Original</v>
      </c>
      <c r="S504" s="46" t="n">
        <v>0.41</v>
      </c>
      <c r="T504" s="46" t="n">
        <v>0.0896</v>
      </c>
      <c r="U504" s="18" t="n">
        <v>0</v>
      </c>
      <c r="V504" s="18" t="n">
        <v>39</v>
      </c>
      <c r="W504" s="18" t="n">
        <f aca="false">U504+V504</f>
        <v>39</v>
      </c>
      <c r="X504" s="47" t="n">
        <f aca="false">U504/W504</f>
        <v>0</v>
      </c>
      <c r="Y504" s="47" t="n">
        <f aca="false">V504/W504</f>
        <v>1</v>
      </c>
      <c r="Z504" s="33" t="str">
        <f aca="false">IF(W504&gt;=150, "High Demand", IF(W504&gt;=50, "Moderate Demand", "Low Demand"))</f>
        <v>Low Demand</v>
      </c>
      <c r="AA504" s="45" t="str">
        <f aca="false">TEXT(G504, "00") &amp; ":00"</f>
        <v>21:00</v>
      </c>
      <c r="AB504" s="43" t="n">
        <f aca="false">YEAR(B504)</f>
        <v>2011</v>
      </c>
      <c r="AC504" s="33" t="str">
        <f aca="false">TEXT(B504, "mmmm")</f>
        <v>January</v>
      </c>
      <c r="AD504" s="43" t="n">
        <f aca="false">LEN(TEXT(B504, "YYYY-MM-DD"))</f>
        <v>10</v>
      </c>
      <c r="AE504" s="45" t="str">
        <f aca="false">LEFT(TEXT(B504, "YYYY-MM-DD"), 4)</f>
        <v>2011</v>
      </c>
      <c r="AF504" s="45" t="str">
        <f aca="false">RIGHT(TEXT(B504, "YYYY-MM-DD"), 2)</f>
        <v>22</v>
      </c>
    </row>
    <row r="505" customFormat="false" ht="15" hidden="false" customHeight="false" outlineLevel="0" collapsed="false">
      <c r="A505" s="37" t="n">
        <v>501</v>
      </c>
      <c r="B505" s="38" t="s">
        <v>98</v>
      </c>
      <c r="C505" s="37" t="n">
        <v>1</v>
      </c>
      <c r="D505" s="35" t="str">
        <f aca="false">VLOOKUP(C505, Lookups_Metadata!$A$4:$B$7, 2, FALSE())</f>
        <v>Spring</v>
      </c>
      <c r="E505" s="37" t="n">
        <v>0</v>
      </c>
      <c r="F505" s="37" t="n">
        <v>1</v>
      </c>
      <c r="G505" s="37" t="n">
        <v>22</v>
      </c>
      <c r="H505" s="39" t="b">
        <f aca="false">FALSE()</f>
        <v>0</v>
      </c>
      <c r="I505" s="37" t="n">
        <v>6</v>
      </c>
      <c r="J505" s="35" t="str">
        <f aca="false">INDEX(Lookups_Metadata!$E$4:$E$10, MATCH(I505, Lookups_Metadata!$D$4:$D$10, 0))</f>
        <v>Saturday</v>
      </c>
      <c r="K505" s="35" t="str">
        <f aca="false">IF(H505=TRUE(), "Holiday", IF(OR(I505=0, I505=6), "Weekend", "Weekday"))</f>
        <v>Weekend</v>
      </c>
      <c r="L505" s="35" t="str">
        <f aca="false">IF(AND(K505="Weekday", OR(AND(G505&gt;=7, G505&lt;=9), AND(G505&gt;=17, G505&lt;=19))), "Peak Commute", "Off-Peak")</f>
        <v>Off-Peak</v>
      </c>
      <c r="M505" s="37" t="n">
        <v>1</v>
      </c>
      <c r="N505" s="35" t="str">
        <f aca="false">VLOOKUP(M505, Lookups_Metadata!$G$4:$H$7, 2, FALSE())</f>
        <v>Clear / Few Clouds</v>
      </c>
      <c r="O505" s="40" t="n">
        <v>0.06</v>
      </c>
      <c r="P505" s="40" t="n">
        <v>0.1515</v>
      </c>
      <c r="Q505" s="40" t="n">
        <f aca="false">IF(OR(P505="", ISBLANK(P505)), ROUND(0.9367*O505+0.0175, 4), P505)</f>
        <v>0.1515</v>
      </c>
      <c r="R505" s="35" t="str">
        <f aca="false">IF(OR(P505="", ISBLANK(P505)), "Imputed (Regression/Trend)", "Original")</f>
        <v>Original</v>
      </c>
      <c r="S505" s="40" t="n">
        <v>0.49</v>
      </c>
      <c r="T505" s="40" t="n">
        <v>0</v>
      </c>
      <c r="U505" s="41" t="n">
        <v>7</v>
      </c>
      <c r="V505" s="41" t="n">
        <v>23</v>
      </c>
      <c r="W505" s="41" t="n">
        <f aca="false">U505+V505</f>
        <v>30</v>
      </c>
      <c r="X505" s="42" t="n">
        <f aca="false">U505/W505</f>
        <v>0.233333333333333</v>
      </c>
      <c r="Y505" s="42" t="n">
        <f aca="false">V505/W505</f>
        <v>0.766666666666667</v>
      </c>
      <c r="Z505" s="35" t="str">
        <f aca="false">IF(W505&gt;=150, "High Demand", IF(W505&gt;=50, "Moderate Demand", "Low Demand"))</f>
        <v>Low Demand</v>
      </c>
      <c r="AA505" s="39" t="str">
        <f aca="false">TEXT(G505, "00") &amp; ":00"</f>
        <v>22:00</v>
      </c>
      <c r="AB505" s="37" t="n">
        <f aca="false">YEAR(B505)</f>
        <v>2011</v>
      </c>
      <c r="AC505" s="35" t="str">
        <f aca="false">TEXT(B505, "mmmm")</f>
        <v>January</v>
      </c>
      <c r="AD505" s="37" t="n">
        <f aca="false">LEN(TEXT(B505, "YYYY-MM-DD"))</f>
        <v>10</v>
      </c>
      <c r="AE505" s="39" t="str">
        <f aca="false">LEFT(TEXT(B505, "YYYY-MM-DD"), 4)</f>
        <v>2011</v>
      </c>
      <c r="AF505" s="39" t="str">
        <f aca="false">RIGHT(TEXT(B505, "YYYY-MM-DD"), 2)</f>
        <v>22</v>
      </c>
    </row>
    <row r="506" customFormat="false" ht="15" hidden="false" customHeight="false" outlineLevel="0" collapsed="false">
      <c r="A506" s="43" t="n">
        <v>502</v>
      </c>
      <c r="B506" s="44" t="s">
        <v>98</v>
      </c>
      <c r="C506" s="43" t="n">
        <v>1</v>
      </c>
      <c r="D506" s="33" t="str">
        <f aca="false">VLOOKUP(C506, Lookups_Metadata!$A$4:$B$7, 2, FALSE())</f>
        <v>Spring</v>
      </c>
      <c r="E506" s="43" t="n">
        <v>0</v>
      </c>
      <c r="F506" s="43" t="n">
        <v>1</v>
      </c>
      <c r="G506" s="43" t="n">
        <v>23</v>
      </c>
      <c r="H506" s="45" t="b">
        <f aca="false">FALSE()</f>
        <v>0</v>
      </c>
      <c r="I506" s="43" t="n">
        <v>6</v>
      </c>
      <c r="J506" s="33" t="str">
        <f aca="false">INDEX(Lookups_Metadata!$E$4:$E$10, MATCH(I506, Lookups_Metadata!$D$4:$D$10, 0))</f>
        <v>Saturday</v>
      </c>
      <c r="K506" s="33" t="str">
        <f aca="false">IF(H506=TRUE(), "Holiday", IF(OR(I506=0, I506=6), "Weekend", "Weekday"))</f>
        <v>Weekend</v>
      </c>
      <c r="L506" s="33" t="str">
        <f aca="false">IF(AND(K506="Weekday", OR(AND(G506&gt;=7, G506&lt;=9), AND(G506&gt;=17, G506&lt;=19))), "Peak Commute", "Off-Peak")</f>
        <v>Off-Peak</v>
      </c>
      <c r="M506" s="43" t="n">
        <v>1</v>
      </c>
      <c r="N506" s="33" t="str">
        <f aca="false">VLOOKUP(M506, Lookups_Metadata!$G$4:$H$7, 2, FALSE())</f>
        <v>Clear / Few Clouds</v>
      </c>
      <c r="O506" s="46" t="n">
        <v>0.04</v>
      </c>
      <c r="P506" s="46" t="n">
        <v>0.0758</v>
      </c>
      <c r="Q506" s="46" t="n">
        <f aca="false">IF(OR(P506="", ISBLANK(P506)), ROUND(0.9367*O506+0.0175, 4), P506)</f>
        <v>0.0758</v>
      </c>
      <c r="R506" s="33" t="str">
        <f aca="false">IF(OR(P506="", ISBLANK(P506)), "Imputed (Regression/Trend)", "Original")</f>
        <v>Original</v>
      </c>
      <c r="S506" s="46" t="n">
        <v>0.57</v>
      </c>
      <c r="T506" s="46" t="n">
        <v>0.1045</v>
      </c>
      <c r="U506" s="18" t="n">
        <v>2</v>
      </c>
      <c r="V506" s="18" t="n">
        <v>31</v>
      </c>
      <c r="W506" s="18" t="n">
        <f aca="false">U506+V506</f>
        <v>33</v>
      </c>
      <c r="X506" s="47" t="n">
        <f aca="false">U506/W506</f>
        <v>0.0606060606060606</v>
      </c>
      <c r="Y506" s="47" t="n">
        <f aca="false">V506/W506</f>
        <v>0.939393939393939</v>
      </c>
      <c r="Z506" s="33" t="str">
        <f aca="false">IF(W506&gt;=150, "High Demand", IF(W506&gt;=50, "Moderate Demand", "Low Demand"))</f>
        <v>Low Demand</v>
      </c>
      <c r="AA506" s="45" t="str">
        <f aca="false">TEXT(G506, "00") &amp; ":00"</f>
        <v>23:00</v>
      </c>
      <c r="AB506" s="43" t="n">
        <f aca="false">YEAR(B506)</f>
        <v>2011</v>
      </c>
      <c r="AC506" s="33" t="str">
        <f aca="false">TEXT(B506, "mmmm")</f>
        <v>January</v>
      </c>
      <c r="AD506" s="43" t="n">
        <f aca="false">LEN(TEXT(B506, "YYYY-MM-DD"))</f>
        <v>10</v>
      </c>
      <c r="AE506" s="45" t="str">
        <f aca="false">LEFT(TEXT(B506, "YYYY-MM-DD"), 4)</f>
        <v>2011</v>
      </c>
      <c r="AF506" s="45" t="str">
        <f aca="false">RIGHT(TEXT(B506, "YYYY-MM-DD"), 2)</f>
        <v>22</v>
      </c>
    </row>
    <row r="507" customFormat="false" ht="15" hidden="false" customHeight="false" outlineLevel="0" collapsed="false">
      <c r="A507" s="37" t="n">
        <v>503</v>
      </c>
      <c r="B507" s="38" t="s">
        <v>99</v>
      </c>
      <c r="C507" s="37" t="n">
        <v>1</v>
      </c>
      <c r="D507" s="35" t="str">
        <f aca="false">VLOOKUP(C507, Lookups_Metadata!$A$4:$B$7, 2, FALSE())</f>
        <v>Spring</v>
      </c>
      <c r="E507" s="37" t="n">
        <v>0</v>
      </c>
      <c r="F507" s="37" t="n">
        <v>1</v>
      </c>
      <c r="G507" s="37" t="n">
        <v>0</v>
      </c>
      <c r="H507" s="39" t="b">
        <f aca="false">FALSE()</f>
        <v>0</v>
      </c>
      <c r="I507" s="37" t="n">
        <v>0</v>
      </c>
      <c r="J507" s="35" t="str">
        <f aca="false">INDEX(Lookups_Metadata!$E$4:$E$10, MATCH(I507, Lookups_Metadata!$D$4:$D$10, 0))</f>
        <v>Sunday</v>
      </c>
      <c r="K507" s="35" t="str">
        <f aca="false">IF(H507=TRUE(), "Holiday", IF(OR(I507=0, I507=6), "Weekend", "Weekday"))</f>
        <v>Weekend</v>
      </c>
      <c r="L507" s="35" t="str">
        <f aca="false">IF(AND(K507="Weekday", OR(AND(G507&gt;=7, G507&lt;=9), AND(G507&gt;=17, G507&lt;=19))), "Peak Commute", "Off-Peak")</f>
        <v>Off-Peak</v>
      </c>
      <c r="M507" s="37" t="n">
        <v>1</v>
      </c>
      <c r="N507" s="35" t="str">
        <f aca="false">VLOOKUP(M507, Lookups_Metadata!$G$4:$H$7, 2, FALSE())</f>
        <v>Clear / Few Clouds</v>
      </c>
      <c r="O507" s="40" t="n">
        <v>0.04</v>
      </c>
      <c r="P507" s="40" t="n">
        <v>0.0758</v>
      </c>
      <c r="Q507" s="40" t="n">
        <f aca="false">IF(OR(P507="", ISBLANK(P507)), ROUND(0.9367*O507+0.0175, 4), P507)</f>
        <v>0.0758</v>
      </c>
      <c r="R507" s="35" t="str">
        <f aca="false">IF(OR(P507="", ISBLANK(P507)), "Imputed (Regression/Trend)", "Original")</f>
        <v>Original</v>
      </c>
      <c r="S507" s="40" t="n">
        <v>0.57</v>
      </c>
      <c r="T507" s="40" t="n">
        <v>0.1045</v>
      </c>
      <c r="U507" s="41" t="n">
        <v>2</v>
      </c>
      <c r="V507" s="41" t="n">
        <v>20</v>
      </c>
      <c r="W507" s="41" t="n">
        <f aca="false">U507+V507</f>
        <v>22</v>
      </c>
      <c r="X507" s="42" t="n">
        <f aca="false">U507/W507</f>
        <v>0.0909090909090909</v>
      </c>
      <c r="Y507" s="42" t="n">
        <f aca="false">V507/W507</f>
        <v>0.909090909090909</v>
      </c>
      <c r="Z507" s="35" t="str">
        <f aca="false">IF(W507&gt;=150, "High Demand", IF(W507&gt;=50, "Moderate Demand", "Low Demand"))</f>
        <v>Low Demand</v>
      </c>
      <c r="AA507" s="39" t="str">
        <f aca="false">TEXT(G507, "00") &amp; ":00"</f>
        <v>00:00</v>
      </c>
      <c r="AB507" s="37" t="n">
        <f aca="false">YEAR(B507)</f>
        <v>2011</v>
      </c>
      <c r="AC507" s="35" t="str">
        <f aca="false">TEXT(B507, "mmmm")</f>
        <v>January</v>
      </c>
      <c r="AD507" s="37" t="n">
        <f aca="false">LEN(TEXT(B507, "YYYY-MM-DD"))</f>
        <v>10</v>
      </c>
      <c r="AE507" s="39" t="str">
        <f aca="false">LEFT(TEXT(B507, "YYYY-MM-DD"), 4)</f>
        <v>2011</v>
      </c>
      <c r="AF507" s="39" t="str">
        <f aca="false">RIGHT(TEXT(B507, "YYYY-MM-DD"), 2)</f>
        <v>23</v>
      </c>
    </row>
    <row r="508" customFormat="false" ht="15" hidden="false" customHeight="false" outlineLevel="0" collapsed="false">
      <c r="A508" s="43" t="n">
        <v>504</v>
      </c>
      <c r="B508" s="44" t="s">
        <v>99</v>
      </c>
      <c r="C508" s="43" t="n">
        <v>1</v>
      </c>
      <c r="D508" s="33" t="str">
        <f aca="false">VLOOKUP(C508, Lookups_Metadata!$A$4:$B$7, 2, FALSE())</f>
        <v>Spring</v>
      </c>
      <c r="E508" s="43" t="n">
        <v>0</v>
      </c>
      <c r="F508" s="43" t="n">
        <v>1</v>
      </c>
      <c r="G508" s="43" t="n">
        <v>1</v>
      </c>
      <c r="H508" s="45" t="b">
        <f aca="false">FALSE()</f>
        <v>0</v>
      </c>
      <c r="I508" s="43" t="n">
        <v>0</v>
      </c>
      <c r="J508" s="33" t="str">
        <f aca="false">INDEX(Lookups_Metadata!$E$4:$E$10, MATCH(I508, Lookups_Metadata!$D$4:$D$10, 0))</f>
        <v>Sunday</v>
      </c>
      <c r="K508" s="33" t="str">
        <f aca="false">IF(H508=TRUE(), "Holiday", IF(OR(I508=0, I508=6), "Weekend", "Weekday"))</f>
        <v>Weekend</v>
      </c>
      <c r="L508" s="33" t="str">
        <f aca="false">IF(AND(K508="Weekday", OR(AND(G508&gt;=7, G508&lt;=9), AND(G508&gt;=17, G508&lt;=19))), "Peak Commute", "Off-Peak")</f>
        <v>Off-Peak</v>
      </c>
      <c r="M508" s="43" t="n">
        <v>1</v>
      </c>
      <c r="N508" s="33" t="str">
        <f aca="false">VLOOKUP(M508, Lookups_Metadata!$G$4:$H$7, 2, FALSE())</f>
        <v>Clear / Few Clouds</v>
      </c>
      <c r="O508" s="46" t="n">
        <v>0.04</v>
      </c>
      <c r="P508" s="46" t="n">
        <v>0.0758</v>
      </c>
      <c r="Q508" s="46" t="n">
        <f aca="false">IF(OR(P508="", ISBLANK(P508)), ROUND(0.9367*O508+0.0175, 4), P508)</f>
        <v>0.0758</v>
      </c>
      <c r="R508" s="33" t="str">
        <f aca="false">IF(OR(P508="", ISBLANK(P508)), "Imputed (Regression/Trend)", "Original")</f>
        <v>Original</v>
      </c>
      <c r="S508" s="46" t="n">
        <v>0.57</v>
      </c>
      <c r="T508" s="46" t="n">
        <v>0.1045</v>
      </c>
      <c r="U508" s="18" t="n">
        <v>1</v>
      </c>
      <c r="V508" s="18" t="n">
        <v>12</v>
      </c>
      <c r="W508" s="18" t="n">
        <f aca="false">U508+V508</f>
        <v>13</v>
      </c>
      <c r="X508" s="47" t="n">
        <f aca="false">U508/W508</f>
        <v>0.0769230769230769</v>
      </c>
      <c r="Y508" s="47" t="n">
        <f aca="false">V508/W508</f>
        <v>0.923076923076923</v>
      </c>
      <c r="Z508" s="33" t="str">
        <f aca="false">IF(W508&gt;=150, "High Demand", IF(W508&gt;=50, "Moderate Demand", "Low Demand"))</f>
        <v>Low Demand</v>
      </c>
      <c r="AA508" s="45" t="str">
        <f aca="false">TEXT(G508, "00") &amp; ":00"</f>
        <v>01:00</v>
      </c>
      <c r="AB508" s="43" t="n">
        <f aca="false">YEAR(B508)</f>
        <v>2011</v>
      </c>
      <c r="AC508" s="33" t="str">
        <f aca="false">TEXT(B508, "mmmm")</f>
        <v>January</v>
      </c>
      <c r="AD508" s="43" t="n">
        <f aca="false">LEN(TEXT(B508, "YYYY-MM-DD"))</f>
        <v>10</v>
      </c>
      <c r="AE508" s="45" t="str">
        <f aca="false">LEFT(TEXT(B508, "YYYY-MM-DD"), 4)</f>
        <v>2011</v>
      </c>
      <c r="AF508" s="45" t="str">
        <f aca="false">RIGHT(TEXT(B508, "YYYY-MM-DD"), 2)</f>
        <v>23</v>
      </c>
    </row>
    <row r="509" customFormat="false" ht="15" hidden="false" customHeight="false" outlineLevel="0" collapsed="false">
      <c r="A509" s="37" t="n">
        <v>505</v>
      </c>
      <c r="B509" s="38" t="s">
        <v>99</v>
      </c>
      <c r="C509" s="37" t="n">
        <v>1</v>
      </c>
      <c r="D509" s="35" t="str">
        <f aca="false">VLOOKUP(C509, Lookups_Metadata!$A$4:$B$7, 2, FALSE())</f>
        <v>Spring</v>
      </c>
      <c r="E509" s="37" t="n">
        <v>0</v>
      </c>
      <c r="F509" s="37" t="n">
        <v>1</v>
      </c>
      <c r="G509" s="37" t="n">
        <v>2</v>
      </c>
      <c r="H509" s="39" t="b">
        <f aca="false">FALSE()</f>
        <v>0</v>
      </c>
      <c r="I509" s="37" t="n">
        <v>0</v>
      </c>
      <c r="J509" s="35" t="str">
        <f aca="false">INDEX(Lookups_Metadata!$E$4:$E$10, MATCH(I509, Lookups_Metadata!$D$4:$D$10, 0))</f>
        <v>Sunday</v>
      </c>
      <c r="K509" s="35" t="str">
        <f aca="false">IF(H509=TRUE(), "Holiday", IF(OR(I509=0, I509=6), "Weekend", "Weekday"))</f>
        <v>Weekend</v>
      </c>
      <c r="L509" s="35" t="str">
        <f aca="false">IF(AND(K509="Weekday", OR(AND(G509&gt;=7, G509&lt;=9), AND(G509&gt;=17, G509&lt;=19))), "Peak Commute", "Off-Peak")</f>
        <v>Off-Peak</v>
      </c>
      <c r="M509" s="37" t="n">
        <v>1</v>
      </c>
      <c r="N509" s="35" t="str">
        <f aca="false">VLOOKUP(M509, Lookups_Metadata!$G$4:$H$7, 2, FALSE())</f>
        <v>Clear / Few Clouds</v>
      </c>
      <c r="O509" s="40" t="n">
        <v>0.02</v>
      </c>
      <c r="P509" s="40" t="n">
        <v>0.0606</v>
      </c>
      <c r="Q509" s="40" t="n">
        <f aca="false">IF(OR(P509="", ISBLANK(P509)), ROUND(0.9367*O509+0.0175, 4), P509)</f>
        <v>0.0606</v>
      </c>
      <c r="R509" s="35" t="str">
        <f aca="false">IF(OR(P509="", ISBLANK(P509)), "Imputed (Regression/Trend)", "Original")</f>
        <v>Original</v>
      </c>
      <c r="S509" s="40" t="n">
        <v>0.62</v>
      </c>
      <c r="T509" s="40" t="n">
        <v>0.1343</v>
      </c>
      <c r="U509" s="41" t="n">
        <v>3</v>
      </c>
      <c r="V509" s="41" t="n">
        <v>15</v>
      </c>
      <c r="W509" s="41" t="n">
        <f aca="false">U509+V509</f>
        <v>18</v>
      </c>
      <c r="X509" s="42" t="n">
        <f aca="false">U509/W509</f>
        <v>0.166666666666667</v>
      </c>
      <c r="Y509" s="42" t="n">
        <f aca="false">V509/W509</f>
        <v>0.833333333333333</v>
      </c>
      <c r="Z509" s="35" t="str">
        <f aca="false">IF(W509&gt;=150, "High Demand", IF(W509&gt;=50, "Moderate Demand", "Low Demand"))</f>
        <v>Low Demand</v>
      </c>
      <c r="AA509" s="39" t="str">
        <f aca="false">TEXT(G509, "00") &amp; ":00"</f>
        <v>02:00</v>
      </c>
      <c r="AB509" s="37" t="n">
        <f aca="false">YEAR(B509)</f>
        <v>2011</v>
      </c>
      <c r="AC509" s="35" t="str">
        <f aca="false">TEXT(B509, "mmmm")</f>
        <v>January</v>
      </c>
      <c r="AD509" s="37" t="n">
        <f aca="false">LEN(TEXT(B509, "YYYY-MM-DD"))</f>
        <v>10</v>
      </c>
      <c r="AE509" s="39" t="str">
        <f aca="false">LEFT(TEXT(B509, "YYYY-MM-DD"), 4)</f>
        <v>2011</v>
      </c>
      <c r="AF509" s="39" t="str">
        <f aca="false">RIGHT(TEXT(B509, "YYYY-MM-DD"), 2)</f>
        <v>23</v>
      </c>
    </row>
    <row r="510" customFormat="false" ht="15" hidden="false" customHeight="false" outlineLevel="0" collapsed="false">
      <c r="A510" s="43" t="n">
        <v>506</v>
      </c>
      <c r="B510" s="44" t="s">
        <v>99</v>
      </c>
      <c r="C510" s="43" t="n">
        <v>1</v>
      </c>
      <c r="D510" s="33" t="str">
        <f aca="false">VLOOKUP(C510, Lookups_Metadata!$A$4:$B$7, 2, FALSE())</f>
        <v>Spring</v>
      </c>
      <c r="E510" s="43" t="n">
        <v>0</v>
      </c>
      <c r="F510" s="43" t="n">
        <v>1</v>
      </c>
      <c r="G510" s="43" t="n">
        <v>3</v>
      </c>
      <c r="H510" s="45" t="b">
        <f aca="false">FALSE()</f>
        <v>0</v>
      </c>
      <c r="I510" s="43" t="n">
        <v>0</v>
      </c>
      <c r="J510" s="33" t="str">
        <f aca="false">INDEX(Lookups_Metadata!$E$4:$E$10, MATCH(I510, Lookups_Metadata!$D$4:$D$10, 0))</f>
        <v>Sunday</v>
      </c>
      <c r="K510" s="33" t="str">
        <f aca="false">IF(H510=TRUE(), "Holiday", IF(OR(I510=0, I510=6), "Weekend", "Weekday"))</f>
        <v>Weekend</v>
      </c>
      <c r="L510" s="33" t="str">
        <f aca="false">IF(AND(K510="Weekday", OR(AND(G510&gt;=7, G510&lt;=9), AND(G510&gt;=17, G510&lt;=19))), "Peak Commute", "Off-Peak")</f>
        <v>Off-Peak</v>
      </c>
      <c r="M510" s="43" t="n">
        <v>1</v>
      </c>
      <c r="N510" s="33" t="str">
        <f aca="false">VLOOKUP(M510, Lookups_Metadata!$G$4:$H$7, 2, FALSE())</f>
        <v>Clear / Few Clouds</v>
      </c>
      <c r="O510" s="46" t="n">
        <v>0.02</v>
      </c>
      <c r="P510" s="46" t="n">
        <v>0.0606</v>
      </c>
      <c r="Q510" s="46" t="n">
        <f aca="false">IF(OR(P510="", ISBLANK(P510)), ROUND(0.9367*O510+0.0175, 4), P510)</f>
        <v>0.0606</v>
      </c>
      <c r="R510" s="33" t="str">
        <f aca="false">IF(OR(P510="", ISBLANK(P510)), "Imputed (Regression/Trend)", "Original")</f>
        <v>Original</v>
      </c>
      <c r="S510" s="46" t="n">
        <v>0.62</v>
      </c>
      <c r="T510" s="46" t="n">
        <v>0.1343</v>
      </c>
      <c r="U510" s="18" t="n">
        <v>1</v>
      </c>
      <c r="V510" s="18" t="n">
        <v>4</v>
      </c>
      <c r="W510" s="18" t="n">
        <f aca="false">U510+V510</f>
        <v>5</v>
      </c>
      <c r="X510" s="47" t="n">
        <f aca="false">U510/W510</f>
        <v>0.2</v>
      </c>
      <c r="Y510" s="47" t="n">
        <f aca="false">V510/W510</f>
        <v>0.8</v>
      </c>
      <c r="Z510" s="33" t="str">
        <f aca="false">IF(W510&gt;=150, "High Demand", IF(W510&gt;=50, "Moderate Demand", "Low Demand"))</f>
        <v>Low Demand</v>
      </c>
      <c r="AA510" s="45" t="str">
        <f aca="false">TEXT(G510, "00") &amp; ":00"</f>
        <v>03:00</v>
      </c>
      <c r="AB510" s="43" t="n">
        <f aca="false">YEAR(B510)</f>
        <v>2011</v>
      </c>
      <c r="AC510" s="33" t="str">
        <f aca="false">TEXT(B510, "mmmm")</f>
        <v>January</v>
      </c>
      <c r="AD510" s="43" t="n">
        <f aca="false">LEN(TEXT(B510, "YYYY-MM-DD"))</f>
        <v>10</v>
      </c>
      <c r="AE510" s="45" t="str">
        <f aca="false">LEFT(TEXT(B510, "YYYY-MM-DD"), 4)</f>
        <v>2011</v>
      </c>
      <c r="AF510" s="45" t="str">
        <f aca="false">RIGHT(TEXT(B510, "YYYY-MM-DD"), 2)</f>
        <v>23</v>
      </c>
    </row>
    <row r="511" customFormat="false" ht="15" hidden="false" customHeight="false" outlineLevel="0" collapsed="false">
      <c r="A511" s="37" t="n">
        <v>507</v>
      </c>
      <c r="B511" s="38" t="s">
        <v>99</v>
      </c>
      <c r="C511" s="37" t="n">
        <v>1</v>
      </c>
      <c r="D511" s="35" t="str">
        <f aca="false">VLOOKUP(C511, Lookups_Metadata!$A$4:$B$7, 2, FALSE())</f>
        <v>Spring</v>
      </c>
      <c r="E511" s="37" t="n">
        <v>0</v>
      </c>
      <c r="F511" s="37" t="n">
        <v>1</v>
      </c>
      <c r="G511" s="37" t="n">
        <v>5</v>
      </c>
      <c r="H511" s="39" t="b">
        <f aca="false">FALSE()</f>
        <v>0</v>
      </c>
      <c r="I511" s="37" t="n">
        <v>0</v>
      </c>
      <c r="J511" s="35" t="str">
        <f aca="false">INDEX(Lookups_Metadata!$E$4:$E$10, MATCH(I511, Lookups_Metadata!$D$4:$D$10, 0))</f>
        <v>Sunday</v>
      </c>
      <c r="K511" s="35" t="str">
        <f aca="false">IF(H511=TRUE(), "Holiday", IF(OR(I511=0, I511=6), "Weekend", "Weekday"))</f>
        <v>Weekend</v>
      </c>
      <c r="L511" s="35" t="str">
        <f aca="false">IF(AND(K511="Weekday", OR(AND(G511&gt;=7, G511&lt;=9), AND(G511&gt;=17, G511&lt;=19))), "Peak Commute", "Off-Peak")</f>
        <v>Off-Peak</v>
      </c>
      <c r="M511" s="37" t="n">
        <v>2</v>
      </c>
      <c r="N511" s="35" t="str">
        <f aca="false">VLOOKUP(M511, Lookups_Metadata!$G$4:$H$7, 2, FALSE())</f>
        <v>Mist / Cloudy</v>
      </c>
      <c r="O511" s="40" t="n">
        <v>0.04</v>
      </c>
      <c r="P511" s="40" t="n">
        <v>0.0758</v>
      </c>
      <c r="Q511" s="40" t="n">
        <f aca="false">IF(OR(P511="", ISBLANK(P511)), ROUND(0.9367*O511+0.0175, 4), P511)</f>
        <v>0.0758</v>
      </c>
      <c r="R511" s="35" t="str">
        <f aca="false">IF(OR(P511="", ISBLANK(P511)), "Imputed (Regression/Trend)", "Original")</f>
        <v>Original</v>
      </c>
      <c r="S511" s="40" t="n">
        <v>0.57</v>
      </c>
      <c r="T511" s="40" t="n">
        <v>0.1045</v>
      </c>
      <c r="U511" s="41" t="n">
        <v>0</v>
      </c>
      <c r="V511" s="41" t="n">
        <v>3</v>
      </c>
      <c r="W511" s="41" t="n">
        <f aca="false">U511+V511</f>
        <v>3</v>
      </c>
      <c r="X511" s="42" t="n">
        <f aca="false">U511/W511</f>
        <v>0</v>
      </c>
      <c r="Y511" s="42" t="n">
        <f aca="false">V511/W511</f>
        <v>1</v>
      </c>
      <c r="Z511" s="35" t="str">
        <f aca="false">IF(W511&gt;=150, "High Demand", IF(W511&gt;=50, "Moderate Demand", "Low Demand"))</f>
        <v>Low Demand</v>
      </c>
      <c r="AA511" s="39" t="str">
        <f aca="false">TEXT(G511, "00") &amp; ":00"</f>
        <v>05:00</v>
      </c>
      <c r="AB511" s="37" t="n">
        <f aca="false">YEAR(B511)</f>
        <v>2011</v>
      </c>
      <c r="AC511" s="35" t="str">
        <f aca="false">TEXT(B511, "mmmm")</f>
        <v>January</v>
      </c>
      <c r="AD511" s="37" t="n">
        <f aca="false">LEN(TEXT(B511, "YYYY-MM-DD"))</f>
        <v>10</v>
      </c>
      <c r="AE511" s="39" t="str">
        <f aca="false">LEFT(TEXT(B511, "YYYY-MM-DD"), 4)</f>
        <v>2011</v>
      </c>
      <c r="AF511" s="39" t="str">
        <f aca="false">RIGHT(TEXT(B511, "YYYY-MM-DD"), 2)</f>
        <v>23</v>
      </c>
    </row>
    <row r="512" customFormat="false" ht="15" hidden="false" customHeight="false" outlineLevel="0" collapsed="false">
      <c r="A512" s="43" t="n">
        <v>508</v>
      </c>
      <c r="B512" s="44" t="s">
        <v>99</v>
      </c>
      <c r="C512" s="43" t="n">
        <v>1</v>
      </c>
      <c r="D512" s="33" t="str">
        <f aca="false">VLOOKUP(C512, Lookups_Metadata!$A$4:$B$7, 2, FALSE())</f>
        <v>Spring</v>
      </c>
      <c r="E512" s="43" t="n">
        <v>0</v>
      </c>
      <c r="F512" s="43" t="n">
        <v>1</v>
      </c>
      <c r="G512" s="43" t="n">
        <v>6</v>
      </c>
      <c r="H512" s="45" t="b">
        <f aca="false">FALSE()</f>
        <v>0</v>
      </c>
      <c r="I512" s="43" t="n">
        <v>0</v>
      </c>
      <c r="J512" s="33" t="str">
        <f aca="false">INDEX(Lookups_Metadata!$E$4:$E$10, MATCH(I512, Lookups_Metadata!$D$4:$D$10, 0))</f>
        <v>Sunday</v>
      </c>
      <c r="K512" s="33" t="str">
        <f aca="false">IF(H512=TRUE(), "Holiday", IF(OR(I512=0, I512=6), "Weekend", "Weekday"))</f>
        <v>Weekend</v>
      </c>
      <c r="L512" s="33" t="str">
        <f aca="false">IF(AND(K512="Weekday", OR(AND(G512&gt;=7, G512&lt;=9), AND(G512&gt;=17, G512&lt;=19))), "Peak Commute", "Off-Peak")</f>
        <v>Off-Peak</v>
      </c>
      <c r="M512" s="43" t="n">
        <v>2</v>
      </c>
      <c r="N512" s="33" t="str">
        <f aca="false">VLOOKUP(M512, Lookups_Metadata!$G$4:$H$7, 2, FALSE())</f>
        <v>Mist / Cloudy</v>
      </c>
      <c r="O512" s="46" t="n">
        <v>0.04</v>
      </c>
      <c r="P512" s="46" t="n">
        <v>0.0758</v>
      </c>
      <c r="Q512" s="46" t="n">
        <f aca="false">IF(OR(P512="", ISBLANK(P512)), ROUND(0.9367*O512+0.0175, 4), P512)</f>
        <v>0.0758</v>
      </c>
      <c r="R512" s="33" t="str">
        <f aca="false">IF(OR(P512="", ISBLANK(P512)), "Imputed (Regression/Trend)", "Original")</f>
        <v>Original</v>
      </c>
      <c r="S512" s="46" t="n">
        <v>0.57</v>
      </c>
      <c r="T512" s="46" t="n">
        <v>0.1045</v>
      </c>
      <c r="U512" s="18" t="n">
        <v>0</v>
      </c>
      <c r="V512" s="18" t="n">
        <v>1</v>
      </c>
      <c r="W512" s="18" t="n">
        <f aca="false">U512+V512</f>
        <v>1</v>
      </c>
      <c r="X512" s="47" t="n">
        <f aca="false">U512/W512</f>
        <v>0</v>
      </c>
      <c r="Y512" s="47" t="n">
        <f aca="false">V512/W512</f>
        <v>1</v>
      </c>
      <c r="Z512" s="33" t="str">
        <f aca="false">IF(W512&gt;=150, "High Demand", IF(W512&gt;=50, "Moderate Demand", "Low Demand"))</f>
        <v>Low Demand</v>
      </c>
      <c r="AA512" s="45" t="str">
        <f aca="false">TEXT(G512, "00") &amp; ":00"</f>
        <v>06:00</v>
      </c>
      <c r="AB512" s="43" t="n">
        <f aca="false">YEAR(B512)</f>
        <v>2011</v>
      </c>
      <c r="AC512" s="33" t="str">
        <f aca="false">TEXT(B512, "mmmm")</f>
        <v>January</v>
      </c>
      <c r="AD512" s="43" t="n">
        <f aca="false">LEN(TEXT(B512, "YYYY-MM-DD"))</f>
        <v>10</v>
      </c>
      <c r="AE512" s="45" t="str">
        <f aca="false">LEFT(TEXT(B512, "YYYY-MM-DD"), 4)</f>
        <v>2011</v>
      </c>
      <c r="AF512" s="45" t="str">
        <f aca="false">RIGHT(TEXT(B512, "YYYY-MM-DD"), 2)</f>
        <v>23</v>
      </c>
    </row>
    <row r="513" customFormat="false" ht="15" hidden="false" customHeight="false" outlineLevel="0" collapsed="false">
      <c r="A513" s="37" t="n">
        <v>509</v>
      </c>
      <c r="B513" s="38" t="s">
        <v>99</v>
      </c>
      <c r="C513" s="37" t="n">
        <v>1</v>
      </c>
      <c r="D513" s="35" t="str">
        <f aca="false">VLOOKUP(C513, Lookups_Metadata!$A$4:$B$7, 2, FALSE())</f>
        <v>Spring</v>
      </c>
      <c r="E513" s="37" t="n">
        <v>0</v>
      </c>
      <c r="F513" s="37" t="n">
        <v>1</v>
      </c>
      <c r="G513" s="37" t="n">
        <v>7</v>
      </c>
      <c r="H513" s="39" t="b">
        <f aca="false">FALSE()</f>
        <v>0</v>
      </c>
      <c r="I513" s="37" t="n">
        <v>0</v>
      </c>
      <c r="J513" s="35" t="str">
        <f aca="false">INDEX(Lookups_Metadata!$E$4:$E$10, MATCH(I513, Lookups_Metadata!$D$4:$D$10, 0))</f>
        <v>Sunday</v>
      </c>
      <c r="K513" s="35" t="str">
        <f aca="false">IF(H513=TRUE(), "Holiday", IF(OR(I513=0, I513=6), "Weekend", "Weekday"))</f>
        <v>Weekend</v>
      </c>
      <c r="L513" s="35" t="str">
        <f aca="false">IF(AND(K513="Weekday", OR(AND(G513&gt;=7, G513&lt;=9), AND(G513&gt;=17, G513&lt;=19))), "Peak Commute", "Off-Peak")</f>
        <v>Off-Peak</v>
      </c>
      <c r="M513" s="37" t="n">
        <v>1</v>
      </c>
      <c r="N513" s="35" t="str">
        <f aca="false">VLOOKUP(M513, Lookups_Metadata!$G$4:$H$7, 2, FALSE())</f>
        <v>Clear / Few Clouds</v>
      </c>
      <c r="O513" s="40" t="n">
        <v>0.08</v>
      </c>
      <c r="P513" s="40" t="n">
        <v>0.1061</v>
      </c>
      <c r="Q513" s="40" t="n">
        <f aca="false">IF(OR(P513="", ISBLANK(P513)), ROUND(0.9367*O513+0.0175, 4), P513)</f>
        <v>0.1061</v>
      </c>
      <c r="R513" s="35" t="str">
        <f aca="false">IF(OR(P513="", ISBLANK(P513)), "Imputed (Regression/Trend)", "Original")</f>
        <v>Original</v>
      </c>
      <c r="S513" s="40" t="n">
        <v>0.58</v>
      </c>
      <c r="T513" s="40" t="n">
        <v>0.1642</v>
      </c>
      <c r="U513" s="41" t="n">
        <v>1</v>
      </c>
      <c r="V513" s="41" t="n">
        <v>1</v>
      </c>
      <c r="W513" s="41" t="n">
        <f aca="false">U513+V513</f>
        <v>2</v>
      </c>
      <c r="X513" s="42" t="n">
        <f aca="false">U513/W513</f>
        <v>0.5</v>
      </c>
      <c r="Y513" s="42" t="n">
        <f aca="false">V513/W513</f>
        <v>0.5</v>
      </c>
      <c r="Z513" s="35" t="str">
        <f aca="false">IF(W513&gt;=150, "High Demand", IF(W513&gt;=50, "Moderate Demand", "Low Demand"))</f>
        <v>Low Demand</v>
      </c>
      <c r="AA513" s="39" t="str">
        <f aca="false">TEXT(G513, "00") &amp; ":00"</f>
        <v>07:00</v>
      </c>
      <c r="AB513" s="37" t="n">
        <f aca="false">YEAR(B513)</f>
        <v>2011</v>
      </c>
      <c r="AC513" s="35" t="str">
        <f aca="false">TEXT(B513, "mmmm")</f>
        <v>January</v>
      </c>
      <c r="AD513" s="37" t="n">
        <f aca="false">LEN(TEXT(B513, "YYYY-MM-DD"))</f>
        <v>10</v>
      </c>
      <c r="AE513" s="39" t="str">
        <f aca="false">LEFT(TEXT(B513, "YYYY-MM-DD"), 4)</f>
        <v>2011</v>
      </c>
      <c r="AF513" s="39" t="str">
        <f aca="false">RIGHT(TEXT(B513, "YYYY-MM-DD"), 2)</f>
        <v>23</v>
      </c>
    </row>
    <row r="514" customFormat="false" ht="15" hidden="false" customHeight="false" outlineLevel="0" collapsed="false">
      <c r="A514" s="43" t="n">
        <v>510</v>
      </c>
      <c r="B514" s="44" t="s">
        <v>99</v>
      </c>
      <c r="C514" s="43" t="n">
        <v>1</v>
      </c>
      <c r="D514" s="33" t="str">
        <f aca="false">VLOOKUP(C514, Lookups_Metadata!$A$4:$B$7, 2, FALSE())</f>
        <v>Spring</v>
      </c>
      <c r="E514" s="43" t="n">
        <v>0</v>
      </c>
      <c r="F514" s="43" t="n">
        <v>1</v>
      </c>
      <c r="G514" s="43" t="n">
        <v>8</v>
      </c>
      <c r="H514" s="45" t="b">
        <f aca="false">FALSE()</f>
        <v>0</v>
      </c>
      <c r="I514" s="43" t="n">
        <v>0</v>
      </c>
      <c r="J514" s="33" t="str">
        <f aca="false">INDEX(Lookups_Metadata!$E$4:$E$10, MATCH(I514, Lookups_Metadata!$D$4:$D$10, 0))</f>
        <v>Sunday</v>
      </c>
      <c r="K514" s="33" t="str">
        <f aca="false">IF(H514=TRUE(), "Holiday", IF(OR(I514=0, I514=6), "Weekend", "Weekday"))</f>
        <v>Weekend</v>
      </c>
      <c r="L514" s="33" t="str">
        <f aca="false">IF(AND(K514="Weekday", OR(AND(G514&gt;=7, G514&lt;=9), AND(G514&gt;=17, G514&lt;=19))), "Peak Commute", "Off-Peak")</f>
        <v>Off-Peak</v>
      </c>
      <c r="M514" s="43" t="n">
        <v>1</v>
      </c>
      <c r="N514" s="33" t="str">
        <f aca="false">VLOOKUP(M514, Lookups_Metadata!$G$4:$H$7, 2, FALSE())</f>
        <v>Clear / Few Clouds</v>
      </c>
      <c r="O514" s="46" t="n">
        <v>0.06</v>
      </c>
      <c r="P514" s="46" t="n">
        <v>0.0758</v>
      </c>
      <c r="Q514" s="46" t="n">
        <f aca="false">IF(OR(P514="", ISBLANK(P514)), ROUND(0.9367*O514+0.0175, 4), P514)</f>
        <v>0.0758</v>
      </c>
      <c r="R514" s="33" t="str">
        <f aca="false">IF(OR(P514="", ISBLANK(P514)), "Imputed (Regression/Trend)", "Original")</f>
        <v>Original</v>
      </c>
      <c r="S514" s="46" t="n">
        <v>0.62</v>
      </c>
      <c r="T514" s="46" t="n">
        <v>0.1642</v>
      </c>
      <c r="U514" s="18" t="n">
        <v>2</v>
      </c>
      <c r="V514" s="18" t="n">
        <v>17</v>
      </c>
      <c r="W514" s="18" t="n">
        <f aca="false">U514+V514</f>
        <v>19</v>
      </c>
      <c r="X514" s="47" t="n">
        <f aca="false">U514/W514</f>
        <v>0.105263157894737</v>
      </c>
      <c r="Y514" s="47" t="n">
        <f aca="false">V514/W514</f>
        <v>0.894736842105263</v>
      </c>
      <c r="Z514" s="33" t="str">
        <f aca="false">IF(W514&gt;=150, "High Demand", IF(W514&gt;=50, "Moderate Demand", "Low Demand"))</f>
        <v>Low Demand</v>
      </c>
      <c r="AA514" s="45" t="str">
        <f aca="false">TEXT(G514, "00") &amp; ":00"</f>
        <v>08:00</v>
      </c>
      <c r="AB514" s="43" t="n">
        <f aca="false">YEAR(B514)</f>
        <v>2011</v>
      </c>
      <c r="AC514" s="33" t="str">
        <f aca="false">TEXT(B514, "mmmm")</f>
        <v>January</v>
      </c>
      <c r="AD514" s="43" t="n">
        <f aca="false">LEN(TEXT(B514, "YYYY-MM-DD"))</f>
        <v>10</v>
      </c>
      <c r="AE514" s="45" t="str">
        <f aca="false">LEFT(TEXT(B514, "YYYY-MM-DD"), 4)</f>
        <v>2011</v>
      </c>
      <c r="AF514" s="45" t="str">
        <f aca="false">RIGHT(TEXT(B514, "YYYY-MM-DD"), 2)</f>
        <v>23</v>
      </c>
    </row>
    <row r="515" customFormat="false" ht="15" hidden="false" customHeight="false" outlineLevel="0" collapsed="false">
      <c r="A515" s="37" t="n">
        <v>511</v>
      </c>
      <c r="B515" s="38" t="s">
        <v>99</v>
      </c>
      <c r="C515" s="37" t="n">
        <v>1</v>
      </c>
      <c r="D515" s="35" t="str">
        <f aca="false">VLOOKUP(C515, Lookups_Metadata!$A$4:$B$7, 2, FALSE())</f>
        <v>Spring</v>
      </c>
      <c r="E515" s="37" t="n">
        <v>0</v>
      </c>
      <c r="F515" s="37" t="n">
        <v>1</v>
      </c>
      <c r="G515" s="37" t="n">
        <v>9</v>
      </c>
      <c r="H515" s="39" t="b">
        <f aca="false">FALSE()</f>
        <v>0</v>
      </c>
      <c r="I515" s="37" t="n">
        <v>0</v>
      </c>
      <c r="J515" s="35" t="str">
        <f aca="false">INDEX(Lookups_Metadata!$E$4:$E$10, MATCH(I515, Lookups_Metadata!$D$4:$D$10, 0))</f>
        <v>Sunday</v>
      </c>
      <c r="K515" s="35" t="str">
        <f aca="false">IF(H515=TRUE(), "Holiday", IF(OR(I515=0, I515=6), "Weekend", "Weekday"))</f>
        <v>Weekend</v>
      </c>
      <c r="L515" s="35" t="str">
        <f aca="false">IF(AND(K515="Weekday", OR(AND(G515&gt;=7, G515&lt;=9), AND(G515&gt;=17, G515&lt;=19))), "Peak Commute", "Off-Peak")</f>
        <v>Off-Peak</v>
      </c>
      <c r="M515" s="37" t="n">
        <v>1</v>
      </c>
      <c r="N515" s="35" t="str">
        <f aca="false">VLOOKUP(M515, Lookups_Metadata!$G$4:$H$7, 2, FALSE())</f>
        <v>Clear / Few Clouds</v>
      </c>
      <c r="O515" s="40" t="n">
        <v>0.1</v>
      </c>
      <c r="P515" s="40" t="n">
        <v>0.0758</v>
      </c>
      <c r="Q515" s="40" t="n">
        <f aca="false">IF(OR(P515="", ISBLANK(P515)), ROUND(0.9367*O515+0.0175, 4), P515)</f>
        <v>0.0758</v>
      </c>
      <c r="R515" s="35" t="str">
        <f aca="false">IF(OR(P515="", ISBLANK(P515)), "Imputed (Regression/Trend)", "Original")</f>
        <v>Original</v>
      </c>
      <c r="S515" s="40" t="n">
        <v>0.54</v>
      </c>
      <c r="T515" s="40" t="n">
        <v>0.3582</v>
      </c>
      <c r="U515" s="41" t="n">
        <v>3</v>
      </c>
      <c r="V515" s="41" t="n">
        <v>25</v>
      </c>
      <c r="W515" s="41" t="n">
        <f aca="false">U515+V515</f>
        <v>28</v>
      </c>
      <c r="X515" s="42" t="n">
        <f aca="false">U515/W515</f>
        <v>0.107142857142857</v>
      </c>
      <c r="Y515" s="42" t="n">
        <f aca="false">V515/W515</f>
        <v>0.892857142857143</v>
      </c>
      <c r="Z515" s="35" t="str">
        <f aca="false">IF(W515&gt;=150, "High Demand", IF(W515&gt;=50, "Moderate Demand", "Low Demand"))</f>
        <v>Low Demand</v>
      </c>
      <c r="AA515" s="39" t="str">
        <f aca="false">TEXT(G515, "00") &amp; ":00"</f>
        <v>09:00</v>
      </c>
      <c r="AB515" s="37" t="n">
        <f aca="false">YEAR(B515)</f>
        <v>2011</v>
      </c>
      <c r="AC515" s="35" t="str">
        <f aca="false">TEXT(B515, "mmmm")</f>
        <v>January</v>
      </c>
      <c r="AD515" s="37" t="n">
        <f aca="false">LEN(TEXT(B515, "YYYY-MM-DD"))</f>
        <v>10</v>
      </c>
      <c r="AE515" s="39" t="str">
        <f aca="false">LEFT(TEXT(B515, "YYYY-MM-DD"), 4)</f>
        <v>2011</v>
      </c>
      <c r="AF515" s="39" t="str">
        <f aca="false">RIGHT(TEXT(B515, "YYYY-MM-DD"), 2)</f>
        <v>23</v>
      </c>
    </row>
    <row r="516" customFormat="false" ht="15" hidden="false" customHeight="false" outlineLevel="0" collapsed="false">
      <c r="A516" s="43" t="n">
        <v>512</v>
      </c>
      <c r="B516" s="44" t="s">
        <v>99</v>
      </c>
      <c r="C516" s="43" t="n">
        <v>1</v>
      </c>
      <c r="D516" s="33" t="str">
        <f aca="false">VLOOKUP(C516, Lookups_Metadata!$A$4:$B$7, 2, FALSE())</f>
        <v>Spring</v>
      </c>
      <c r="E516" s="43" t="n">
        <v>0</v>
      </c>
      <c r="F516" s="43" t="n">
        <v>1</v>
      </c>
      <c r="G516" s="43" t="n">
        <v>10</v>
      </c>
      <c r="H516" s="45" t="b">
        <f aca="false">FALSE()</f>
        <v>0</v>
      </c>
      <c r="I516" s="43" t="n">
        <v>0</v>
      </c>
      <c r="J516" s="33" t="str">
        <f aca="false">INDEX(Lookups_Metadata!$E$4:$E$10, MATCH(I516, Lookups_Metadata!$D$4:$D$10, 0))</f>
        <v>Sunday</v>
      </c>
      <c r="K516" s="33" t="str">
        <f aca="false">IF(H516=TRUE(), "Holiday", IF(OR(I516=0, I516=6), "Weekend", "Weekday"))</f>
        <v>Weekend</v>
      </c>
      <c r="L516" s="33" t="str">
        <f aca="false">IF(AND(K516="Weekday", OR(AND(G516&gt;=7, G516&lt;=9), AND(G516&gt;=17, G516&lt;=19))), "Peak Commute", "Off-Peak")</f>
        <v>Off-Peak</v>
      </c>
      <c r="M516" s="43" t="n">
        <v>1</v>
      </c>
      <c r="N516" s="33" t="str">
        <f aca="false">VLOOKUP(M516, Lookups_Metadata!$G$4:$H$7, 2, FALSE())</f>
        <v>Clear / Few Clouds</v>
      </c>
      <c r="O516" s="46" t="n">
        <v>0.14</v>
      </c>
      <c r="P516" s="46" t="n">
        <v>0.1061</v>
      </c>
      <c r="Q516" s="46" t="n">
        <f aca="false">IF(OR(P516="", ISBLANK(P516)), ROUND(0.9367*O516+0.0175, 4), P516)</f>
        <v>0.1061</v>
      </c>
      <c r="R516" s="33" t="str">
        <f aca="false">IF(OR(P516="", ISBLANK(P516)), "Imputed (Regression/Trend)", "Original")</f>
        <v>Original</v>
      </c>
      <c r="S516" s="46" t="n">
        <v>0.46</v>
      </c>
      <c r="T516" s="46" t="n">
        <v>0.3881</v>
      </c>
      <c r="U516" s="18" t="n">
        <v>7</v>
      </c>
      <c r="V516" s="18" t="n">
        <v>51</v>
      </c>
      <c r="W516" s="18" t="n">
        <f aca="false">U516+V516</f>
        <v>58</v>
      </c>
      <c r="X516" s="47" t="n">
        <f aca="false">U516/W516</f>
        <v>0.120689655172414</v>
      </c>
      <c r="Y516" s="47" t="n">
        <f aca="false">V516/W516</f>
        <v>0.879310344827586</v>
      </c>
      <c r="Z516" s="33" t="str">
        <f aca="false">IF(W516&gt;=150, "High Demand", IF(W516&gt;=50, "Moderate Demand", "Low Demand"))</f>
        <v>Moderate Demand</v>
      </c>
      <c r="AA516" s="45" t="str">
        <f aca="false">TEXT(G516, "00") &amp; ":00"</f>
        <v>10:00</v>
      </c>
      <c r="AB516" s="43" t="n">
        <f aca="false">YEAR(B516)</f>
        <v>2011</v>
      </c>
      <c r="AC516" s="33" t="str">
        <f aca="false">TEXT(B516, "mmmm")</f>
        <v>January</v>
      </c>
      <c r="AD516" s="43" t="n">
        <f aca="false">LEN(TEXT(B516, "YYYY-MM-DD"))</f>
        <v>10</v>
      </c>
      <c r="AE516" s="45" t="str">
        <f aca="false">LEFT(TEXT(B516, "YYYY-MM-DD"), 4)</f>
        <v>2011</v>
      </c>
      <c r="AF516" s="45" t="str">
        <f aca="false">RIGHT(TEXT(B516, "YYYY-MM-DD"), 2)</f>
        <v>23</v>
      </c>
    </row>
    <row r="517" customFormat="false" ht="15" hidden="false" customHeight="false" outlineLevel="0" collapsed="false">
      <c r="A517" s="37" t="n">
        <v>513</v>
      </c>
      <c r="B517" s="38" t="s">
        <v>99</v>
      </c>
      <c r="C517" s="37" t="n">
        <v>1</v>
      </c>
      <c r="D517" s="35" t="str">
        <f aca="false">VLOOKUP(C517, Lookups_Metadata!$A$4:$B$7, 2, FALSE())</f>
        <v>Spring</v>
      </c>
      <c r="E517" s="37" t="n">
        <v>0</v>
      </c>
      <c r="F517" s="37" t="n">
        <v>1</v>
      </c>
      <c r="G517" s="37" t="n">
        <v>11</v>
      </c>
      <c r="H517" s="39" t="b">
        <f aca="false">FALSE()</f>
        <v>0</v>
      </c>
      <c r="I517" s="37" t="n">
        <v>0</v>
      </c>
      <c r="J517" s="35" t="str">
        <f aca="false">INDEX(Lookups_Metadata!$E$4:$E$10, MATCH(I517, Lookups_Metadata!$D$4:$D$10, 0))</f>
        <v>Sunday</v>
      </c>
      <c r="K517" s="35" t="str">
        <f aca="false">IF(H517=TRUE(), "Holiday", IF(OR(I517=0, I517=6), "Weekend", "Weekday"))</f>
        <v>Weekend</v>
      </c>
      <c r="L517" s="35" t="str">
        <f aca="false">IF(AND(K517="Weekday", OR(AND(G517&gt;=7, G517&lt;=9), AND(G517&gt;=17, G517&lt;=19))), "Peak Commute", "Off-Peak")</f>
        <v>Off-Peak</v>
      </c>
      <c r="M517" s="37" t="n">
        <v>1</v>
      </c>
      <c r="N517" s="35" t="str">
        <f aca="false">VLOOKUP(M517, Lookups_Metadata!$G$4:$H$7, 2, FALSE())</f>
        <v>Clear / Few Clouds</v>
      </c>
      <c r="O517" s="40" t="n">
        <v>0.14</v>
      </c>
      <c r="P517" s="40" t="n">
        <v>0.1364</v>
      </c>
      <c r="Q517" s="40" t="n">
        <f aca="false">IF(OR(P517="", ISBLANK(P517)), ROUND(0.9367*O517+0.0175, 4), P517)</f>
        <v>0.1364</v>
      </c>
      <c r="R517" s="35" t="str">
        <f aca="false">IF(OR(P517="", ISBLANK(P517)), "Imputed (Regression/Trend)", "Original")</f>
        <v>Original</v>
      </c>
      <c r="S517" s="40" t="n">
        <v>0.43</v>
      </c>
      <c r="T517" s="40" t="n">
        <v>0.2239</v>
      </c>
      <c r="U517" s="41" t="n">
        <v>22</v>
      </c>
      <c r="V517" s="41" t="n">
        <v>77</v>
      </c>
      <c r="W517" s="41" t="n">
        <f aca="false">U517+V517</f>
        <v>99</v>
      </c>
      <c r="X517" s="42" t="n">
        <f aca="false">U517/W517</f>
        <v>0.222222222222222</v>
      </c>
      <c r="Y517" s="42" t="n">
        <f aca="false">V517/W517</f>
        <v>0.777777777777778</v>
      </c>
      <c r="Z517" s="35" t="str">
        <f aca="false">IF(W517&gt;=150, "High Demand", IF(W517&gt;=50, "Moderate Demand", "Low Demand"))</f>
        <v>Moderate Demand</v>
      </c>
      <c r="AA517" s="39" t="str">
        <f aca="false">TEXT(G517, "00") &amp; ":00"</f>
        <v>11:00</v>
      </c>
      <c r="AB517" s="37" t="n">
        <f aca="false">YEAR(B517)</f>
        <v>2011</v>
      </c>
      <c r="AC517" s="35" t="str">
        <f aca="false">TEXT(B517, "mmmm")</f>
        <v>January</v>
      </c>
      <c r="AD517" s="37" t="n">
        <f aca="false">LEN(TEXT(B517, "YYYY-MM-DD"))</f>
        <v>10</v>
      </c>
      <c r="AE517" s="39" t="str">
        <f aca="false">LEFT(TEXT(B517, "YYYY-MM-DD"), 4)</f>
        <v>2011</v>
      </c>
      <c r="AF517" s="39" t="str">
        <f aca="false">RIGHT(TEXT(B517, "YYYY-MM-DD"), 2)</f>
        <v>23</v>
      </c>
    </row>
    <row r="518" customFormat="false" ht="15" hidden="false" customHeight="false" outlineLevel="0" collapsed="false">
      <c r="A518" s="43" t="n">
        <v>514</v>
      </c>
      <c r="B518" s="44" t="s">
        <v>99</v>
      </c>
      <c r="C518" s="43" t="n">
        <v>1</v>
      </c>
      <c r="D518" s="33" t="str">
        <f aca="false">VLOOKUP(C518, Lookups_Metadata!$A$4:$B$7, 2, FALSE())</f>
        <v>Spring</v>
      </c>
      <c r="E518" s="43" t="n">
        <v>0</v>
      </c>
      <c r="F518" s="43" t="n">
        <v>1</v>
      </c>
      <c r="G518" s="43" t="n">
        <v>12</v>
      </c>
      <c r="H518" s="45" t="b">
        <f aca="false">FALSE()</f>
        <v>0</v>
      </c>
      <c r="I518" s="43" t="n">
        <v>0</v>
      </c>
      <c r="J518" s="33" t="str">
        <f aca="false">INDEX(Lookups_Metadata!$E$4:$E$10, MATCH(I518, Lookups_Metadata!$D$4:$D$10, 0))</f>
        <v>Sunday</v>
      </c>
      <c r="K518" s="33" t="str">
        <f aca="false">IF(H518=TRUE(), "Holiday", IF(OR(I518=0, I518=6), "Weekend", "Weekday"))</f>
        <v>Weekend</v>
      </c>
      <c r="L518" s="33" t="str">
        <f aca="false">IF(AND(K518="Weekday", OR(AND(G518&gt;=7, G518&lt;=9), AND(G518&gt;=17, G518&lt;=19))), "Peak Commute", "Off-Peak")</f>
        <v>Off-Peak</v>
      </c>
      <c r="M518" s="43" t="n">
        <v>1</v>
      </c>
      <c r="N518" s="33" t="str">
        <f aca="false">VLOOKUP(M518, Lookups_Metadata!$G$4:$H$7, 2, FALSE())</f>
        <v>Clear / Few Clouds</v>
      </c>
      <c r="O518" s="46" t="n">
        <v>0.16</v>
      </c>
      <c r="P518" s="46" t="n">
        <v>0.1212</v>
      </c>
      <c r="Q518" s="46" t="n">
        <f aca="false">IF(OR(P518="", ISBLANK(P518)), ROUND(0.9367*O518+0.0175, 4), P518)</f>
        <v>0.1212</v>
      </c>
      <c r="R518" s="33" t="str">
        <f aca="false">IF(OR(P518="", ISBLANK(P518)), "Imputed (Regression/Trend)", "Original")</f>
        <v>Original</v>
      </c>
      <c r="S518" s="46" t="n">
        <v>0.37</v>
      </c>
      <c r="T518" s="46" t="n">
        <v>0.4627</v>
      </c>
      <c r="U518" s="18" t="n">
        <v>24</v>
      </c>
      <c r="V518" s="18" t="n">
        <v>92</v>
      </c>
      <c r="W518" s="18" t="n">
        <f aca="false">U518+V518</f>
        <v>116</v>
      </c>
      <c r="X518" s="47" t="n">
        <f aca="false">U518/W518</f>
        <v>0.206896551724138</v>
      </c>
      <c r="Y518" s="47" t="n">
        <f aca="false">V518/W518</f>
        <v>0.793103448275862</v>
      </c>
      <c r="Z518" s="33" t="str">
        <f aca="false">IF(W518&gt;=150, "High Demand", IF(W518&gt;=50, "Moderate Demand", "Low Demand"))</f>
        <v>Moderate Demand</v>
      </c>
      <c r="AA518" s="45" t="str">
        <f aca="false">TEXT(G518, "00") &amp; ":00"</f>
        <v>12:00</v>
      </c>
      <c r="AB518" s="43" t="n">
        <f aca="false">YEAR(B518)</f>
        <v>2011</v>
      </c>
      <c r="AC518" s="33" t="str">
        <f aca="false">TEXT(B518, "mmmm")</f>
        <v>January</v>
      </c>
      <c r="AD518" s="43" t="n">
        <f aca="false">LEN(TEXT(B518, "YYYY-MM-DD"))</f>
        <v>10</v>
      </c>
      <c r="AE518" s="45" t="str">
        <f aca="false">LEFT(TEXT(B518, "YYYY-MM-DD"), 4)</f>
        <v>2011</v>
      </c>
      <c r="AF518" s="45" t="str">
        <f aca="false">RIGHT(TEXT(B518, "YYYY-MM-DD"), 2)</f>
        <v>23</v>
      </c>
    </row>
    <row r="519" customFormat="false" ht="15" hidden="false" customHeight="false" outlineLevel="0" collapsed="false">
      <c r="A519" s="37" t="n">
        <v>515</v>
      </c>
      <c r="B519" s="38" t="s">
        <v>99</v>
      </c>
      <c r="C519" s="37" t="n">
        <v>1</v>
      </c>
      <c r="D519" s="35" t="str">
        <f aca="false">VLOOKUP(C519, Lookups_Metadata!$A$4:$B$7, 2, FALSE())</f>
        <v>Spring</v>
      </c>
      <c r="E519" s="37" t="n">
        <v>0</v>
      </c>
      <c r="F519" s="37" t="n">
        <v>1</v>
      </c>
      <c r="G519" s="37" t="n">
        <v>13</v>
      </c>
      <c r="H519" s="39" t="b">
        <f aca="false">FALSE()</f>
        <v>0</v>
      </c>
      <c r="I519" s="37" t="n">
        <v>0</v>
      </c>
      <c r="J519" s="35" t="str">
        <f aca="false">INDEX(Lookups_Metadata!$E$4:$E$10, MATCH(I519, Lookups_Metadata!$D$4:$D$10, 0))</f>
        <v>Sunday</v>
      </c>
      <c r="K519" s="35" t="str">
        <f aca="false">IF(H519=TRUE(), "Holiday", IF(OR(I519=0, I519=6), "Weekend", "Weekday"))</f>
        <v>Weekend</v>
      </c>
      <c r="L519" s="35" t="str">
        <f aca="false">IF(AND(K519="Weekday", OR(AND(G519&gt;=7, G519&lt;=9), AND(G519&gt;=17, G519&lt;=19))), "Peak Commute", "Off-Peak")</f>
        <v>Off-Peak</v>
      </c>
      <c r="M519" s="37" t="n">
        <v>1</v>
      </c>
      <c r="N519" s="35" t="str">
        <f aca="false">VLOOKUP(M519, Lookups_Metadata!$G$4:$H$7, 2, FALSE())</f>
        <v>Clear / Few Clouds</v>
      </c>
      <c r="O519" s="40" t="n">
        <v>0.14</v>
      </c>
      <c r="P519" s="40" t="n">
        <v>0.1061</v>
      </c>
      <c r="Q519" s="40" t="n">
        <f aca="false">IF(OR(P519="", ISBLANK(P519)), ROUND(0.9367*O519+0.0175, 4), P519)</f>
        <v>0.1061</v>
      </c>
      <c r="R519" s="35" t="str">
        <f aca="false">IF(OR(P519="", ISBLANK(P519)), "Imputed (Regression/Trend)", "Original")</f>
        <v>Original</v>
      </c>
      <c r="S519" s="40" t="n">
        <v>0.33</v>
      </c>
      <c r="T519" s="40" t="n">
        <v>0.3881</v>
      </c>
      <c r="U519" s="41" t="n">
        <v>12</v>
      </c>
      <c r="V519" s="41" t="n">
        <v>75</v>
      </c>
      <c r="W519" s="41" t="n">
        <f aca="false">U519+V519</f>
        <v>87</v>
      </c>
      <c r="X519" s="42" t="n">
        <f aca="false">U519/W519</f>
        <v>0.137931034482759</v>
      </c>
      <c r="Y519" s="42" t="n">
        <f aca="false">V519/W519</f>
        <v>0.862068965517241</v>
      </c>
      <c r="Z519" s="35" t="str">
        <f aca="false">IF(W519&gt;=150, "High Demand", IF(W519&gt;=50, "Moderate Demand", "Low Demand"))</f>
        <v>Moderate Demand</v>
      </c>
      <c r="AA519" s="39" t="str">
        <f aca="false">TEXT(G519, "00") &amp; ":00"</f>
        <v>13:00</v>
      </c>
      <c r="AB519" s="37" t="n">
        <f aca="false">YEAR(B519)</f>
        <v>2011</v>
      </c>
      <c r="AC519" s="35" t="str">
        <f aca="false">TEXT(B519, "mmmm")</f>
        <v>January</v>
      </c>
      <c r="AD519" s="37" t="n">
        <f aca="false">LEN(TEXT(B519, "YYYY-MM-DD"))</f>
        <v>10</v>
      </c>
      <c r="AE519" s="39" t="str">
        <f aca="false">LEFT(TEXT(B519, "YYYY-MM-DD"), 4)</f>
        <v>2011</v>
      </c>
      <c r="AF519" s="39" t="str">
        <f aca="false">RIGHT(TEXT(B519, "YYYY-MM-DD"), 2)</f>
        <v>23</v>
      </c>
    </row>
    <row r="520" customFormat="false" ht="15" hidden="false" customHeight="false" outlineLevel="0" collapsed="false">
      <c r="A520" s="43" t="n">
        <v>516</v>
      </c>
      <c r="B520" s="44" t="s">
        <v>99</v>
      </c>
      <c r="C520" s="43" t="n">
        <v>1</v>
      </c>
      <c r="D520" s="33" t="str">
        <f aca="false">VLOOKUP(C520, Lookups_Metadata!$A$4:$B$7, 2, FALSE())</f>
        <v>Spring</v>
      </c>
      <c r="E520" s="43" t="n">
        <v>0</v>
      </c>
      <c r="F520" s="43" t="n">
        <v>1</v>
      </c>
      <c r="G520" s="43" t="n">
        <v>14</v>
      </c>
      <c r="H520" s="45" t="b">
        <f aca="false">FALSE()</f>
        <v>0</v>
      </c>
      <c r="I520" s="43" t="n">
        <v>0</v>
      </c>
      <c r="J520" s="33" t="str">
        <f aca="false">INDEX(Lookups_Metadata!$E$4:$E$10, MATCH(I520, Lookups_Metadata!$D$4:$D$10, 0))</f>
        <v>Sunday</v>
      </c>
      <c r="K520" s="33" t="str">
        <f aca="false">IF(H520=TRUE(), "Holiday", IF(OR(I520=0, I520=6), "Weekend", "Weekday"))</f>
        <v>Weekend</v>
      </c>
      <c r="L520" s="33" t="str">
        <f aca="false">IF(AND(K520="Weekday", OR(AND(G520&gt;=7, G520&lt;=9), AND(G520&gt;=17, G520&lt;=19))), "Peak Commute", "Off-Peak")</f>
        <v>Off-Peak</v>
      </c>
      <c r="M520" s="43" t="n">
        <v>1</v>
      </c>
      <c r="N520" s="33" t="str">
        <f aca="false">VLOOKUP(M520, Lookups_Metadata!$G$4:$H$7, 2, FALSE())</f>
        <v>Clear / Few Clouds</v>
      </c>
      <c r="O520" s="46" t="n">
        <v>0.16</v>
      </c>
      <c r="P520" s="46" t="n">
        <v>0.1364</v>
      </c>
      <c r="Q520" s="46" t="n">
        <f aca="false">IF(OR(P520="", ISBLANK(P520)), ROUND(0.9367*O520+0.0175, 4), P520)</f>
        <v>0.1364</v>
      </c>
      <c r="R520" s="33" t="str">
        <f aca="false">IF(OR(P520="", ISBLANK(P520)), "Imputed (Regression/Trend)", "Original")</f>
        <v>Original</v>
      </c>
      <c r="S520" s="46" t="n">
        <v>0.28</v>
      </c>
      <c r="T520" s="46" t="n">
        <v>0.3582</v>
      </c>
      <c r="U520" s="18" t="n">
        <v>17</v>
      </c>
      <c r="V520" s="18" t="n">
        <v>93</v>
      </c>
      <c r="W520" s="18" t="n">
        <f aca="false">U520+V520</f>
        <v>110</v>
      </c>
      <c r="X520" s="47" t="n">
        <f aca="false">U520/W520</f>
        <v>0.154545454545455</v>
      </c>
      <c r="Y520" s="47" t="n">
        <f aca="false">V520/W520</f>
        <v>0.845454545454546</v>
      </c>
      <c r="Z520" s="33" t="str">
        <f aca="false">IF(W520&gt;=150, "High Demand", IF(W520&gt;=50, "Moderate Demand", "Low Demand"))</f>
        <v>Moderate Demand</v>
      </c>
      <c r="AA520" s="45" t="str">
        <f aca="false">TEXT(G520, "00") &amp; ":00"</f>
        <v>14:00</v>
      </c>
      <c r="AB520" s="43" t="n">
        <f aca="false">YEAR(B520)</f>
        <v>2011</v>
      </c>
      <c r="AC520" s="33" t="str">
        <f aca="false">TEXT(B520, "mmmm")</f>
        <v>January</v>
      </c>
      <c r="AD520" s="43" t="n">
        <f aca="false">LEN(TEXT(B520, "YYYY-MM-DD"))</f>
        <v>10</v>
      </c>
      <c r="AE520" s="45" t="str">
        <f aca="false">LEFT(TEXT(B520, "YYYY-MM-DD"), 4)</f>
        <v>2011</v>
      </c>
      <c r="AF520" s="45" t="str">
        <f aca="false">RIGHT(TEXT(B520, "YYYY-MM-DD"), 2)</f>
        <v>23</v>
      </c>
    </row>
    <row r="521" customFormat="false" ht="15" hidden="false" customHeight="false" outlineLevel="0" collapsed="false">
      <c r="A521" s="37" t="n">
        <v>517</v>
      </c>
      <c r="B521" s="38" t="s">
        <v>99</v>
      </c>
      <c r="C521" s="37" t="n">
        <v>1</v>
      </c>
      <c r="D521" s="35" t="str">
        <f aca="false">VLOOKUP(C521, Lookups_Metadata!$A$4:$B$7, 2, FALSE())</f>
        <v>Spring</v>
      </c>
      <c r="E521" s="37" t="n">
        <v>0</v>
      </c>
      <c r="F521" s="37" t="n">
        <v>1</v>
      </c>
      <c r="G521" s="37" t="n">
        <v>15</v>
      </c>
      <c r="H521" s="39" t="b">
        <f aca="false">FALSE()</f>
        <v>0</v>
      </c>
      <c r="I521" s="37" t="n">
        <v>0</v>
      </c>
      <c r="J521" s="35" t="str">
        <f aca="false">INDEX(Lookups_Metadata!$E$4:$E$10, MATCH(I521, Lookups_Metadata!$D$4:$D$10, 0))</f>
        <v>Sunday</v>
      </c>
      <c r="K521" s="35" t="str">
        <f aca="false">IF(H521=TRUE(), "Holiday", IF(OR(I521=0, I521=6), "Weekend", "Weekday"))</f>
        <v>Weekend</v>
      </c>
      <c r="L521" s="35" t="str">
        <f aca="false">IF(AND(K521="Weekday", OR(AND(G521&gt;=7, G521&lt;=9), AND(G521&gt;=17, G521&lt;=19))), "Peak Commute", "Off-Peak")</f>
        <v>Off-Peak</v>
      </c>
      <c r="M521" s="37" t="n">
        <v>1</v>
      </c>
      <c r="N521" s="35" t="str">
        <f aca="false">VLOOKUP(M521, Lookups_Metadata!$G$4:$H$7, 2, FALSE())</f>
        <v>Clear / Few Clouds</v>
      </c>
      <c r="O521" s="40" t="n">
        <v>0.16</v>
      </c>
      <c r="P521" s="40" t="n">
        <v>0.1364</v>
      </c>
      <c r="Q521" s="40" t="n">
        <f aca="false">IF(OR(P521="", ISBLANK(P521)), ROUND(0.9367*O521+0.0175, 4), P521)</f>
        <v>0.1364</v>
      </c>
      <c r="R521" s="35" t="str">
        <f aca="false">IF(OR(P521="", ISBLANK(P521)), "Imputed (Regression/Trend)", "Original")</f>
        <v>Original</v>
      </c>
      <c r="S521" s="40" t="n">
        <v>0.28</v>
      </c>
      <c r="T521" s="40" t="n">
        <v>0.3582</v>
      </c>
      <c r="U521" s="41" t="n">
        <v>13</v>
      </c>
      <c r="V521" s="41" t="n">
        <v>64</v>
      </c>
      <c r="W521" s="41" t="n">
        <f aca="false">U521+V521</f>
        <v>77</v>
      </c>
      <c r="X521" s="42" t="n">
        <f aca="false">U521/W521</f>
        <v>0.168831168831169</v>
      </c>
      <c r="Y521" s="42" t="n">
        <f aca="false">V521/W521</f>
        <v>0.831168831168831</v>
      </c>
      <c r="Z521" s="35" t="str">
        <f aca="false">IF(W521&gt;=150, "High Demand", IF(W521&gt;=50, "Moderate Demand", "Low Demand"))</f>
        <v>Moderate Demand</v>
      </c>
      <c r="AA521" s="39" t="str">
        <f aca="false">TEXT(G521, "00") &amp; ":00"</f>
        <v>15:00</v>
      </c>
      <c r="AB521" s="37" t="n">
        <f aca="false">YEAR(B521)</f>
        <v>2011</v>
      </c>
      <c r="AC521" s="35" t="str">
        <f aca="false">TEXT(B521, "mmmm")</f>
        <v>January</v>
      </c>
      <c r="AD521" s="37" t="n">
        <f aca="false">LEN(TEXT(B521, "YYYY-MM-DD"))</f>
        <v>10</v>
      </c>
      <c r="AE521" s="39" t="str">
        <f aca="false">LEFT(TEXT(B521, "YYYY-MM-DD"), 4)</f>
        <v>2011</v>
      </c>
      <c r="AF521" s="39" t="str">
        <f aca="false">RIGHT(TEXT(B521, "YYYY-MM-DD"), 2)</f>
        <v>23</v>
      </c>
    </row>
    <row r="522" customFormat="false" ht="15" hidden="false" customHeight="false" outlineLevel="0" collapsed="false">
      <c r="A522" s="43" t="n">
        <v>518</v>
      </c>
      <c r="B522" s="44" t="s">
        <v>99</v>
      </c>
      <c r="C522" s="43" t="n">
        <v>1</v>
      </c>
      <c r="D522" s="33" t="str">
        <f aca="false">VLOOKUP(C522, Lookups_Metadata!$A$4:$B$7, 2, FALSE())</f>
        <v>Spring</v>
      </c>
      <c r="E522" s="43" t="n">
        <v>0</v>
      </c>
      <c r="F522" s="43" t="n">
        <v>1</v>
      </c>
      <c r="G522" s="43" t="n">
        <v>16</v>
      </c>
      <c r="H522" s="45" t="b">
        <f aca="false">FALSE()</f>
        <v>0</v>
      </c>
      <c r="I522" s="43" t="n">
        <v>0</v>
      </c>
      <c r="J522" s="33" t="str">
        <f aca="false">INDEX(Lookups_Metadata!$E$4:$E$10, MATCH(I522, Lookups_Metadata!$D$4:$D$10, 0))</f>
        <v>Sunday</v>
      </c>
      <c r="K522" s="33" t="str">
        <f aca="false">IF(H522=TRUE(), "Holiday", IF(OR(I522=0, I522=6), "Weekend", "Weekday"))</f>
        <v>Weekend</v>
      </c>
      <c r="L522" s="33" t="str">
        <f aca="false">IF(AND(K522="Weekday", OR(AND(G522&gt;=7, G522&lt;=9), AND(G522&gt;=17, G522&lt;=19))), "Peak Commute", "Off-Peak")</f>
        <v>Off-Peak</v>
      </c>
      <c r="M522" s="43" t="n">
        <v>1</v>
      </c>
      <c r="N522" s="33" t="str">
        <f aca="false">VLOOKUP(M522, Lookups_Metadata!$G$4:$H$7, 2, FALSE())</f>
        <v>Clear / Few Clouds</v>
      </c>
      <c r="O522" s="46" t="n">
        <v>0.16</v>
      </c>
      <c r="P522" s="46" t="n">
        <v>0.1364</v>
      </c>
      <c r="Q522" s="46" t="n">
        <f aca="false">IF(OR(P522="", ISBLANK(P522)), ROUND(0.9367*O522+0.0175, 4), P522)</f>
        <v>0.1364</v>
      </c>
      <c r="R522" s="33" t="str">
        <f aca="false">IF(OR(P522="", ISBLANK(P522)), "Imputed (Regression/Trend)", "Original")</f>
        <v>Original</v>
      </c>
      <c r="S522" s="46" t="n">
        <v>0.26</v>
      </c>
      <c r="T522" s="46" t="n">
        <v>0.3284</v>
      </c>
      <c r="U522" s="18" t="n">
        <v>9</v>
      </c>
      <c r="V522" s="18" t="n">
        <v>56</v>
      </c>
      <c r="W522" s="18" t="n">
        <f aca="false">U522+V522</f>
        <v>65</v>
      </c>
      <c r="X522" s="47" t="n">
        <f aca="false">U522/W522</f>
        <v>0.138461538461538</v>
      </c>
      <c r="Y522" s="47" t="n">
        <f aca="false">V522/W522</f>
        <v>0.861538461538462</v>
      </c>
      <c r="Z522" s="33" t="str">
        <f aca="false">IF(W522&gt;=150, "High Demand", IF(W522&gt;=50, "Moderate Demand", "Low Demand"))</f>
        <v>Moderate Demand</v>
      </c>
      <c r="AA522" s="45" t="str">
        <f aca="false">TEXT(G522, "00") &amp; ":00"</f>
        <v>16:00</v>
      </c>
      <c r="AB522" s="43" t="n">
        <f aca="false">YEAR(B522)</f>
        <v>2011</v>
      </c>
      <c r="AC522" s="33" t="str">
        <f aca="false">TEXT(B522, "mmmm")</f>
        <v>January</v>
      </c>
      <c r="AD522" s="43" t="n">
        <f aca="false">LEN(TEXT(B522, "YYYY-MM-DD"))</f>
        <v>10</v>
      </c>
      <c r="AE522" s="45" t="str">
        <f aca="false">LEFT(TEXT(B522, "YYYY-MM-DD"), 4)</f>
        <v>2011</v>
      </c>
      <c r="AF522" s="45" t="str">
        <f aca="false">RIGHT(TEXT(B522, "YYYY-MM-DD"), 2)</f>
        <v>23</v>
      </c>
    </row>
    <row r="523" customFormat="false" ht="15" hidden="false" customHeight="false" outlineLevel="0" collapsed="false">
      <c r="A523" s="37" t="n">
        <v>519</v>
      </c>
      <c r="B523" s="38" t="s">
        <v>99</v>
      </c>
      <c r="C523" s="37" t="n">
        <v>1</v>
      </c>
      <c r="D523" s="35" t="str">
        <f aca="false">VLOOKUP(C523, Lookups_Metadata!$A$4:$B$7, 2, FALSE())</f>
        <v>Spring</v>
      </c>
      <c r="E523" s="37" t="n">
        <v>0</v>
      </c>
      <c r="F523" s="37" t="n">
        <v>1</v>
      </c>
      <c r="G523" s="37" t="n">
        <v>17</v>
      </c>
      <c r="H523" s="39" t="b">
        <f aca="false">FALSE()</f>
        <v>0</v>
      </c>
      <c r="I523" s="37" t="n">
        <v>0</v>
      </c>
      <c r="J523" s="35" t="str">
        <f aca="false">INDEX(Lookups_Metadata!$E$4:$E$10, MATCH(I523, Lookups_Metadata!$D$4:$D$10, 0))</f>
        <v>Sunday</v>
      </c>
      <c r="K523" s="35" t="str">
        <f aca="false">IF(H523=TRUE(), "Holiday", IF(OR(I523=0, I523=6), "Weekend", "Weekday"))</f>
        <v>Weekend</v>
      </c>
      <c r="L523" s="35" t="str">
        <f aca="false">IF(AND(K523="Weekday", OR(AND(G523&gt;=7, G523&lt;=9), AND(G523&gt;=17, G523&lt;=19))), "Peak Commute", "Off-Peak")</f>
        <v>Off-Peak</v>
      </c>
      <c r="M523" s="37" t="n">
        <v>1</v>
      </c>
      <c r="N523" s="35" t="str">
        <f aca="false">VLOOKUP(M523, Lookups_Metadata!$G$4:$H$7, 2, FALSE())</f>
        <v>Clear / Few Clouds</v>
      </c>
      <c r="O523" s="40" t="n">
        <v>0.14</v>
      </c>
      <c r="P523" s="40" t="n">
        <v>0.1061</v>
      </c>
      <c r="Q523" s="40" t="n">
        <f aca="false">IF(OR(P523="", ISBLANK(P523)), ROUND(0.9367*O523+0.0175, 4), P523)</f>
        <v>0.1061</v>
      </c>
      <c r="R523" s="35" t="str">
        <f aca="false">IF(OR(P523="", ISBLANK(P523)), "Imputed (Regression/Trend)", "Original")</f>
        <v>Original</v>
      </c>
      <c r="S523" s="40" t="n">
        <v>0.26</v>
      </c>
      <c r="T523" s="40" t="n">
        <v>0.3881</v>
      </c>
      <c r="U523" s="41" t="n">
        <v>5</v>
      </c>
      <c r="V523" s="41" t="n">
        <v>50</v>
      </c>
      <c r="W523" s="41" t="n">
        <f aca="false">U523+V523</f>
        <v>55</v>
      </c>
      <c r="X523" s="42" t="n">
        <f aca="false">U523/W523</f>
        <v>0.0909090909090909</v>
      </c>
      <c r="Y523" s="42" t="n">
        <f aca="false">V523/W523</f>
        <v>0.909090909090909</v>
      </c>
      <c r="Z523" s="35" t="str">
        <f aca="false">IF(W523&gt;=150, "High Demand", IF(W523&gt;=50, "Moderate Demand", "Low Demand"))</f>
        <v>Moderate Demand</v>
      </c>
      <c r="AA523" s="39" t="str">
        <f aca="false">TEXT(G523, "00") &amp; ":00"</f>
        <v>17:00</v>
      </c>
      <c r="AB523" s="37" t="n">
        <f aca="false">YEAR(B523)</f>
        <v>2011</v>
      </c>
      <c r="AC523" s="35" t="str">
        <f aca="false">TEXT(B523, "mmmm")</f>
        <v>January</v>
      </c>
      <c r="AD523" s="37" t="n">
        <f aca="false">LEN(TEXT(B523, "YYYY-MM-DD"))</f>
        <v>10</v>
      </c>
      <c r="AE523" s="39" t="str">
        <f aca="false">LEFT(TEXT(B523, "YYYY-MM-DD"), 4)</f>
        <v>2011</v>
      </c>
      <c r="AF523" s="39" t="str">
        <f aca="false">RIGHT(TEXT(B523, "YYYY-MM-DD"), 2)</f>
        <v>23</v>
      </c>
    </row>
    <row r="524" customFormat="false" ht="15" hidden="false" customHeight="false" outlineLevel="0" collapsed="false">
      <c r="A524" s="43" t="n">
        <v>520</v>
      </c>
      <c r="B524" s="44" t="s">
        <v>99</v>
      </c>
      <c r="C524" s="43" t="n">
        <v>1</v>
      </c>
      <c r="D524" s="33" t="str">
        <f aca="false">VLOOKUP(C524, Lookups_Metadata!$A$4:$B$7, 2, FALSE())</f>
        <v>Spring</v>
      </c>
      <c r="E524" s="43" t="n">
        <v>0</v>
      </c>
      <c r="F524" s="43" t="n">
        <v>1</v>
      </c>
      <c r="G524" s="43" t="n">
        <v>18</v>
      </c>
      <c r="H524" s="45" t="b">
        <f aca="false">FALSE()</f>
        <v>0</v>
      </c>
      <c r="I524" s="43" t="n">
        <v>0</v>
      </c>
      <c r="J524" s="33" t="str">
        <f aca="false">INDEX(Lookups_Metadata!$E$4:$E$10, MATCH(I524, Lookups_Metadata!$D$4:$D$10, 0))</f>
        <v>Sunday</v>
      </c>
      <c r="K524" s="33" t="str">
        <f aca="false">IF(H524=TRUE(), "Holiday", IF(OR(I524=0, I524=6), "Weekend", "Weekday"))</f>
        <v>Weekend</v>
      </c>
      <c r="L524" s="33" t="str">
        <f aca="false">IF(AND(K524="Weekday", OR(AND(G524&gt;=7, G524&lt;=9), AND(G524&gt;=17, G524&lt;=19))), "Peak Commute", "Off-Peak")</f>
        <v>Off-Peak</v>
      </c>
      <c r="M524" s="43" t="n">
        <v>1</v>
      </c>
      <c r="N524" s="33" t="str">
        <f aca="false">VLOOKUP(M524, Lookups_Metadata!$G$4:$H$7, 2, FALSE())</f>
        <v>Clear / Few Clouds</v>
      </c>
      <c r="O524" s="46" t="n">
        <v>0.12</v>
      </c>
      <c r="P524" s="46" t="n">
        <v>0.1212</v>
      </c>
      <c r="Q524" s="46" t="n">
        <f aca="false">IF(OR(P524="", ISBLANK(P524)), ROUND(0.9367*O524+0.0175, 4), P524)</f>
        <v>0.1212</v>
      </c>
      <c r="R524" s="33" t="str">
        <f aca="false">IF(OR(P524="", ISBLANK(P524)), "Imputed (Regression/Trend)", "Original")</f>
        <v>Original</v>
      </c>
      <c r="S524" s="46" t="n">
        <v>0.3</v>
      </c>
      <c r="T524" s="46" t="n">
        <v>0.2537</v>
      </c>
      <c r="U524" s="18" t="n">
        <v>5</v>
      </c>
      <c r="V524" s="18" t="n">
        <v>44</v>
      </c>
      <c r="W524" s="18" t="n">
        <f aca="false">U524+V524</f>
        <v>49</v>
      </c>
      <c r="X524" s="47" t="n">
        <f aca="false">U524/W524</f>
        <v>0.102040816326531</v>
      </c>
      <c r="Y524" s="47" t="n">
        <f aca="false">V524/W524</f>
        <v>0.897959183673469</v>
      </c>
      <c r="Z524" s="33" t="str">
        <f aca="false">IF(W524&gt;=150, "High Demand", IF(W524&gt;=50, "Moderate Demand", "Low Demand"))</f>
        <v>Low Demand</v>
      </c>
      <c r="AA524" s="45" t="str">
        <f aca="false">TEXT(G524, "00") &amp; ":00"</f>
        <v>18:00</v>
      </c>
      <c r="AB524" s="43" t="n">
        <f aca="false">YEAR(B524)</f>
        <v>2011</v>
      </c>
      <c r="AC524" s="33" t="str">
        <f aca="false">TEXT(B524, "mmmm")</f>
        <v>January</v>
      </c>
      <c r="AD524" s="43" t="n">
        <f aca="false">LEN(TEXT(B524, "YYYY-MM-DD"))</f>
        <v>10</v>
      </c>
      <c r="AE524" s="45" t="str">
        <f aca="false">LEFT(TEXT(B524, "YYYY-MM-DD"), 4)</f>
        <v>2011</v>
      </c>
      <c r="AF524" s="45" t="str">
        <f aca="false">RIGHT(TEXT(B524, "YYYY-MM-DD"), 2)</f>
        <v>23</v>
      </c>
    </row>
    <row r="525" customFormat="false" ht="15" hidden="false" customHeight="false" outlineLevel="0" collapsed="false">
      <c r="A525" s="37" t="n">
        <v>521</v>
      </c>
      <c r="B525" s="38" t="s">
        <v>99</v>
      </c>
      <c r="C525" s="37" t="n">
        <v>1</v>
      </c>
      <c r="D525" s="35" t="str">
        <f aca="false">VLOOKUP(C525, Lookups_Metadata!$A$4:$B$7, 2, FALSE())</f>
        <v>Spring</v>
      </c>
      <c r="E525" s="37" t="n">
        <v>0</v>
      </c>
      <c r="F525" s="37" t="n">
        <v>1</v>
      </c>
      <c r="G525" s="37" t="n">
        <v>19</v>
      </c>
      <c r="H525" s="39" t="b">
        <f aca="false">FALSE()</f>
        <v>0</v>
      </c>
      <c r="I525" s="37" t="n">
        <v>0</v>
      </c>
      <c r="J525" s="35" t="str">
        <f aca="false">INDEX(Lookups_Metadata!$E$4:$E$10, MATCH(I525, Lookups_Metadata!$D$4:$D$10, 0))</f>
        <v>Sunday</v>
      </c>
      <c r="K525" s="35" t="str">
        <f aca="false">IF(H525=TRUE(), "Holiday", IF(OR(I525=0, I525=6), "Weekend", "Weekday"))</f>
        <v>Weekend</v>
      </c>
      <c r="L525" s="35" t="str">
        <f aca="false">IF(AND(K525="Weekday", OR(AND(G525&gt;=7, G525&lt;=9), AND(G525&gt;=17, G525&lt;=19))), "Peak Commute", "Off-Peak")</f>
        <v>Off-Peak</v>
      </c>
      <c r="M525" s="37" t="n">
        <v>1</v>
      </c>
      <c r="N525" s="35" t="str">
        <f aca="false">VLOOKUP(M525, Lookups_Metadata!$G$4:$H$7, 2, FALSE())</f>
        <v>Clear / Few Clouds</v>
      </c>
      <c r="O525" s="40" t="n">
        <v>0.12</v>
      </c>
      <c r="P525" s="40" t="n">
        <v>0.1212</v>
      </c>
      <c r="Q525" s="40" t="n">
        <f aca="false">IF(OR(P525="", ISBLANK(P525)), ROUND(0.9367*O525+0.0175, 4), P525)</f>
        <v>0.1212</v>
      </c>
      <c r="R525" s="35" t="str">
        <f aca="false">IF(OR(P525="", ISBLANK(P525)), "Imputed (Regression/Trend)", "Original")</f>
        <v>Original</v>
      </c>
      <c r="S525" s="40" t="n">
        <v>0.3</v>
      </c>
      <c r="T525" s="40" t="n">
        <v>0.2836</v>
      </c>
      <c r="U525" s="41" t="n">
        <v>5</v>
      </c>
      <c r="V525" s="41" t="n">
        <v>45</v>
      </c>
      <c r="W525" s="41" t="n">
        <f aca="false">U525+V525</f>
        <v>50</v>
      </c>
      <c r="X525" s="42" t="n">
        <f aca="false">U525/W525</f>
        <v>0.1</v>
      </c>
      <c r="Y525" s="42" t="n">
        <f aca="false">V525/W525</f>
        <v>0.9</v>
      </c>
      <c r="Z525" s="35" t="str">
        <f aca="false">IF(W525&gt;=150, "High Demand", IF(W525&gt;=50, "Moderate Demand", "Low Demand"))</f>
        <v>Moderate Demand</v>
      </c>
      <c r="AA525" s="39" t="str">
        <f aca="false">TEXT(G525, "00") &amp; ":00"</f>
        <v>19:00</v>
      </c>
      <c r="AB525" s="37" t="n">
        <f aca="false">YEAR(B525)</f>
        <v>2011</v>
      </c>
      <c r="AC525" s="35" t="str">
        <f aca="false">TEXT(B525, "mmmm")</f>
        <v>January</v>
      </c>
      <c r="AD525" s="37" t="n">
        <f aca="false">LEN(TEXT(B525, "YYYY-MM-DD"))</f>
        <v>10</v>
      </c>
      <c r="AE525" s="39" t="str">
        <f aca="false">LEFT(TEXT(B525, "YYYY-MM-DD"), 4)</f>
        <v>2011</v>
      </c>
      <c r="AF525" s="39" t="str">
        <f aca="false">RIGHT(TEXT(B525, "YYYY-MM-DD"), 2)</f>
        <v>23</v>
      </c>
    </row>
    <row r="526" customFormat="false" ht="15" hidden="false" customHeight="false" outlineLevel="0" collapsed="false">
      <c r="A526" s="43" t="n">
        <v>522</v>
      </c>
      <c r="B526" s="44" t="s">
        <v>99</v>
      </c>
      <c r="C526" s="43" t="n">
        <v>1</v>
      </c>
      <c r="D526" s="33" t="str">
        <f aca="false">VLOOKUP(C526, Lookups_Metadata!$A$4:$B$7, 2, FALSE())</f>
        <v>Spring</v>
      </c>
      <c r="E526" s="43" t="n">
        <v>0</v>
      </c>
      <c r="F526" s="43" t="n">
        <v>1</v>
      </c>
      <c r="G526" s="43" t="n">
        <v>20</v>
      </c>
      <c r="H526" s="45" t="b">
        <f aca="false">FALSE()</f>
        <v>0</v>
      </c>
      <c r="I526" s="43" t="n">
        <v>0</v>
      </c>
      <c r="J526" s="33" t="str">
        <f aca="false">INDEX(Lookups_Metadata!$E$4:$E$10, MATCH(I526, Lookups_Metadata!$D$4:$D$10, 0))</f>
        <v>Sunday</v>
      </c>
      <c r="K526" s="33" t="str">
        <f aca="false">IF(H526=TRUE(), "Holiday", IF(OR(I526=0, I526=6), "Weekend", "Weekday"))</f>
        <v>Weekend</v>
      </c>
      <c r="L526" s="33" t="str">
        <f aca="false">IF(AND(K526="Weekday", OR(AND(G526&gt;=7, G526&lt;=9), AND(G526&gt;=17, G526&lt;=19))), "Peak Commute", "Off-Peak")</f>
        <v>Off-Peak</v>
      </c>
      <c r="M526" s="43" t="n">
        <v>1</v>
      </c>
      <c r="N526" s="33" t="str">
        <f aca="false">VLOOKUP(M526, Lookups_Metadata!$G$4:$H$7, 2, FALSE())</f>
        <v>Clear / Few Clouds</v>
      </c>
      <c r="O526" s="46" t="n">
        <v>0.1</v>
      </c>
      <c r="P526" s="46" t="n">
        <v>0.1061</v>
      </c>
      <c r="Q526" s="46" t="n">
        <f aca="false">IF(OR(P526="", ISBLANK(P526)), ROUND(0.9367*O526+0.0175, 4), P526)</f>
        <v>0.1061</v>
      </c>
      <c r="R526" s="33" t="str">
        <f aca="false">IF(OR(P526="", ISBLANK(P526)), "Imputed (Regression/Trend)", "Original")</f>
        <v>Original</v>
      </c>
      <c r="S526" s="46" t="n">
        <v>0.36</v>
      </c>
      <c r="T526" s="46" t="n">
        <v>0.2537</v>
      </c>
      <c r="U526" s="18" t="n">
        <v>4</v>
      </c>
      <c r="V526" s="18" t="n">
        <v>31</v>
      </c>
      <c r="W526" s="18" t="n">
        <f aca="false">U526+V526</f>
        <v>35</v>
      </c>
      <c r="X526" s="47" t="n">
        <f aca="false">U526/W526</f>
        <v>0.114285714285714</v>
      </c>
      <c r="Y526" s="47" t="n">
        <f aca="false">V526/W526</f>
        <v>0.885714285714286</v>
      </c>
      <c r="Z526" s="33" t="str">
        <f aca="false">IF(W526&gt;=150, "High Demand", IF(W526&gt;=50, "Moderate Demand", "Low Demand"))</f>
        <v>Low Demand</v>
      </c>
      <c r="AA526" s="45" t="str">
        <f aca="false">TEXT(G526, "00") &amp; ":00"</f>
        <v>20:00</v>
      </c>
      <c r="AB526" s="43" t="n">
        <f aca="false">YEAR(B526)</f>
        <v>2011</v>
      </c>
      <c r="AC526" s="33" t="str">
        <f aca="false">TEXT(B526, "mmmm")</f>
        <v>January</v>
      </c>
      <c r="AD526" s="43" t="n">
        <f aca="false">LEN(TEXT(B526, "YYYY-MM-DD"))</f>
        <v>10</v>
      </c>
      <c r="AE526" s="45" t="str">
        <f aca="false">LEFT(TEXT(B526, "YYYY-MM-DD"), 4)</f>
        <v>2011</v>
      </c>
      <c r="AF526" s="45" t="str">
        <f aca="false">RIGHT(TEXT(B526, "YYYY-MM-DD"), 2)</f>
        <v>23</v>
      </c>
    </row>
    <row r="527" customFormat="false" ht="15" hidden="false" customHeight="false" outlineLevel="0" collapsed="false">
      <c r="A527" s="37" t="n">
        <v>523</v>
      </c>
      <c r="B527" s="38" t="s">
        <v>99</v>
      </c>
      <c r="C527" s="37" t="n">
        <v>1</v>
      </c>
      <c r="D527" s="35" t="str">
        <f aca="false">VLOOKUP(C527, Lookups_Metadata!$A$4:$B$7, 2, FALSE())</f>
        <v>Spring</v>
      </c>
      <c r="E527" s="37" t="n">
        <v>0</v>
      </c>
      <c r="F527" s="37" t="n">
        <v>1</v>
      </c>
      <c r="G527" s="37" t="n">
        <v>21</v>
      </c>
      <c r="H527" s="39" t="b">
        <f aca="false">FALSE()</f>
        <v>0</v>
      </c>
      <c r="I527" s="37" t="n">
        <v>0</v>
      </c>
      <c r="J527" s="35" t="str">
        <f aca="false">INDEX(Lookups_Metadata!$E$4:$E$10, MATCH(I527, Lookups_Metadata!$D$4:$D$10, 0))</f>
        <v>Sunday</v>
      </c>
      <c r="K527" s="35" t="str">
        <f aca="false">IF(H527=TRUE(), "Holiday", IF(OR(I527=0, I527=6), "Weekend", "Weekday"))</f>
        <v>Weekend</v>
      </c>
      <c r="L527" s="35" t="str">
        <f aca="false">IF(AND(K527="Weekday", OR(AND(G527&gt;=7, G527&lt;=9), AND(G527&gt;=17, G527&lt;=19))), "Peak Commute", "Off-Peak")</f>
        <v>Off-Peak</v>
      </c>
      <c r="M527" s="37" t="n">
        <v>1</v>
      </c>
      <c r="N527" s="35" t="str">
        <f aca="false">VLOOKUP(M527, Lookups_Metadata!$G$4:$H$7, 2, FALSE())</f>
        <v>Clear / Few Clouds</v>
      </c>
      <c r="O527" s="40" t="n">
        <v>0.1</v>
      </c>
      <c r="P527" s="40" t="n">
        <v>0.1061</v>
      </c>
      <c r="Q527" s="40" t="n">
        <f aca="false">IF(OR(P527="", ISBLANK(P527)), ROUND(0.9367*O527+0.0175, 4), P527)</f>
        <v>0.1061</v>
      </c>
      <c r="R527" s="35" t="str">
        <f aca="false">IF(OR(P527="", ISBLANK(P527)), "Imputed (Regression/Trend)", "Original")</f>
        <v>Original</v>
      </c>
      <c r="S527" s="40" t="n">
        <v>0.36</v>
      </c>
      <c r="T527" s="40" t="n">
        <v>0.194</v>
      </c>
      <c r="U527" s="41" t="n">
        <v>5</v>
      </c>
      <c r="V527" s="41" t="n">
        <v>20</v>
      </c>
      <c r="W527" s="41" t="n">
        <f aca="false">U527+V527</f>
        <v>25</v>
      </c>
      <c r="X527" s="42" t="n">
        <f aca="false">U527/W527</f>
        <v>0.2</v>
      </c>
      <c r="Y527" s="42" t="n">
        <f aca="false">V527/W527</f>
        <v>0.8</v>
      </c>
      <c r="Z527" s="35" t="str">
        <f aca="false">IF(W527&gt;=150, "High Demand", IF(W527&gt;=50, "Moderate Demand", "Low Demand"))</f>
        <v>Low Demand</v>
      </c>
      <c r="AA527" s="39" t="str">
        <f aca="false">TEXT(G527, "00") &amp; ":00"</f>
        <v>21:00</v>
      </c>
      <c r="AB527" s="37" t="n">
        <f aca="false">YEAR(B527)</f>
        <v>2011</v>
      </c>
      <c r="AC527" s="35" t="str">
        <f aca="false">TEXT(B527, "mmmm")</f>
        <v>January</v>
      </c>
      <c r="AD527" s="37" t="n">
        <f aca="false">LEN(TEXT(B527, "YYYY-MM-DD"))</f>
        <v>10</v>
      </c>
      <c r="AE527" s="39" t="str">
        <f aca="false">LEFT(TEXT(B527, "YYYY-MM-DD"), 4)</f>
        <v>2011</v>
      </c>
      <c r="AF527" s="39" t="str">
        <f aca="false">RIGHT(TEXT(B527, "YYYY-MM-DD"), 2)</f>
        <v>23</v>
      </c>
    </row>
    <row r="528" customFormat="false" ht="15" hidden="false" customHeight="false" outlineLevel="0" collapsed="false">
      <c r="A528" s="43" t="n">
        <v>524</v>
      </c>
      <c r="B528" s="44" t="s">
        <v>99</v>
      </c>
      <c r="C528" s="43" t="n">
        <v>1</v>
      </c>
      <c r="D528" s="33" t="str">
        <f aca="false">VLOOKUP(C528, Lookups_Metadata!$A$4:$B$7, 2, FALSE())</f>
        <v>Spring</v>
      </c>
      <c r="E528" s="43" t="n">
        <v>0</v>
      </c>
      <c r="F528" s="43" t="n">
        <v>1</v>
      </c>
      <c r="G528" s="43" t="n">
        <v>22</v>
      </c>
      <c r="H528" s="45" t="b">
        <f aca="false">FALSE()</f>
        <v>0</v>
      </c>
      <c r="I528" s="43" t="n">
        <v>0</v>
      </c>
      <c r="J528" s="33" t="str">
        <f aca="false">INDEX(Lookups_Metadata!$E$4:$E$10, MATCH(I528, Lookups_Metadata!$D$4:$D$10, 0))</f>
        <v>Sunday</v>
      </c>
      <c r="K528" s="33" t="str">
        <f aca="false">IF(H528=TRUE(), "Holiday", IF(OR(I528=0, I528=6), "Weekend", "Weekday"))</f>
        <v>Weekend</v>
      </c>
      <c r="L528" s="33" t="str">
        <f aca="false">IF(AND(K528="Weekday", OR(AND(G528&gt;=7, G528&lt;=9), AND(G528&gt;=17, G528&lt;=19))), "Peak Commute", "Off-Peak")</f>
        <v>Off-Peak</v>
      </c>
      <c r="M528" s="43" t="n">
        <v>1</v>
      </c>
      <c r="N528" s="33" t="str">
        <f aca="false">VLOOKUP(M528, Lookups_Metadata!$G$4:$H$7, 2, FALSE())</f>
        <v>Clear / Few Clouds</v>
      </c>
      <c r="O528" s="46" t="n">
        <v>0.08</v>
      </c>
      <c r="P528" s="46" t="n">
        <v>0.0909</v>
      </c>
      <c r="Q528" s="46" t="n">
        <f aca="false">IF(OR(P528="", ISBLANK(P528)), ROUND(0.9367*O528+0.0175, 4), P528)</f>
        <v>0.0909</v>
      </c>
      <c r="R528" s="33" t="str">
        <f aca="false">IF(OR(P528="", ISBLANK(P528)), "Imputed (Regression/Trend)", "Original")</f>
        <v>Original</v>
      </c>
      <c r="S528" s="46" t="n">
        <v>0.38</v>
      </c>
      <c r="T528" s="46" t="n">
        <v>0.194</v>
      </c>
      <c r="U528" s="18" t="n">
        <v>5</v>
      </c>
      <c r="V528" s="18" t="n">
        <v>23</v>
      </c>
      <c r="W528" s="18" t="n">
        <f aca="false">U528+V528</f>
        <v>28</v>
      </c>
      <c r="X528" s="47" t="n">
        <f aca="false">U528/W528</f>
        <v>0.178571428571429</v>
      </c>
      <c r="Y528" s="47" t="n">
        <f aca="false">V528/W528</f>
        <v>0.821428571428571</v>
      </c>
      <c r="Z528" s="33" t="str">
        <f aca="false">IF(W528&gt;=150, "High Demand", IF(W528&gt;=50, "Moderate Demand", "Low Demand"))</f>
        <v>Low Demand</v>
      </c>
      <c r="AA528" s="45" t="str">
        <f aca="false">TEXT(G528, "00") &amp; ":00"</f>
        <v>22:00</v>
      </c>
      <c r="AB528" s="43" t="n">
        <f aca="false">YEAR(B528)</f>
        <v>2011</v>
      </c>
      <c r="AC528" s="33" t="str">
        <f aca="false">TEXT(B528, "mmmm")</f>
        <v>January</v>
      </c>
      <c r="AD528" s="43" t="n">
        <f aca="false">LEN(TEXT(B528, "YYYY-MM-DD"))</f>
        <v>10</v>
      </c>
      <c r="AE528" s="45" t="str">
        <f aca="false">LEFT(TEXT(B528, "YYYY-MM-DD"), 4)</f>
        <v>2011</v>
      </c>
      <c r="AF528" s="45" t="str">
        <f aca="false">RIGHT(TEXT(B528, "YYYY-MM-DD"), 2)</f>
        <v>23</v>
      </c>
    </row>
    <row r="529" customFormat="false" ht="15" hidden="false" customHeight="false" outlineLevel="0" collapsed="false">
      <c r="A529" s="37" t="n">
        <v>525</v>
      </c>
      <c r="B529" s="38" t="s">
        <v>99</v>
      </c>
      <c r="C529" s="37" t="n">
        <v>1</v>
      </c>
      <c r="D529" s="35" t="str">
        <f aca="false">VLOOKUP(C529, Lookups_Metadata!$A$4:$B$7, 2, FALSE())</f>
        <v>Spring</v>
      </c>
      <c r="E529" s="37" t="n">
        <v>0</v>
      </c>
      <c r="F529" s="37" t="n">
        <v>1</v>
      </c>
      <c r="G529" s="37" t="n">
        <v>23</v>
      </c>
      <c r="H529" s="39" t="b">
        <f aca="false">FALSE()</f>
        <v>0</v>
      </c>
      <c r="I529" s="37" t="n">
        <v>0</v>
      </c>
      <c r="J529" s="35" t="str">
        <f aca="false">INDEX(Lookups_Metadata!$E$4:$E$10, MATCH(I529, Lookups_Metadata!$D$4:$D$10, 0))</f>
        <v>Sunday</v>
      </c>
      <c r="K529" s="35" t="str">
        <f aca="false">IF(H529=TRUE(), "Holiday", IF(OR(I529=0, I529=6), "Weekend", "Weekday"))</f>
        <v>Weekend</v>
      </c>
      <c r="L529" s="35" t="str">
        <f aca="false">IF(AND(K529="Weekday", OR(AND(G529&gt;=7, G529&lt;=9), AND(G529&gt;=17, G529&lt;=19))), "Peak Commute", "Off-Peak")</f>
        <v>Off-Peak</v>
      </c>
      <c r="M529" s="37" t="n">
        <v>1</v>
      </c>
      <c r="N529" s="35" t="str">
        <f aca="false">VLOOKUP(M529, Lookups_Metadata!$G$4:$H$7, 2, FALSE())</f>
        <v>Clear / Few Clouds</v>
      </c>
      <c r="O529" s="40" t="n">
        <v>0.06</v>
      </c>
      <c r="P529" s="40" t="n">
        <v>0.0606</v>
      </c>
      <c r="Q529" s="40" t="n">
        <f aca="false">IF(OR(P529="", ISBLANK(P529)), ROUND(0.9367*O529+0.0175, 4), P529)</f>
        <v>0.0606</v>
      </c>
      <c r="R529" s="35" t="str">
        <f aca="false">IF(OR(P529="", ISBLANK(P529)), "Imputed (Regression/Trend)", "Original")</f>
        <v>Original</v>
      </c>
      <c r="S529" s="40" t="n">
        <v>0.41</v>
      </c>
      <c r="T529" s="40" t="n">
        <v>0.2239</v>
      </c>
      <c r="U529" s="41" t="n">
        <v>4</v>
      </c>
      <c r="V529" s="41" t="n">
        <v>17</v>
      </c>
      <c r="W529" s="41" t="n">
        <f aca="false">U529+V529</f>
        <v>21</v>
      </c>
      <c r="X529" s="42" t="n">
        <f aca="false">U529/W529</f>
        <v>0.19047619047619</v>
      </c>
      <c r="Y529" s="42" t="n">
        <f aca="false">V529/W529</f>
        <v>0.80952380952381</v>
      </c>
      <c r="Z529" s="35" t="str">
        <f aca="false">IF(W529&gt;=150, "High Demand", IF(W529&gt;=50, "Moderate Demand", "Low Demand"))</f>
        <v>Low Demand</v>
      </c>
      <c r="AA529" s="39" t="str">
        <f aca="false">TEXT(G529, "00") &amp; ":00"</f>
        <v>23:00</v>
      </c>
      <c r="AB529" s="37" t="n">
        <f aca="false">YEAR(B529)</f>
        <v>2011</v>
      </c>
      <c r="AC529" s="35" t="str">
        <f aca="false">TEXT(B529, "mmmm")</f>
        <v>January</v>
      </c>
      <c r="AD529" s="37" t="n">
        <f aca="false">LEN(TEXT(B529, "YYYY-MM-DD"))</f>
        <v>10</v>
      </c>
      <c r="AE529" s="39" t="str">
        <f aca="false">LEFT(TEXT(B529, "YYYY-MM-DD"), 4)</f>
        <v>2011</v>
      </c>
      <c r="AF529" s="39" t="str">
        <f aca="false">RIGHT(TEXT(B529, "YYYY-MM-DD"), 2)</f>
        <v>23</v>
      </c>
    </row>
    <row r="530" customFormat="false" ht="15" hidden="false" customHeight="false" outlineLevel="0" collapsed="false">
      <c r="A530" s="43" t="n">
        <v>526</v>
      </c>
      <c r="B530" s="44" t="s">
        <v>100</v>
      </c>
      <c r="C530" s="43" t="n">
        <v>1</v>
      </c>
      <c r="D530" s="33" t="str">
        <f aca="false">VLOOKUP(C530, Lookups_Metadata!$A$4:$B$7, 2, FALSE())</f>
        <v>Spring</v>
      </c>
      <c r="E530" s="43" t="n">
        <v>0</v>
      </c>
      <c r="F530" s="43" t="n">
        <v>1</v>
      </c>
      <c r="G530" s="43" t="n">
        <v>0</v>
      </c>
      <c r="H530" s="45" t="b">
        <f aca="false">FALSE()</f>
        <v>0</v>
      </c>
      <c r="I530" s="43" t="n">
        <v>1</v>
      </c>
      <c r="J530" s="33" t="str">
        <f aca="false">INDEX(Lookups_Metadata!$E$4:$E$10, MATCH(I530, Lookups_Metadata!$D$4:$D$10, 0))</f>
        <v>Monday</v>
      </c>
      <c r="K530" s="33" t="str">
        <f aca="false">IF(H530=TRUE(), "Holiday", IF(OR(I530=0, I530=6), "Weekend", "Weekday"))</f>
        <v>Weekday</v>
      </c>
      <c r="L530" s="33" t="str">
        <f aca="false">IF(AND(K530="Weekday", OR(AND(G530&gt;=7, G530&lt;=9), AND(G530&gt;=17, G530&lt;=19))), "Peak Commute", "Off-Peak")</f>
        <v>Off-Peak</v>
      </c>
      <c r="M530" s="43" t="n">
        <v>1</v>
      </c>
      <c r="N530" s="33" t="str">
        <f aca="false">VLOOKUP(M530, Lookups_Metadata!$G$4:$H$7, 2, FALSE())</f>
        <v>Clear / Few Clouds</v>
      </c>
      <c r="O530" s="46" t="n">
        <v>0.06</v>
      </c>
      <c r="P530" s="46" t="n">
        <v>0.0606</v>
      </c>
      <c r="Q530" s="46" t="n">
        <f aca="false">IF(OR(P530="", ISBLANK(P530)), ROUND(0.9367*O530+0.0175, 4), P530)</f>
        <v>0.0606</v>
      </c>
      <c r="R530" s="33" t="str">
        <f aca="false">IF(OR(P530="", ISBLANK(P530)), "Imputed (Regression/Trend)", "Original")</f>
        <v>Original</v>
      </c>
      <c r="S530" s="46" t="n">
        <v>0.41</v>
      </c>
      <c r="T530" s="46" t="n">
        <v>0.194</v>
      </c>
      <c r="U530" s="18" t="n">
        <v>0</v>
      </c>
      <c r="V530" s="18" t="n">
        <v>7</v>
      </c>
      <c r="W530" s="18" t="n">
        <f aca="false">U530+V530</f>
        <v>7</v>
      </c>
      <c r="X530" s="47" t="n">
        <f aca="false">U530/W530</f>
        <v>0</v>
      </c>
      <c r="Y530" s="47" t="n">
        <f aca="false">V530/W530</f>
        <v>1</v>
      </c>
      <c r="Z530" s="33" t="str">
        <f aca="false">IF(W530&gt;=150, "High Demand", IF(W530&gt;=50, "Moderate Demand", "Low Demand"))</f>
        <v>Low Demand</v>
      </c>
      <c r="AA530" s="45" t="str">
        <f aca="false">TEXT(G530, "00") &amp; ":00"</f>
        <v>00:00</v>
      </c>
      <c r="AB530" s="43" t="n">
        <f aca="false">YEAR(B530)</f>
        <v>2011</v>
      </c>
      <c r="AC530" s="33" t="str">
        <f aca="false">TEXT(B530, "mmmm")</f>
        <v>January</v>
      </c>
      <c r="AD530" s="43" t="n">
        <f aca="false">LEN(TEXT(B530, "YYYY-MM-DD"))</f>
        <v>10</v>
      </c>
      <c r="AE530" s="45" t="str">
        <f aca="false">LEFT(TEXT(B530, "YYYY-MM-DD"), 4)</f>
        <v>2011</v>
      </c>
      <c r="AF530" s="45" t="str">
        <f aca="false">RIGHT(TEXT(B530, "YYYY-MM-DD"), 2)</f>
        <v>24</v>
      </c>
    </row>
    <row r="531" customFormat="false" ht="15" hidden="false" customHeight="false" outlineLevel="0" collapsed="false">
      <c r="A531" s="37" t="n">
        <v>527</v>
      </c>
      <c r="B531" s="38" t="s">
        <v>100</v>
      </c>
      <c r="C531" s="37" t="n">
        <v>1</v>
      </c>
      <c r="D531" s="35" t="str">
        <f aca="false">VLOOKUP(C531, Lookups_Metadata!$A$4:$B$7, 2, FALSE())</f>
        <v>Spring</v>
      </c>
      <c r="E531" s="37" t="n">
        <v>0</v>
      </c>
      <c r="F531" s="37" t="n">
        <v>1</v>
      </c>
      <c r="G531" s="37" t="n">
        <v>1</v>
      </c>
      <c r="H531" s="39" t="b">
        <f aca="false">FALSE()</f>
        <v>0</v>
      </c>
      <c r="I531" s="37" t="n">
        <v>1</v>
      </c>
      <c r="J531" s="35" t="str">
        <f aca="false">INDEX(Lookups_Metadata!$E$4:$E$10, MATCH(I531, Lookups_Metadata!$D$4:$D$10, 0))</f>
        <v>Monday</v>
      </c>
      <c r="K531" s="35" t="str">
        <f aca="false">IF(H531=TRUE(), "Holiday", IF(OR(I531=0, I531=6), "Weekend", "Weekday"))</f>
        <v>Weekday</v>
      </c>
      <c r="L531" s="35" t="str">
        <f aca="false">IF(AND(K531="Weekday", OR(AND(G531&gt;=7, G531&lt;=9), AND(G531&gt;=17, G531&lt;=19))), "Peak Commute", "Off-Peak")</f>
        <v>Off-Peak</v>
      </c>
      <c r="M531" s="37" t="n">
        <v>1</v>
      </c>
      <c r="N531" s="35" t="str">
        <f aca="false">VLOOKUP(M531, Lookups_Metadata!$G$4:$H$7, 2, FALSE())</f>
        <v>Clear / Few Clouds</v>
      </c>
      <c r="O531" s="40" t="n">
        <v>0.04</v>
      </c>
      <c r="P531" s="40" t="n">
        <v>0.0455</v>
      </c>
      <c r="Q531" s="40" t="n">
        <f aca="false">IF(OR(P531="", ISBLANK(P531)), ROUND(0.9367*O531+0.0175, 4), P531)</f>
        <v>0.0455</v>
      </c>
      <c r="R531" s="35" t="str">
        <f aca="false">IF(OR(P531="", ISBLANK(P531)), "Imputed (Regression/Trend)", "Original")</f>
        <v>Original</v>
      </c>
      <c r="S531" s="40" t="n">
        <v>0.45</v>
      </c>
      <c r="T531" s="40" t="n">
        <v>0.194</v>
      </c>
      <c r="U531" s="41" t="n">
        <v>0</v>
      </c>
      <c r="V531" s="41" t="n">
        <v>1</v>
      </c>
      <c r="W531" s="41" t="n">
        <f aca="false">U531+V531</f>
        <v>1</v>
      </c>
      <c r="X531" s="42" t="n">
        <f aca="false">U531/W531</f>
        <v>0</v>
      </c>
      <c r="Y531" s="42" t="n">
        <f aca="false">V531/W531</f>
        <v>1</v>
      </c>
      <c r="Z531" s="35" t="str">
        <f aca="false">IF(W531&gt;=150, "High Demand", IF(W531&gt;=50, "Moderate Demand", "Low Demand"))</f>
        <v>Low Demand</v>
      </c>
      <c r="AA531" s="39" t="str">
        <f aca="false">TEXT(G531, "00") &amp; ":00"</f>
        <v>01:00</v>
      </c>
      <c r="AB531" s="37" t="n">
        <f aca="false">YEAR(B531)</f>
        <v>2011</v>
      </c>
      <c r="AC531" s="35" t="str">
        <f aca="false">TEXT(B531, "mmmm")</f>
        <v>January</v>
      </c>
      <c r="AD531" s="37" t="n">
        <f aca="false">LEN(TEXT(B531, "YYYY-MM-DD"))</f>
        <v>10</v>
      </c>
      <c r="AE531" s="39" t="str">
        <f aca="false">LEFT(TEXT(B531, "YYYY-MM-DD"), 4)</f>
        <v>2011</v>
      </c>
      <c r="AF531" s="39" t="str">
        <f aca="false">RIGHT(TEXT(B531, "YYYY-MM-DD"), 2)</f>
        <v>24</v>
      </c>
    </row>
    <row r="532" customFormat="false" ht="15" hidden="false" customHeight="false" outlineLevel="0" collapsed="false">
      <c r="A532" s="43" t="n">
        <v>528</v>
      </c>
      <c r="B532" s="44" t="s">
        <v>100</v>
      </c>
      <c r="C532" s="43" t="n">
        <v>1</v>
      </c>
      <c r="D532" s="33" t="str">
        <f aca="false">VLOOKUP(C532, Lookups_Metadata!$A$4:$B$7, 2, FALSE())</f>
        <v>Spring</v>
      </c>
      <c r="E532" s="43" t="n">
        <v>0</v>
      </c>
      <c r="F532" s="43" t="n">
        <v>1</v>
      </c>
      <c r="G532" s="43" t="n">
        <v>3</v>
      </c>
      <c r="H532" s="45" t="b">
        <f aca="false">FALSE()</f>
        <v>0</v>
      </c>
      <c r="I532" s="43" t="n">
        <v>1</v>
      </c>
      <c r="J532" s="33" t="str">
        <f aca="false">INDEX(Lookups_Metadata!$E$4:$E$10, MATCH(I532, Lookups_Metadata!$D$4:$D$10, 0))</f>
        <v>Monday</v>
      </c>
      <c r="K532" s="33" t="str">
        <f aca="false">IF(H532=TRUE(), "Holiday", IF(OR(I532=0, I532=6), "Weekend", "Weekday"))</f>
        <v>Weekday</v>
      </c>
      <c r="L532" s="33" t="str">
        <f aca="false">IF(AND(K532="Weekday", OR(AND(G532&gt;=7, G532&lt;=9), AND(G532&gt;=17, G532&lt;=19))), "Peak Commute", "Off-Peak")</f>
        <v>Off-Peak</v>
      </c>
      <c r="M532" s="43" t="n">
        <v>1</v>
      </c>
      <c r="N532" s="33" t="str">
        <f aca="false">VLOOKUP(M532, Lookups_Metadata!$G$4:$H$7, 2, FALSE())</f>
        <v>Clear / Few Clouds</v>
      </c>
      <c r="O532" s="46" t="n">
        <v>0.04</v>
      </c>
      <c r="P532" s="46" t="n">
        <v>0.0303</v>
      </c>
      <c r="Q532" s="46" t="n">
        <f aca="false">IF(OR(P532="", ISBLANK(P532)), ROUND(0.9367*O532+0.0175, 4), P532)</f>
        <v>0.0303</v>
      </c>
      <c r="R532" s="33" t="str">
        <f aca="false">IF(OR(P532="", ISBLANK(P532)), "Imputed (Regression/Trend)", "Original")</f>
        <v>Original</v>
      </c>
      <c r="S532" s="46" t="n">
        <v>0.45</v>
      </c>
      <c r="T532" s="46" t="n">
        <v>0.2537</v>
      </c>
      <c r="U532" s="18" t="n">
        <v>0</v>
      </c>
      <c r="V532" s="18" t="n">
        <v>1</v>
      </c>
      <c r="W532" s="18" t="n">
        <f aca="false">U532+V532</f>
        <v>1</v>
      </c>
      <c r="X532" s="47" t="n">
        <f aca="false">U532/W532</f>
        <v>0</v>
      </c>
      <c r="Y532" s="47" t="n">
        <f aca="false">V532/W532</f>
        <v>1</v>
      </c>
      <c r="Z532" s="33" t="str">
        <f aca="false">IF(W532&gt;=150, "High Demand", IF(W532&gt;=50, "Moderate Demand", "Low Demand"))</f>
        <v>Low Demand</v>
      </c>
      <c r="AA532" s="45" t="str">
        <f aca="false">TEXT(G532, "00") &amp; ":00"</f>
        <v>03:00</v>
      </c>
      <c r="AB532" s="43" t="n">
        <f aca="false">YEAR(B532)</f>
        <v>2011</v>
      </c>
      <c r="AC532" s="33" t="str">
        <f aca="false">TEXT(B532, "mmmm")</f>
        <v>January</v>
      </c>
      <c r="AD532" s="43" t="n">
        <f aca="false">LEN(TEXT(B532, "YYYY-MM-DD"))</f>
        <v>10</v>
      </c>
      <c r="AE532" s="45" t="str">
        <f aca="false">LEFT(TEXT(B532, "YYYY-MM-DD"), 4)</f>
        <v>2011</v>
      </c>
      <c r="AF532" s="45" t="str">
        <f aca="false">RIGHT(TEXT(B532, "YYYY-MM-DD"), 2)</f>
        <v>24</v>
      </c>
    </row>
    <row r="533" customFormat="false" ht="15" hidden="false" customHeight="false" outlineLevel="0" collapsed="false">
      <c r="A533" s="37" t="n">
        <v>529</v>
      </c>
      <c r="B533" s="38" t="s">
        <v>100</v>
      </c>
      <c r="C533" s="37" t="n">
        <v>1</v>
      </c>
      <c r="D533" s="35" t="str">
        <f aca="false">VLOOKUP(C533, Lookups_Metadata!$A$4:$B$7, 2, FALSE())</f>
        <v>Spring</v>
      </c>
      <c r="E533" s="37" t="n">
        <v>0</v>
      </c>
      <c r="F533" s="37" t="n">
        <v>1</v>
      </c>
      <c r="G533" s="37" t="n">
        <v>4</v>
      </c>
      <c r="H533" s="39" t="b">
        <f aca="false">FALSE()</f>
        <v>0</v>
      </c>
      <c r="I533" s="37" t="n">
        <v>1</v>
      </c>
      <c r="J533" s="35" t="str">
        <f aca="false">INDEX(Lookups_Metadata!$E$4:$E$10, MATCH(I533, Lookups_Metadata!$D$4:$D$10, 0))</f>
        <v>Monday</v>
      </c>
      <c r="K533" s="35" t="str">
        <f aca="false">IF(H533=TRUE(), "Holiday", IF(OR(I533=0, I533=6), "Weekend", "Weekday"))</f>
        <v>Weekday</v>
      </c>
      <c r="L533" s="35" t="str">
        <f aca="false">IF(AND(K533="Weekday", OR(AND(G533&gt;=7, G533&lt;=9), AND(G533&gt;=17, G533&lt;=19))), "Peak Commute", "Off-Peak")</f>
        <v>Off-Peak</v>
      </c>
      <c r="M533" s="37" t="n">
        <v>1</v>
      </c>
      <c r="N533" s="35" t="str">
        <f aca="false">VLOOKUP(M533, Lookups_Metadata!$G$4:$H$7, 2, FALSE())</f>
        <v>Clear / Few Clouds</v>
      </c>
      <c r="O533" s="40" t="n">
        <v>0.02</v>
      </c>
      <c r="P533" s="40" t="n">
        <v>0.0606</v>
      </c>
      <c r="Q533" s="40" t="n">
        <f aca="false">IF(OR(P533="", ISBLANK(P533)), ROUND(0.9367*O533+0.0175, 4), P533)</f>
        <v>0.0606</v>
      </c>
      <c r="R533" s="35" t="str">
        <f aca="false">IF(OR(P533="", ISBLANK(P533)), "Imputed (Regression/Trend)", "Original")</f>
        <v>Original</v>
      </c>
      <c r="S533" s="40" t="n">
        <v>0.48</v>
      </c>
      <c r="T533" s="40" t="n">
        <v>0.1343</v>
      </c>
      <c r="U533" s="41" t="n">
        <v>0</v>
      </c>
      <c r="V533" s="41" t="n">
        <v>1</v>
      </c>
      <c r="W533" s="41" t="n">
        <f aca="false">U533+V533</f>
        <v>1</v>
      </c>
      <c r="X533" s="42" t="n">
        <f aca="false">U533/W533</f>
        <v>0</v>
      </c>
      <c r="Y533" s="42" t="n">
        <f aca="false">V533/W533</f>
        <v>1</v>
      </c>
      <c r="Z533" s="35" t="str">
        <f aca="false">IF(W533&gt;=150, "High Demand", IF(W533&gt;=50, "Moderate Demand", "Low Demand"))</f>
        <v>Low Demand</v>
      </c>
      <c r="AA533" s="39" t="str">
        <f aca="false">TEXT(G533, "00") &amp; ":00"</f>
        <v>04:00</v>
      </c>
      <c r="AB533" s="37" t="n">
        <f aca="false">YEAR(B533)</f>
        <v>2011</v>
      </c>
      <c r="AC533" s="35" t="str">
        <f aca="false">TEXT(B533, "mmmm")</f>
        <v>January</v>
      </c>
      <c r="AD533" s="37" t="n">
        <f aca="false">LEN(TEXT(B533, "YYYY-MM-DD"))</f>
        <v>10</v>
      </c>
      <c r="AE533" s="39" t="str">
        <f aca="false">LEFT(TEXT(B533, "YYYY-MM-DD"), 4)</f>
        <v>2011</v>
      </c>
      <c r="AF533" s="39" t="str">
        <f aca="false">RIGHT(TEXT(B533, "YYYY-MM-DD"), 2)</f>
        <v>24</v>
      </c>
    </row>
    <row r="534" customFormat="false" ht="15" hidden="false" customHeight="false" outlineLevel="0" collapsed="false">
      <c r="A534" s="43" t="n">
        <v>530</v>
      </c>
      <c r="B534" s="44" t="s">
        <v>100</v>
      </c>
      <c r="C534" s="43" t="n">
        <v>1</v>
      </c>
      <c r="D534" s="33" t="str">
        <f aca="false">VLOOKUP(C534, Lookups_Metadata!$A$4:$B$7, 2, FALSE())</f>
        <v>Spring</v>
      </c>
      <c r="E534" s="43" t="n">
        <v>0</v>
      </c>
      <c r="F534" s="43" t="n">
        <v>1</v>
      </c>
      <c r="G534" s="43" t="n">
        <v>5</v>
      </c>
      <c r="H534" s="45" t="b">
        <f aca="false">FALSE()</f>
        <v>0</v>
      </c>
      <c r="I534" s="43" t="n">
        <v>1</v>
      </c>
      <c r="J534" s="33" t="str">
        <f aca="false">INDEX(Lookups_Metadata!$E$4:$E$10, MATCH(I534, Lookups_Metadata!$D$4:$D$10, 0))</f>
        <v>Monday</v>
      </c>
      <c r="K534" s="33" t="str">
        <f aca="false">IF(H534=TRUE(), "Holiday", IF(OR(I534=0, I534=6), "Weekend", "Weekday"))</f>
        <v>Weekday</v>
      </c>
      <c r="L534" s="33" t="str">
        <f aca="false">IF(AND(K534="Weekday", OR(AND(G534&gt;=7, G534&lt;=9), AND(G534&gt;=17, G534&lt;=19))), "Peak Commute", "Off-Peak")</f>
        <v>Off-Peak</v>
      </c>
      <c r="M534" s="43" t="n">
        <v>1</v>
      </c>
      <c r="N534" s="33" t="str">
        <f aca="false">VLOOKUP(M534, Lookups_Metadata!$G$4:$H$7, 2, FALSE())</f>
        <v>Clear / Few Clouds</v>
      </c>
      <c r="O534" s="46" t="n">
        <v>0.02</v>
      </c>
      <c r="P534" s="46" t="n">
        <v>0.0606</v>
      </c>
      <c r="Q534" s="46" t="n">
        <f aca="false">IF(OR(P534="", ISBLANK(P534)), ROUND(0.9367*O534+0.0175, 4), P534)</f>
        <v>0.0606</v>
      </c>
      <c r="R534" s="33" t="str">
        <f aca="false">IF(OR(P534="", ISBLANK(P534)), "Imputed (Regression/Trend)", "Original")</f>
        <v>Original</v>
      </c>
      <c r="S534" s="46" t="n">
        <v>0.48</v>
      </c>
      <c r="T534" s="46" t="n">
        <v>0.1343</v>
      </c>
      <c r="U534" s="18" t="n">
        <v>0</v>
      </c>
      <c r="V534" s="18" t="n">
        <v>5</v>
      </c>
      <c r="W534" s="18" t="n">
        <f aca="false">U534+V534</f>
        <v>5</v>
      </c>
      <c r="X534" s="47" t="n">
        <f aca="false">U534/W534</f>
        <v>0</v>
      </c>
      <c r="Y534" s="47" t="n">
        <f aca="false">V534/W534</f>
        <v>1</v>
      </c>
      <c r="Z534" s="33" t="str">
        <f aca="false">IF(W534&gt;=150, "High Demand", IF(W534&gt;=50, "Moderate Demand", "Low Demand"))</f>
        <v>Low Demand</v>
      </c>
      <c r="AA534" s="45" t="str">
        <f aca="false">TEXT(G534, "00") &amp; ":00"</f>
        <v>05:00</v>
      </c>
      <c r="AB534" s="43" t="n">
        <f aca="false">YEAR(B534)</f>
        <v>2011</v>
      </c>
      <c r="AC534" s="33" t="str">
        <f aca="false">TEXT(B534, "mmmm")</f>
        <v>January</v>
      </c>
      <c r="AD534" s="43" t="n">
        <f aca="false">LEN(TEXT(B534, "YYYY-MM-DD"))</f>
        <v>10</v>
      </c>
      <c r="AE534" s="45" t="str">
        <f aca="false">LEFT(TEXT(B534, "YYYY-MM-DD"), 4)</f>
        <v>2011</v>
      </c>
      <c r="AF534" s="45" t="str">
        <f aca="false">RIGHT(TEXT(B534, "YYYY-MM-DD"), 2)</f>
        <v>24</v>
      </c>
    </row>
    <row r="535" customFormat="false" ht="15" hidden="false" customHeight="false" outlineLevel="0" collapsed="false">
      <c r="A535" s="37" t="n">
        <v>531</v>
      </c>
      <c r="B535" s="38" t="s">
        <v>100</v>
      </c>
      <c r="C535" s="37" t="n">
        <v>1</v>
      </c>
      <c r="D535" s="35" t="str">
        <f aca="false">VLOOKUP(C535, Lookups_Metadata!$A$4:$B$7, 2, FALSE())</f>
        <v>Spring</v>
      </c>
      <c r="E535" s="37" t="n">
        <v>0</v>
      </c>
      <c r="F535" s="37" t="n">
        <v>1</v>
      </c>
      <c r="G535" s="37" t="n">
        <v>6</v>
      </c>
      <c r="H535" s="39" t="b">
        <f aca="false">FALSE()</f>
        <v>0</v>
      </c>
      <c r="I535" s="37" t="n">
        <v>1</v>
      </c>
      <c r="J535" s="35" t="str">
        <f aca="false">INDEX(Lookups_Metadata!$E$4:$E$10, MATCH(I535, Lookups_Metadata!$D$4:$D$10, 0))</f>
        <v>Monday</v>
      </c>
      <c r="K535" s="35" t="str">
        <f aca="false">IF(H535=TRUE(), "Holiday", IF(OR(I535=0, I535=6), "Weekend", "Weekday"))</f>
        <v>Weekday</v>
      </c>
      <c r="L535" s="35" t="str">
        <f aca="false">IF(AND(K535="Weekday", OR(AND(G535&gt;=7, G535&lt;=9), AND(G535&gt;=17, G535&lt;=19))), "Peak Commute", "Off-Peak")</f>
        <v>Off-Peak</v>
      </c>
      <c r="M535" s="37" t="n">
        <v>1</v>
      </c>
      <c r="N535" s="35" t="str">
        <f aca="false">VLOOKUP(M535, Lookups_Metadata!$G$4:$H$7, 2, FALSE())</f>
        <v>Clear / Few Clouds</v>
      </c>
      <c r="O535" s="40" t="n">
        <v>0.02</v>
      </c>
      <c r="P535" s="40" t="n">
        <v>0.0758</v>
      </c>
      <c r="Q535" s="40" t="n">
        <f aca="false">IF(OR(P535="", ISBLANK(P535)), ROUND(0.9367*O535+0.0175, 4), P535)</f>
        <v>0.0758</v>
      </c>
      <c r="R535" s="35" t="str">
        <f aca="false">IF(OR(P535="", ISBLANK(P535)), "Imputed (Regression/Trend)", "Original")</f>
        <v>Original</v>
      </c>
      <c r="S535" s="40" t="n">
        <v>0.48</v>
      </c>
      <c r="T535" s="40" t="n">
        <v>0.0896</v>
      </c>
      <c r="U535" s="41" t="n">
        <v>0</v>
      </c>
      <c r="V535" s="41" t="n">
        <v>15</v>
      </c>
      <c r="W535" s="41" t="n">
        <f aca="false">U535+V535</f>
        <v>15</v>
      </c>
      <c r="X535" s="42" t="n">
        <f aca="false">U535/W535</f>
        <v>0</v>
      </c>
      <c r="Y535" s="42" t="n">
        <f aca="false">V535/W535</f>
        <v>1</v>
      </c>
      <c r="Z535" s="35" t="str">
        <f aca="false">IF(W535&gt;=150, "High Demand", IF(W535&gt;=50, "Moderate Demand", "Low Demand"))</f>
        <v>Low Demand</v>
      </c>
      <c r="AA535" s="39" t="str">
        <f aca="false">TEXT(G535, "00") &amp; ":00"</f>
        <v>06:00</v>
      </c>
      <c r="AB535" s="37" t="n">
        <f aca="false">YEAR(B535)</f>
        <v>2011</v>
      </c>
      <c r="AC535" s="35" t="str">
        <f aca="false">TEXT(B535, "mmmm")</f>
        <v>January</v>
      </c>
      <c r="AD535" s="37" t="n">
        <f aca="false">LEN(TEXT(B535, "YYYY-MM-DD"))</f>
        <v>10</v>
      </c>
      <c r="AE535" s="39" t="str">
        <f aca="false">LEFT(TEXT(B535, "YYYY-MM-DD"), 4)</f>
        <v>2011</v>
      </c>
      <c r="AF535" s="39" t="str">
        <f aca="false">RIGHT(TEXT(B535, "YYYY-MM-DD"), 2)</f>
        <v>24</v>
      </c>
    </row>
    <row r="536" customFormat="false" ht="15" hidden="false" customHeight="false" outlineLevel="0" collapsed="false">
      <c r="A536" s="43" t="n">
        <v>532</v>
      </c>
      <c r="B536" s="44" t="s">
        <v>100</v>
      </c>
      <c r="C536" s="43" t="n">
        <v>1</v>
      </c>
      <c r="D536" s="33" t="str">
        <f aca="false">VLOOKUP(C536, Lookups_Metadata!$A$4:$B$7, 2, FALSE())</f>
        <v>Spring</v>
      </c>
      <c r="E536" s="43" t="n">
        <v>0</v>
      </c>
      <c r="F536" s="43" t="n">
        <v>1</v>
      </c>
      <c r="G536" s="43" t="n">
        <v>7</v>
      </c>
      <c r="H536" s="45" t="b">
        <f aca="false">FALSE()</f>
        <v>0</v>
      </c>
      <c r="I536" s="43" t="n">
        <v>1</v>
      </c>
      <c r="J536" s="33" t="str">
        <f aca="false">INDEX(Lookups_Metadata!$E$4:$E$10, MATCH(I536, Lookups_Metadata!$D$4:$D$10, 0))</f>
        <v>Monday</v>
      </c>
      <c r="K536" s="33" t="str">
        <f aca="false">IF(H536=TRUE(), "Holiday", IF(OR(I536=0, I536=6), "Weekend", "Weekday"))</f>
        <v>Weekday</v>
      </c>
      <c r="L536" s="33" t="str">
        <f aca="false">IF(AND(K536="Weekday", OR(AND(G536&gt;=7, G536&lt;=9), AND(G536&gt;=17, G536&lt;=19))), "Peak Commute", "Off-Peak")</f>
        <v>Peak Commute</v>
      </c>
      <c r="M536" s="43" t="n">
        <v>1</v>
      </c>
      <c r="N536" s="33" t="str">
        <f aca="false">VLOOKUP(M536, Lookups_Metadata!$G$4:$H$7, 2, FALSE())</f>
        <v>Clear / Few Clouds</v>
      </c>
      <c r="O536" s="46" t="n">
        <v>0.02</v>
      </c>
      <c r="P536" s="46" t="n">
        <v>0.1212</v>
      </c>
      <c r="Q536" s="46" t="n">
        <f aca="false">IF(OR(P536="", ISBLANK(P536)), ROUND(0.9367*O536+0.0175, 4), P536)</f>
        <v>0.1212</v>
      </c>
      <c r="R536" s="33" t="str">
        <f aca="false">IF(OR(P536="", ISBLANK(P536)), "Imputed (Regression/Trend)", "Original")</f>
        <v>Original</v>
      </c>
      <c r="S536" s="46" t="n">
        <v>0.48</v>
      </c>
      <c r="T536" s="46" t="n">
        <v>0</v>
      </c>
      <c r="U536" s="18" t="n">
        <v>5</v>
      </c>
      <c r="V536" s="18" t="n">
        <v>79</v>
      </c>
      <c r="W536" s="18" t="n">
        <f aca="false">U536+V536</f>
        <v>84</v>
      </c>
      <c r="X536" s="47" t="n">
        <f aca="false">U536/W536</f>
        <v>0.0595238095238095</v>
      </c>
      <c r="Y536" s="47" t="n">
        <f aca="false">V536/W536</f>
        <v>0.940476190476191</v>
      </c>
      <c r="Z536" s="33" t="str">
        <f aca="false">IF(W536&gt;=150, "High Demand", IF(W536&gt;=50, "Moderate Demand", "Low Demand"))</f>
        <v>Moderate Demand</v>
      </c>
      <c r="AA536" s="45" t="str">
        <f aca="false">TEXT(G536, "00") &amp; ":00"</f>
        <v>07:00</v>
      </c>
      <c r="AB536" s="43" t="n">
        <f aca="false">YEAR(B536)</f>
        <v>2011</v>
      </c>
      <c r="AC536" s="33" t="str">
        <f aca="false">TEXT(B536, "mmmm")</f>
        <v>January</v>
      </c>
      <c r="AD536" s="43" t="n">
        <f aca="false">LEN(TEXT(B536, "YYYY-MM-DD"))</f>
        <v>10</v>
      </c>
      <c r="AE536" s="45" t="str">
        <f aca="false">LEFT(TEXT(B536, "YYYY-MM-DD"), 4)</f>
        <v>2011</v>
      </c>
      <c r="AF536" s="45" t="str">
        <f aca="false">RIGHT(TEXT(B536, "YYYY-MM-DD"), 2)</f>
        <v>24</v>
      </c>
    </row>
    <row r="537" customFormat="false" ht="15" hidden="false" customHeight="false" outlineLevel="0" collapsed="false">
      <c r="A537" s="37" t="n">
        <v>533</v>
      </c>
      <c r="B537" s="38" t="s">
        <v>100</v>
      </c>
      <c r="C537" s="37" t="n">
        <v>1</v>
      </c>
      <c r="D537" s="35" t="str">
        <f aca="false">VLOOKUP(C537, Lookups_Metadata!$A$4:$B$7, 2, FALSE())</f>
        <v>Spring</v>
      </c>
      <c r="E537" s="37" t="n">
        <v>0</v>
      </c>
      <c r="F537" s="37" t="n">
        <v>1</v>
      </c>
      <c r="G537" s="37" t="n">
        <v>8</v>
      </c>
      <c r="H537" s="39" t="b">
        <f aca="false">FALSE()</f>
        <v>0</v>
      </c>
      <c r="I537" s="37" t="n">
        <v>1</v>
      </c>
      <c r="J537" s="35" t="str">
        <f aca="false">INDEX(Lookups_Metadata!$E$4:$E$10, MATCH(I537, Lookups_Metadata!$D$4:$D$10, 0))</f>
        <v>Monday</v>
      </c>
      <c r="K537" s="35" t="str">
        <f aca="false">IF(H537=TRUE(), "Holiday", IF(OR(I537=0, I537=6), "Weekend", "Weekday"))</f>
        <v>Weekday</v>
      </c>
      <c r="L537" s="35" t="str">
        <f aca="false">IF(AND(K537="Weekday", OR(AND(G537&gt;=7, G537&lt;=9), AND(G537&gt;=17, G537&lt;=19))), "Peak Commute", "Off-Peak")</f>
        <v>Peak Commute</v>
      </c>
      <c r="M537" s="37" t="n">
        <v>1</v>
      </c>
      <c r="N537" s="35" t="str">
        <f aca="false">VLOOKUP(M537, Lookups_Metadata!$G$4:$H$7, 2, FALSE())</f>
        <v>Clear / Few Clouds</v>
      </c>
      <c r="O537" s="40" t="n">
        <v>0.04</v>
      </c>
      <c r="P537" s="40" t="n">
        <v>0.1364</v>
      </c>
      <c r="Q537" s="40" t="n">
        <f aca="false">IF(OR(P537="", ISBLANK(P537)), ROUND(0.9367*O537+0.0175, 4), P537)</f>
        <v>0.1364</v>
      </c>
      <c r="R537" s="35" t="str">
        <f aca="false">IF(OR(P537="", ISBLANK(P537)), "Imputed (Regression/Trend)", "Original")</f>
        <v>Original</v>
      </c>
      <c r="S537" s="40" t="n">
        <v>0.49</v>
      </c>
      <c r="T537" s="40" t="n">
        <v>0</v>
      </c>
      <c r="U537" s="41" t="n">
        <v>6</v>
      </c>
      <c r="V537" s="41" t="n">
        <v>171</v>
      </c>
      <c r="W537" s="41" t="n">
        <f aca="false">U537+V537</f>
        <v>177</v>
      </c>
      <c r="X537" s="42" t="n">
        <f aca="false">U537/W537</f>
        <v>0.0338983050847458</v>
      </c>
      <c r="Y537" s="42" t="n">
        <f aca="false">V537/W537</f>
        <v>0.966101694915254</v>
      </c>
      <c r="Z537" s="35" t="str">
        <f aca="false">IF(W537&gt;=150, "High Demand", IF(W537&gt;=50, "Moderate Demand", "Low Demand"))</f>
        <v>High Demand</v>
      </c>
      <c r="AA537" s="39" t="str">
        <f aca="false">TEXT(G537, "00") &amp; ":00"</f>
        <v>08:00</v>
      </c>
      <c r="AB537" s="37" t="n">
        <f aca="false">YEAR(B537)</f>
        <v>2011</v>
      </c>
      <c r="AC537" s="35" t="str">
        <f aca="false">TEXT(B537, "mmmm")</f>
        <v>January</v>
      </c>
      <c r="AD537" s="37" t="n">
        <f aca="false">LEN(TEXT(B537, "YYYY-MM-DD"))</f>
        <v>10</v>
      </c>
      <c r="AE537" s="39" t="str">
        <f aca="false">LEFT(TEXT(B537, "YYYY-MM-DD"), 4)</f>
        <v>2011</v>
      </c>
      <c r="AF537" s="39" t="str">
        <f aca="false">RIGHT(TEXT(B537, "YYYY-MM-DD"), 2)</f>
        <v>24</v>
      </c>
    </row>
    <row r="538" customFormat="false" ht="15" hidden="false" customHeight="false" outlineLevel="0" collapsed="false">
      <c r="A538" s="43" t="n">
        <v>534</v>
      </c>
      <c r="B538" s="44" t="s">
        <v>100</v>
      </c>
      <c r="C538" s="43" t="n">
        <v>1</v>
      </c>
      <c r="D538" s="33" t="str">
        <f aca="false">VLOOKUP(C538, Lookups_Metadata!$A$4:$B$7, 2, FALSE())</f>
        <v>Spring</v>
      </c>
      <c r="E538" s="43" t="n">
        <v>0</v>
      </c>
      <c r="F538" s="43" t="n">
        <v>1</v>
      </c>
      <c r="G538" s="43" t="n">
        <v>9</v>
      </c>
      <c r="H538" s="45" t="b">
        <f aca="false">FALSE()</f>
        <v>0</v>
      </c>
      <c r="I538" s="43" t="n">
        <v>1</v>
      </c>
      <c r="J538" s="33" t="str">
        <f aca="false">INDEX(Lookups_Metadata!$E$4:$E$10, MATCH(I538, Lookups_Metadata!$D$4:$D$10, 0))</f>
        <v>Monday</v>
      </c>
      <c r="K538" s="33" t="str">
        <f aca="false">IF(H538=TRUE(), "Holiday", IF(OR(I538=0, I538=6), "Weekend", "Weekday"))</f>
        <v>Weekday</v>
      </c>
      <c r="L538" s="33" t="str">
        <f aca="false">IF(AND(K538="Weekday", OR(AND(G538&gt;=7, G538&lt;=9), AND(G538&gt;=17, G538&lt;=19))), "Peak Commute", "Off-Peak")</f>
        <v>Peak Commute</v>
      </c>
      <c r="M538" s="43" t="n">
        <v>1</v>
      </c>
      <c r="N538" s="33" t="str">
        <f aca="false">VLOOKUP(M538, Lookups_Metadata!$G$4:$H$7, 2, FALSE())</f>
        <v>Clear / Few Clouds</v>
      </c>
      <c r="O538" s="46" t="n">
        <v>0.06</v>
      </c>
      <c r="P538" s="46" t="n">
        <v>0.1515</v>
      </c>
      <c r="Q538" s="46" t="n">
        <f aca="false">IF(OR(P538="", ISBLANK(P538)), ROUND(0.9367*O538+0.0175, 4), P538)</f>
        <v>0.1515</v>
      </c>
      <c r="R538" s="33" t="str">
        <f aca="false">IF(OR(P538="", ISBLANK(P538)), "Imputed (Regression/Trend)", "Original")</f>
        <v>Original</v>
      </c>
      <c r="S538" s="46" t="n">
        <v>0.41</v>
      </c>
      <c r="T538" s="46" t="n">
        <v>0</v>
      </c>
      <c r="U538" s="18" t="n">
        <v>4</v>
      </c>
      <c r="V538" s="18" t="n">
        <v>98</v>
      </c>
      <c r="W538" s="18" t="n">
        <f aca="false">U538+V538</f>
        <v>102</v>
      </c>
      <c r="X538" s="47" t="n">
        <f aca="false">U538/W538</f>
        <v>0.0392156862745098</v>
      </c>
      <c r="Y538" s="47" t="n">
        <f aca="false">V538/W538</f>
        <v>0.96078431372549</v>
      </c>
      <c r="Z538" s="33" t="str">
        <f aca="false">IF(W538&gt;=150, "High Demand", IF(W538&gt;=50, "Moderate Demand", "Low Demand"))</f>
        <v>Moderate Demand</v>
      </c>
      <c r="AA538" s="45" t="str">
        <f aca="false">TEXT(G538, "00") &amp; ":00"</f>
        <v>09:00</v>
      </c>
      <c r="AB538" s="43" t="n">
        <f aca="false">YEAR(B538)</f>
        <v>2011</v>
      </c>
      <c r="AC538" s="33" t="str">
        <f aca="false">TEXT(B538, "mmmm")</f>
        <v>January</v>
      </c>
      <c r="AD538" s="43" t="n">
        <f aca="false">LEN(TEXT(B538, "YYYY-MM-DD"))</f>
        <v>10</v>
      </c>
      <c r="AE538" s="45" t="str">
        <f aca="false">LEFT(TEXT(B538, "YYYY-MM-DD"), 4)</f>
        <v>2011</v>
      </c>
      <c r="AF538" s="45" t="str">
        <f aca="false">RIGHT(TEXT(B538, "YYYY-MM-DD"), 2)</f>
        <v>24</v>
      </c>
    </row>
    <row r="539" customFormat="false" ht="15" hidden="false" customHeight="false" outlineLevel="0" collapsed="false">
      <c r="A539" s="37" t="n">
        <v>535</v>
      </c>
      <c r="B539" s="38" t="s">
        <v>100</v>
      </c>
      <c r="C539" s="37" t="n">
        <v>1</v>
      </c>
      <c r="D539" s="35" t="str">
        <f aca="false">VLOOKUP(C539, Lookups_Metadata!$A$4:$B$7, 2, FALSE())</f>
        <v>Spring</v>
      </c>
      <c r="E539" s="37" t="n">
        <v>0</v>
      </c>
      <c r="F539" s="37" t="n">
        <v>1</v>
      </c>
      <c r="G539" s="37" t="n">
        <v>10</v>
      </c>
      <c r="H539" s="39" t="b">
        <f aca="false">FALSE()</f>
        <v>0</v>
      </c>
      <c r="I539" s="37" t="n">
        <v>1</v>
      </c>
      <c r="J539" s="35" t="str">
        <f aca="false">INDEX(Lookups_Metadata!$E$4:$E$10, MATCH(I539, Lookups_Metadata!$D$4:$D$10, 0))</f>
        <v>Monday</v>
      </c>
      <c r="K539" s="35" t="str">
        <f aca="false">IF(H539=TRUE(), "Holiday", IF(OR(I539=0, I539=6), "Weekend", "Weekday"))</f>
        <v>Weekday</v>
      </c>
      <c r="L539" s="35" t="str">
        <f aca="false">IF(AND(K539="Weekday", OR(AND(G539&gt;=7, G539&lt;=9), AND(G539&gt;=17, G539&lt;=19))), "Peak Commute", "Off-Peak")</f>
        <v>Off-Peak</v>
      </c>
      <c r="M539" s="37" t="n">
        <v>1</v>
      </c>
      <c r="N539" s="35" t="str">
        <f aca="false">VLOOKUP(M539, Lookups_Metadata!$G$4:$H$7, 2, FALSE())</f>
        <v>Clear / Few Clouds</v>
      </c>
      <c r="O539" s="40" t="n">
        <v>0.1</v>
      </c>
      <c r="P539" s="40" t="n">
        <v>0.1364</v>
      </c>
      <c r="Q539" s="40" t="n">
        <f aca="false">IF(OR(P539="", ISBLANK(P539)), ROUND(0.9367*O539+0.0175, 4), P539)</f>
        <v>0.1364</v>
      </c>
      <c r="R539" s="35" t="str">
        <f aca="false">IF(OR(P539="", ISBLANK(P539)), "Imputed (Regression/Trend)", "Original")</f>
        <v>Original</v>
      </c>
      <c r="S539" s="40" t="n">
        <v>0.42</v>
      </c>
      <c r="T539" s="40" t="n">
        <v>0</v>
      </c>
      <c r="U539" s="41" t="n">
        <v>6</v>
      </c>
      <c r="V539" s="41" t="n">
        <v>34</v>
      </c>
      <c r="W539" s="41" t="n">
        <f aca="false">U539+V539</f>
        <v>40</v>
      </c>
      <c r="X539" s="42" t="n">
        <f aca="false">U539/W539</f>
        <v>0.15</v>
      </c>
      <c r="Y539" s="42" t="n">
        <f aca="false">V539/W539</f>
        <v>0.85</v>
      </c>
      <c r="Z539" s="35" t="str">
        <f aca="false">IF(W539&gt;=150, "High Demand", IF(W539&gt;=50, "Moderate Demand", "Low Demand"))</f>
        <v>Low Demand</v>
      </c>
      <c r="AA539" s="39" t="str">
        <f aca="false">TEXT(G539, "00") &amp; ":00"</f>
        <v>10:00</v>
      </c>
      <c r="AB539" s="37" t="n">
        <f aca="false">YEAR(B539)</f>
        <v>2011</v>
      </c>
      <c r="AC539" s="35" t="str">
        <f aca="false">TEXT(B539, "mmmm")</f>
        <v>January</v>
      </c>
      <c r="AD539" s="37" t="n">
        <f aca="false">LEN(TEXT(B539, "YYYY-MM-DD"))</f>
        <v>10</v>
      </c>
      <c r="AE539" s="39" t="str">
        <f aca="false">LEFT(TEXT(B539, "YYYY-MM-DD"), 4)</f>
        <v>2011</v>
      </c>
      <c r="AF539" s="39" t="str">
        <f aca="false">RIGHT(TEXT(B539, "YYYY-MM-DD"), 2)</f>
        <v>24</v>
      </c>
    </row>
    <row r="540" customFormat="false" ht="15" hidden="false" customHeight="false" outlineLevel="0" collapsed="false">
      <c r="A540" s="43" t="n">
        <v>536</v>
      </c>
      <c r="B540" s="44" t="s">
        <v>100</v>
      </c>
      <c r="C540" s="43" t="n">
        <v>1</v>
      </c>
      <c r="D540" s="33" t="str">
        <f aca="false">VLOOKUP(C540, Lookups_Metadata!$A$4:$B$7, 2, FALSE())</f>
        <v>Spring</v>
      </c>
      <c r="E540" s="43" t="n">
        <v>0</v>
      </c>
      <c r="F540" s="43" t="n">
        <v>1</v>
      </c>
      <c r="G540" s="43" t="n">
        <v>11</v>
      </c>
      <c r="H540" s="45" t="b">
        <f aca="false">FALSE()</f>
        <v>0</v>
      </c>
      <c r="I540" s="43" t="n">
        <v>1</v>
      </c>
      <c r="J540" s="33" t="str">
        <f aca="false">INDEX(Lookups_Metadata!$E$4:$E$10, MATCH(I540, Lookups_Metadata!$D$4:$D$10, 0))</f>
        <v>Monday</v>
      </c>
      <c r="K540" s="33" t="str">
        <f aca="false">IF(H540=TRUE(), "Holiday", IF(OR(I540=0, I540=6), "Weekend", "Weekday"))</f>
        <v>Weekday</v>
      </c>
      <c r="L540" s="33" t="str">
        <f aca="false">IF(AND(K540="Weekday", OR(AND(G540&gt;=7, G540&lt;=9), AND(G540&gt;=17, G540&lt;=19))), "Peak Commute", "Off-Peak")</f>
        <v>Off-Peak</v>
      </c>
      <c r="M540" s="43" t="n">
        <v>1</v>
      </c>
      <c r="N540" s="33" t="str">
        <f aca="false">VLOOKUP(M540, Lookups_Metadata!$G$4:$H$7, 2, FALSE())</f>
        <v>Clear / Few Clouds</v>
      </c>
      <c r="O540" s="46" t="n">
        <v>0.1</v>
      </c>
      <c r="P540" s="46" t="n">
        <v>0.1212</v>
      </c>
      <c r="Q540" s="46" t="n">
        <f aca="false">IF(OR(P540="", ISBLANK(P540)), ROUND(0.9367*O540+0.0175, 4), P540)</f>
        <v>0.1212</v>
      </c>
      <c r="R540" s="33" t="str">
        <f aca="false">IF(OR(P540="", ISBLANK(P540)), "Imputed (Regression/Trend)", "Original")</f>
        <v>Original</v>
      </c>
      <c r="S540" s="46" t="n">
        <v>0.46</v>
      </c>
      <c r="T540" s="46" t="n">
        <v>0.1343</v>
      </c>
      <c r="U540" s="18" t="n">
        <v>3</v>
      </c>
      <c r="V540" s="18" t="n">
        <v>43</v>
      </c>
      <c r="W540" s="18" t="n">
        <f aca="false">U540+V540</f>
        <v>46</v>
      </c>
      <c r="X540" s="47" t="n">
        <f aca="false">U540/W540</f>
        <v>0.0652173913043478</v>
      </c>
      <c r="Y540" s="47" t="n">
        <f aca="false">V540/W540</f>
        <v>0.934782608695652</v>
      </c>
      <c r="Z540" s="33" t="str">
        <f aca="false">IF(W540&gt;=150, "High Demand", IF(W540&gt;=50, "Moderate Demand", "Low Demand"))</f>
        <v>Low Demand</v>
      </c>
      <c r="AA540" s="45" t="str">
        <f aca="false">TEXT(G540, "00") &amp; ":00"</f>
        <v>11:00</v>
      </c>
      <c r="AB540" s="43" t="n">
        <f aca="false">YEAR(B540)</f>
        <v>2011</v>
      </c>
      <c r="AC540" s="33" t="str">
        <f aca="false">TEXT(B540, "mmmm")</f>
        <v>January</v>
      </c>
      <c r="AD540" s="43" t="n">
        <f aca="false">LEN(TEXT(B540, "YYYY-MM-DD"))</f>
        <v>10</v>
      </c>
      <c r="AE540" s="45" t="str">
        <f aca="false">LEFT(TEXT(B540, "YYYY-MM-DD"), 4)</f>
        <v>2011</v>
      </c>
      <c r="AF540" s="45" t="str">
        <f aca="false">RIGHT(TEXT(B540, "YYYY-MM-DD"), 2)</f>
        <v>24</v>
      </c>
    </row>
    <row r="541" customFormat="false" ht="15" hidden="false" customHeight="false" outlineLevel="0" collapsed="false">
      <c r="A541" s="37" t="n">
        <v>537</v>
      </c>
      <c r="B541" s="38" t="s">
        <v>100</v>
      </c>
      <c r="C541" s="37" t="n">
        <v>1</v>
      </c>
      <c r="D541" s="35" t="str">
        <f aca="false">VLOOKUP(C541, Lookups_Metadata!$A$4:$B$7, 2, FALSE())</f>
        <v>Spring</v>
      </c>
      <c r="E541" s="37" t="n">
        <v>0</v>
      </c>
      <c r="F541" s="37" t="n">
        <v>1</v>
      </c>
      <c r="G541" s="37" t="n">
        <v>12</v>
      </c>
      <c r="H541" s="39" t="b">
        <f aca="false">FALSE()</f>
        <v>0</v>
      </c>
      <c r="I541" s="37" t="n">
        <v>1</v>
      </c>
      <c r="J541" s="35" t="str">
        <f aca="false">INDEX(Lookups_Metadata!$E$4:$E$10, MATCH(I541, Lookups_Metadata!$D$4:$D$10, 0))</f>
        <v>Monday</v>
      </c>
      <c r="K541" s="35" t="str">
        <f aca="false">IF(H541=TRUE(), "Holiday", IF(OR(I541=0, I541=6), "Weekend", "Weekday"))</f>
        <v>Weekday</v>
      </c>
      <c r="L541" s="35" t="str">
        <f aca="false">IF(AND(K541="Weekday", OR(AND(G541&gt;=7, G541&lt;=9), AND(G541&gt;=17, G541&lt;=19))), "Peak Commute", "Off-Peak")</f>
        <v>Off-Peak</v>
      </c>
      <c r="M541" s="37" t="n">
        <v>2</v>
      </c>
      <c r="N541" s="35" t="str">
        <f aca="false">VLOOKUP(M541, Lookups_Metadata!$G$4:$H$7, 2, FALSE())</f>
        <v>Mist / Cloudy</v>
      </c>
      <c r="O541" s="40" t="n">
        <v>0.12</v>
      </c>
      <c r="P541" s="40" t="n">
        <v>0.1364</v>
      </c>
      <c r="Q541" s="40" t="n">
        <f aca="false">IF(OR(P541="", ISBLANK(P541)), ROUND(0.9367*O541+0.0175, 4), P541)</f>
        <v>0.1364</v>
      </c>
      <c r="R541" s="35" t="str">
        <f aca="false">IF(OR(P541="", ISBLANK(P541)), "Imputed (Regression/Trend)", "Original")</f>
        <v>Original</v>
      </c>
      <c r="S541" s="40" t="n">
        <v>0.42</v>
      </c>
      <c r="T541" s="40" t="n">
        <v>0.194</v>
      </c>
      <c r="U541" s="41" t="n">
        <v>11</v>
      </c>
      <c r="V541" s="41" t="n">
        <v>52</v>
      </c>
      <c r="W541" s="41" t="n">
        <f aca="false">U541+V541</f>
        <v>63</v>
      </c>
      <c r="X541" s="42" t="n">
        <f aca="false">U541/W541</f>
        <v>0.174603174603175</v>
      </c>
      <c r="Y541" s="42" t="n">
        <f aca="false">V541/W541</f>
        <v>0.825396825396825</v>
      </c>
      <c r="Z541" s="35" t="str">
        <f aca="false">IF(W541&gt;=150, "High Demand", IF(W541&gt;=50, "Moderate Demand", "Low Demand"))</f>
        <v>Moderate Demand</v>
      </c>
      <c r="AA541" s="39" t="str">
        <f aca="false">TEXT(G541, "00") &amp; ":00"</f>
        <v>12:00</v>
      </c>
      <c r="AB541" s="37" t="n">
        <f aca="false">YEAR(B541)</f>
        <v>2011</v>
      </c>
      <c r="AC541" s="35" t="str">
        <f aca="false">TEXT(B541, "mmmm")</f>
        <v>January</v>
      </c>
      <c r="AD541" s="37" t="n">
        <f aca="false">LEN(TEXT(B541, "YYYY-MM-DD"))</f>
        <v>10</v>
      </c>
      <c r="AE541" s="39" t="str">
        <f aca="false">LEFT(TEXT(B541, "YYYY-MM-DD"), 4)</f>
        <v>2011</v>
      </c>
      <c r="AF541" s="39" t="str">
        <f aca="false">RIGHT(TEXT(B541, "YYYY-MM-DD"), 2)</f>
        <v>24</v>
      </c>
    </row>
    <row r="542" customFormat="false" ht="15" hidden="false" customHeight="false" outlineLevel="0" collapsed="false">
      <c r="A542" s="43" t="n">
        <v>538</v>
      </c>
      <c r="B542" s="44" t="s">
        <v>100</v>
      </c>
      <c r="C542" s="43" t="n">
        <v>1</v>
      </c>
      <c r="D542" s="33" t="str">
        <f aca="false">VLOOKUP(C542, Lookups_Metadata!$A$4:$B$7, 2, FALSE())</f>
        <v>Spring</v>
      </c>
      <c r="E542" s="43" t="n">
        <v>0</v>
      </c>
      <c r="F542" s="43" t="n">
        <v>1</v>
      </c>
      <c r="G542" s="43" t="n">
        <v>13</v>
      </c>
      <c r="H542" s="45" t="b">
        <f aca="false">FALSE()</f>
        <v>0</v>
      </c>
      <c r="I542" s="43" t="n">
        <v>1</v>
      </c>
      <c r="J542" s="33" t="str">
        <f aca="false">INDEX(Lookups_Metadata!$E$4:$E$10, MATCH(I542, Lookups_Metadata!$D$4:$D$10, 0))</f>
        <v>Monday</v>
      </c>
      <c r="K542" s="33" t="str">
        <f aca="false">IF(H542=TRUE(), "Holiday", IF(OR(I542=0, I542=6), "Weekend", "Weekday"))</f>
        <v>Weekday</v>
      </c>
      <c r="L542" s="33" t="str">
        <f aca="false">IF(AND(K542="Weekday", OR(AND(G542&gt;=7, G542&lt;=9), AND(G542&gt;=17, G542&lt;=19))), "Peak Commute", "Off-Peak")</f>
        <v>Off-Peak</v>
      </c>
      <c r="M542" s="43" t="n">
        <v>2</v>
      </c>
      <c r="N542" s="33" t="str">
        <f aca="false">VLOOKUP(M542, Lookups_Metadata!$G$4:$H$7, 2, FALSE())</f>
        <v>Mist / Cloudy</v>
      </c>
      <c r="O542" s="46" t="n">
        <v>0.14</v>
      </c>
      <c r="P542" s="46" t="n">
        <v>0.1364</v>
      </c>
      <c r="Q542" s="46" t="n">
        <f aca="false">IF(OR(P542="", ISBLANK(P542)), ROUND(0.9367*O542+0.0175, 4), P542)</f>
        <v>0.1364</v>
      </c>
      <c r="R542" s="33" t="str">
        <f aca="false">IF(OR(P542="", ISBLANK(P542)), "Imputed (Regression/Trend)", "Original")</f>
        <v>Original</v>
      </c>
      <c r="S542" s="46" t="n">
        <v>0.43</v>
      </c>
      <c r="T542" s="46" t="n">
        <v>0.2239</v>
      </c>
      <c r="U542" s="18" t="n">
        <v>6</v>
      </c>
      <c r="V542" s="18" t="n">
        <v>54</v>
      </c>
      <c r="W542" s="18" t="n">
        <f aca="false">U542+V542</f>
        <v>60</v>
      </c>
      <c r="X542" s="47" t="n">
        <f aca="false">U542/W542</f>
        <v>0.1</v>
      </c>
      <c r="Y542" s="47" t="n">
        <f aca="false">V542/W542</f>
        <v>0.9</v>
      </c>
      <c r="Z542" s="33" t="str">
        <f aca="false">IF(W542&gt;=150, "High Demand", IF(W542&gt;=50, "Moderate Demand", "Low Demand"))</f>
        <v>Moderate Demand</v>
      </c>
      <c r="AA542" s="45" t="str">
        <f aca="false">TEXT(G542, "00") &amp; ":00"</f>
        <v>13:00</v>
      </c>
      <c r="AB542" s="43" t="n">
        <f aca="false">YEAR(B542)</f>
        <v>2011</v>
      </c>
      <c r="AC542" s="33" t="str">
        <f aca="false">TEXT(B542, "mmmm")</f>
        <v>January</v>
      </c>
      <c r="AD542" s="43" t="n">
        <f aca="false">LEN(TEXT(B542, "YYYY-MM-DD"))</f>
        <v>10</v>
      </c>
      <c r="AE542" s="45" t="str">
        <f aca="false">LEFT(TEXT(B542, "YYYY-MM-DD"), 4)</f>
        <v>2011</v>
      </c>
      <c r="AF542" s="45" t="str">
        <f aca="false">RIGHT(TEXT(B542, "YYYY-MM-DD"), 2)</f>
        <v>24</v>
      </c>
    </row>
    <row r="543" customFormat="false" ht="15" hidden="false" customHeight="false" outlineLevel="0" collapsed="false">
      <c r="A543" s="37" t="n">
        <v>539</v>
      </c>
      <c r="B543" s="38" t="s">
        <v>100</v>
      </c>
      <c r="C543" s="37" t="n">
        <v>1</v>
      </c>
      <c r="D543" s="35" t="str">
        <f aca="false">VLOOKUP(C543, Lookups_Metadata!$A$4:$B$7, 2, FALSE())</f>
        <v>Spring</v>
      </c>
      <c r="E543" s="37" t="n">
        <v>0</v>
      </c>
      <c r="F543" s="37" t="n">
        <v>1</v>
      </c>
      <c r="G543" s="37" t="n">
        <v>14</v>
      </c>
      <c r="H543" s="39" t="b">
        <f aca="false">FALSE()</f>
        <v>0</v>
      </c>
      <c r="I543" s="37" t="n">
        <v>1</v>
      </c>
      <c r="J543" s="35" t="str">
        <f aca="false">INDEX(Lookups_Metadata!$E$4:$E$10, MATCH(I543, Lookups_Metadata!$D$4:$D$10, 0))</f>
        <v>Monday</v>
      </c>
      <c r="K543" s="35" t="str">
        <f aca="false">IF(H543=TRUE(), "Holiday", IF(OR(I543=0, I543=6), "Weekend", "Weekday"))</f>
        <v>Weekday</v>
      </c>
      <c r="L543" s="35" t="str">
        <f aca="false">IF(AND(K543="Weekday", OR(AND(G543&gt;=7, G543&lt;=9), AND(G543&gt;=17, G543&lt;=19))), "Peak Commute", "Off-Peak")</f>
        <v>Off-Peak</v>
      </c>
      <c r="M543" s="37" t="n">
        <v>2</v>
      </c>
      <c r="N543" s="35" t="str">
        <f aca="false">VLOOKUP(M543, Lookups_Metadata!$G$4:$H$7, 2, FALSE())</f>
        <v>Mist / Cloudy</v>
      </c>
      <c r="O543" s="40" t="n">
        <v>0.14</v>
      </c>
      <c r="P543" s="40" t="n">
        <v>0.1364</v>
      </c>
      <c r="Q543" s="40" t="n">
        <f aca="false">IF(OR(P543="", ISBLANK(P543)), ROUND(0.9367*O543+0.0175, 4), P543)</f>
        <v>0.1364</v>
      </c>
      <c r="R543" s="35" t="str">
        <f aca="false">IF(OR(P543="", ISBLANK(P543)), "Imputed (Regression/Trend)", "Original")</f>
        <v>Original</v>
      </c>
      <c r="S543" s="40" t="n">
        <v>0.46</v>
      </c>
      <c r="T543" s="40" t="n">
        <v>0.2239</v>
      </c>
      <c r="U543" s="41" t="n">
        <v>2</v>
      </c>
      <c r="V543" s="41" t="n">
        <v>43</v>
      </c>
      <c r="W543" s="41" t="n">
        <f aca="false">U543+V543</f>
        <v>45</v>
      </c>
      <c r="X543" s="42" t="n">
        <f aca="false">U543/W543</f>
        <v>0.0444444444444444</v>
      </c>
      <c r="Y543" s="42" t="n">
        <f aca="false">V543/W543</f>
        <v>0.955555555555556</v>
      </c>
      <c r="Z543" s="35" t="str">
        <f aca="false">IF(W543&gt;=150, "High Demand", IF(W543&gt;=50, "Moderate Demand", "Low Demand"))</f>
        <v>Low Demand</v>
      </c>
      <c r="AA543" s="39" t="str">
        <f aca="false">TEXT(G543, "00") &amp; ":00"</f>
        <v>14:00</v>
      </c>
      <c r="AB543" s="37" t="n">
        <f aca="false">YEAR(B543)</f>
        <v>2011</v>
      </c>
      <c r="AC543" s="35" t="str">
        <f aca="false">TEXT(B543, "mmmm")</f>
        <v>January</v>
      </c>
      <c r="AD543" s="37" t="n">
        <f aca="false">LEN(TEXT(B543, "YYYY-MM-DD"))</f>
        <v>10</v>
      </c>
      <c r="AE543" s="39" t="str">
        <f aca="false">LEFT(TEXT(B543, "YYYY-MM-DD"), 4)</f>
        <v>2011</v>
      </c>
      <c r="AF543" s="39" t="str">
        <f aca="false">RIGHT(TEXT(B543, "YYYY-MM-DD"), 2)</f>
        <v>24</v>
      </c>
    </row>
    <row r="544" customFormat="false" ht="15" hidden="false" customHeight="false" outlineLevel="0" collapsed="false">
      <c r="A544" s="43" t="n">
        <v>540</v>
      </c>
      <c r="B544" s="44" t="s">
        <v>100</v>
      </c>
      <c r="C544" s="43" t="n">
        <v>1</v>
      </c>
      <c r="D544" s="33" t="str">
        <f aca="false">VLOOKUP(C544, Lookups_Metadata!$A$4:$B$7, 2, FALSE())</f>
        <v>Spring</v>
      </c>
      <c r="E544" s="43" t="n">
        <v>0</v>
      </c>
      <c r="F544" s="43" t="n">
        <v>1</v>
      </c>
      <c r="G544" s="43" t="n">
        <v>15</v>
      </c>
      <c r="H544" s="45" t="b">
        <f aca="false">FALSE()</f>
        <v>0</v>
      </c>
      <c r="I544" s="43" t="n">
        <v>1</v>
      </c>
      <c r="J544" s="33" t="str">
        <f aca="false">INDEX(Lookups_Metadata!$E$4:$E$10, MATCH(I544, Lookups_Metadata!$D$4:$D$10, 0))</f>
        <v>Monday</v>
      </c>
      <c r="K544" s="33" t="str">
        <f aca="false">IF(H544=TRUE(), "Holiday", IF(OR(I544=0, I544=6), "Weekend", "Weekday"))</f>
        <v>Weekday</v>
      </c>
      <c r="L544" s="33" t="str">
        <f aca="false">IF(AND(K544="Weekday", OR(AND(G544&gt;=7, G544&lt;=9), AND(G544&gt;=17, G544&lt;=19))), "Peak Commute", "Off-Peak")</f>
        <v>Off-Peak</v>
      </c>
      <c r="M544" s="43" t="n">
        <v>1</v>
      </c>
      <c r="N544" s="33" t="str">
        <f aca="false">VLOOKUP(M544, Lookups_Metadata!$G$4:$H$7, 2, FALSE())</f>
        <v>Clear / Few Clouds</v>
      </c>
      <c r="O544" s="46" t="n">
        <v>0.16</v>
      </c>
      <c r="P544" s="46" t="n">
        <v>0.1667</v>
      </c>
      <c r="Q544" s="46" t="n">
        <f aca="false">IF(OR(P544="", ISBLANK(P544)), ROUND(0.9367*O544+0.0175, 4), P544)</f>
        <v>0.1667</v>
      </c>
      <c r="R544" s="33" t="str">
        <f aca="false">IF(OR(P544="", ISBLANK(P544)), "Imputed (Regression/Trend)", "Original")</f>
        <v>Original</v>
      </c>
      <c r="S544" s="46" t="n">
        <v>0.4</v>
      </c>
      <c r="T544" s="46" t="n">
        <v>0.1642</v>
      </c>
      <c r="U544" s="18" t="n">
        <v>7</v>
      </c>
      <c r="V544" s="18" t="n">
        <v>50</v>
      </c>
      <c r="W544" s="18" t="n">
        <f aca="false">U544+V544</f>
        <v>57</v>
      </c>
      <c r="X544" s="47" t="n">
        <f aca="false">U544/W544</f>
        <v>0.12280701754386</v>
      </c>
      <c r="Y544" s="47" t="n">
        <f aca="false">V544/W544</f>
        <v>0.87719298245614</v>
      </c>
      <c r="Z544" s="33" t="str">
        <f aca="false">IF(W544&gt;=150, "High Demand", IF(W544&gt;=50, "Moderate Demand", "Low Demand"))</f>
        <v>Moderate Demand</v>
      </c>
      <c r="AA544" s="45" t="str">
        <f aca="false">TEXT(G544, "00") &amp; ":00"</f>
        <v>15:00</v>
      </c>
      <c r="AB544" s="43" t="n">
        <f aca="false">YEAR(B544)</f>
        <v>2011</v>
      </c>
      <c r="AC544" s="33" t="str">
        <f aca="false">TEXT(B544, "mmmm")</f>
        <v>January</v>
      </c>
      <c r="AD544" s="43" t="n">
        <f aca="false">LEN(TEXT(B544, "YYYY-MM-DD"))</f>
        <v>10</v>
      </c>
      <c r="AE544" s="45" t="str">
        <f aca="false">LEFT(TEXT(B544, "YYYY-MM-DD"), 4)</f>
        <v>2011</v>
      </c>
      <c r="AF544" s="45" t="str">
        <f aca="false">RIGHT(TEXT(B544, "YYYY-MM-DD"), 2)</f>
        <v>24</v>
      </c>
    </row>
    <row r="545" customFormat="false" ht="15" hidden="false" customHeight="false" outlineLevel="0" collapsed="false">
      <c r="A545" s="37" t="n">
        <v>541</v>
      </c>
      <c r="B545" s="38" t="s">
        <v>100</v>
      </c>
      <c r="C545" s="37" t="n">
        <v>1</v>
      </c>
      <c r="D545" s="35" t="str">
        <f aca="false">VLOOKUP(C545, Lookups_Metadata!$A$4:$B$7, 2, FALSE())</f>
        <v>Spring</v>
      </c>
      <c r="E545" s="37" t="n">
        <v>0</v>
      </c>
      <c r="F545" s="37" t="n">
        <v>1</v>
      </c>
      <c r="G545" s="37" t="n">
        <v>16</v>
      </c>
      <c r="H545" s="39" t="b">
        <f aca="false">FALSE()</f>
        <v>0</v>
      </c>
      <c r="I545" s="37" t="n">
        <v>1</v>
      </c>
      <c r="J545" s="35" t="str">
        <f aca="false">INDEX(Lookups_Metadata!$E$4:$E$10, MATCH(I545, Lookups_Metadata!$D$4:$D$10, 0))</f>
        <v>Monday</v>
      </c>
      <c r="K545" s="35" t="str">
        <f aca="false">IF(H545=TRUE(), "Holiday", IF(OR(I545=0, I545=6), "Weekend", "Weekday"))</f>
        <v>Weekday</v>
      </c>
      <c r="L545" s="35" t="str">
        <f aca="false">IF(AND(K545="Weekday", OR(AND(G545&gt;=7, G545&lt;=9), AND(G545&gt;=17, G545&lt;=19))), "Peak Commute", "Off-Peak")</f>
        <v>Off-Peak</v>
      </c>
      <c r="M545" s="37" t="n">
        <v>1</v>
      </c>
      <c r="N545" s="35" t="str">
        <f aca="false">VLOOKUP(M545, Lookups_Metadata!$G$4:$H$7, 2, FALSE())</f>
        <v>Clear / Few Clouds</v>
      </c>
      <c r="O545" s="40" t="n">
        <v>0.16</v>
      </c>
      <c r="P545" s="40" t="n">
        <v>0.1515</v>
      </c>
      <c r="Q545" s="40" t="n">
        <f aca="false">IF(OR(P545="", ISBLANK(P545)), ROUND(0.9367*O545+0.0175, 4), P545)</f>
        <v>0.1515</v>
      </c>
      <c r="R545" s="35" t="str">
        <f aca="false">IF(OR(P545="", ISBLANK(P545)), "Imputed (Regression/Trend)", "Original")</f>
        <v>Original</v>
      </c>
      <c r="S545" s="40" t="n">
        <v>0.47</v>
      </c>
      <c r="T545" s="40" t="n">
        <v>0.2537</v>
      </c>
      <c r="U545" s="41" t="n">
        <v>4</v>
      </c>
      <c r="V545" s="41" t="n">
        <v>66</v>
      </c>
      <c r="W545" s="41" t="n">
        <f aca="false">U545+V545</f>
        <v>70</v>
      </c>
      <c r="X545" s="42" t="n">
        <f aca="false">U545/W545</f>
        <v>0.0571428571428571</v>
      </c>
      <c r="Y545" s="42" t="n">
        <f aca="false">V545/W545</f>
        <v>0.942857142857143</v>
      </c>
      <c r="Z545" s="35" t="str">
        <f aca="false">IF(W545&gt;=150, "High Demand", IF(W545&gt;=50, "Moderate Demand", "Low Demand"))</f>
        <v>Moderate Demand</v>
      </c>
      <c r="AA545" s="39" t="str">
        <f aca="false">TEXT(G545, "00") &amp; ":00"</f>
        <v>16:00</v>
      </c>
      <c r="AB545" s="37" t="n">
        <f aca="false">YEAR(B545)</f>
        <v>2011</v>
      </c>
      <c r="AC545" s="35" t="str">
        <f aca="false">TEXT(B545, "mmmm")</f>
        <v>January</v>
      </c>
      <c r="AD545" s="37" t="n">
        <f aca="false">LEN(TEXT(B545, "YYYY-MM-DD"))</f>
        <v>10</v>
      </c>
      <c r="AE545" s="39" t="str">
        <f aca="false">LEFT(TEXT(B545, "YYYY-MM-DD"), 4)</f>
        <v>2011</v>
      </c>
      <c r="AF545" s="39" t="str">
        <f aca="false">RIGHT(TEXT(B545, "YYYY-MM-DD"), 2)</f>
        <v>24</v>
      </c>
    </row>
    <row r="546" customFormat="false" ht="15" hidden="false" customHeight="false" outlineLevel="0" collapsed="false">
      <c r="A546" s="43" t="n">
        <v>542</v>
      </c>
      <c r="B546" s="44" t="s">
        <v>100</v>
      </c>
      <c r="C546" s="43" t="n">
        <v>1</v>
      </c>
      <c r="D546" s="33" t="str">
        <f aca="false">VLOOKUP(C546, Lookups_Metadata!$A$4:$B$7, 2, FALSE())</f>
        <v>Spring</v>
      </c>
      <c r="E546" s="43" t="n">
        <v>0</v>
      </c>
      <c r="F546" s="43" t="n">
        <v>1</v>
      </c>
      <c r="G546" s="43" t="n">
        <v>17</v>
      </c>
      <c r="H546" s="45" t="b">
        <f aca="false">FALSE()</f>
        <v>0</v>
      </c>
      <c r="I546" s="43" t="n">
        <v>1</v>
      </c>
      <c r="J546" s="33" t="str">
        <f aca="false">INDEX(Lookups_Metadata!$E$4:$E$10, MATCH(I546, Lookups_Metadata!$D$4:$D$10, 0))</f>
        <v>Monday</v>
      </c>
      <c r="K546" s="33" t="str">
        <f aca="false">IF(H546=TRUE(), "Holiday", IF(OR(I546=0, I546=6), "Weekend", "Weekday"))</f>
        <v>Weekday</v>
      </c>
      <c r="L546" s="33" t="str">
        <f aca="false">IF(AND(K546="Weekday", OR(AND(G546&gt;=7, G546&lt;=9), AND(G546&gt;=17, G546&lt;=19))), "Peak Commute", "Off-Peak")</f>
        <v>Peak Commute</v>
      </c>
      <c r="M546" s="43" t="n">
        <v>1</v>
      </c>
      <c r="N546" s="33" t="str">
        <f aca="false">VLOOKUP(M546, Lookups_Metadata!$G$4:$H$7, 2, FALSE())</f>
        <v>Clear / Few Clouds</v>
      </c>
      <c r="O546" s="46" t="n">
        <v>0.14</v>
      </c>
      <c r="P546" s="46" t="n">
        <v>0.1212</v>
      </c>
      <c r="Q546" s="46" t="n">
        <f aca="false">IF(OR(P546="", ISBLANK(P546)), ROUND(0.9367*O546+0.0175, 4), P546)</f>
        <v>0.1212</v>
      </c>
      <c r="R546" s="33" t="str">
        <f aca="false">IF(OR(P546="", ISBLANK(P546)), "Imputed (Regression/Trend)", "Original")</f>
        <v>Original</v>
      </c>
      <c r="S546" s="46" t="n">
        <v>0.5</v>
      </c>
      <c r="T546" s="46" t="n">
        <v>0.2537</v>
      </c>
      <c r="U546" s="18" t="n">
        <v>6</v>
      </c>
      <c r="V546" s="18" t="n">
        <v>178</v>
      </c>
      <c r="W546" s="18" t="n">
        <f aca="false">U546+V546</f>
        <v>184</v>
      </c>
      <c r="X546" s="47" t="n">
        <f aca="false">U546/W546</f>
        <v>0.0326086956521739</v>
      </c>
      <c r="Y546" s="47" t="n">
        <f aca="false">V546/W546</f>
        <v>0.967391304347826</v>
      </c>
      <c r="Z546" s="33" t="str">
        <f aca="false">IF(W546&gt;=150, "High Demand", IF(W546&gt;=50, "Moderate Demand", "Low Demand"))</f>
        <v>High Demand</v>
      </c>
      <c r="AA546" s="45" t="str">
        <f aca="false">TEXT(G546, "00") &amp; ":00"</f>
        <v>17:00</v>
      </c>
      <c r="AB546" s="43" t="n">
        <f aca="false">YEAR(B546)</f>
        <v>2011</v>
      </c>
      <c r="AC546" s="33" t="str">
        <f aca="false">TEXT(B546, "mmmm")</f>
        <v>January</v>
      </c>
      <c r="AD546" s="43" t="n">
        <f aca="false">LEN(TEXT(B546, "YYYY-MM-DD"))</f>
        <v>10</v>
      </c>
      <c r="AE546" s="45" t="str">
        <f aca="false">LEFT(TEXT(B546, "YYYY-MM-DD"), 4)</f>
        <v>2011</v>
      </c>
      <c r="AF546" s="45" t="str">
        <f aca="false">RIGHT(TEXT(B546, "YYYY-MM-DD"), 2)</f>
        <v>24</v>
      </c>
    </row>
    <row r="547" customFormat="false" ht="15" hidden="false" customHeight="false" outlineLevel="0" collapsed="false">
      <c r="A547" s="37" t="n">
        <v>543</v>
      </c>
      <c r="B547" s="38" t="s">
        <v>100</v>
      </c>
      <c r="C547" s="37" t="n">
        <v>1</v>
      </c>
      <c r="D547" s="35" t="str">
        <f aca="false">VLOOKUP(C547, Lookups_Metadata!$A$4:$B$7, 2, FALSE())</f>
        <v>Spring</v>
      </c>
      <c r="E547" s="37" t="n">
        <v>0</v>
      </c>
      <c r="F547" s="37" t="n">
        <v>1</v>
      </c>
      <c r="G547" s="37" t="n">
        <v>18</v>
      </c>
      <c r="H547" s="39" t="b">
        <f aca="false">FALSE()</f>
        <v>0</v>
      </c>
      <c r="I547" s="37" t="n">
        <v>1</v>
      </c>
      <c r="J547" s="35" t="str">
        <f aca="false">INDEX(Lookups_Metadata!$E$4:$E$10, MATCH(I547, Lookups_Metadata!$D$4:$D$10, 0))</f>
        <v>Monday</v>
      </c>
      <c r="K547" s="35" t="str">
        <f aca="false">IF(H547=TRUE(), "Holiday", IF(OR(I547=0, I547=6), "Weekend", "Weekday"))</f>
        <v>Weekday</v>
      </c>
      <c r="L547" s="35" t="str">
        <f aca="false">IF(AND(K547="Weekday", OR(AND(G547&gt;=7, G547&lt;=9), AND(G547&gt;=17, G547&lt;=19))), "Peak Commute", "Off-Peak")</f>
        <v>Peak Commute</v>
      </c>
      <c r="M547" s="37" t="n">
        <v>1</v>
      </c>
      <c r="N547" s="35" t="str">
        <f aca="false">VLOOKUP(M547, Lookups_Metadata!$G$4:$H$7, 2, FALSE())</f>
        <v>Clear / Few Clouds</v>
      </c>
      <c r="O547" s="40" t="n">
        <v>0.14</v>
      </c>
      <c r="P547" s="40" t="n">
        <v>0.1364</v>
      </c>
      <c r="Q547" s="40" t="n">
        <f aca="false">IF(OR(P547="", ISBLANK(P547)), ROUND(0.9367*O547+0.0175, 4), P547)</f>
        <v>0.1364</v>
      </c>
      <c r="R547" s="35" t="str">
        <f aca="false">IF(OR(P547="", ISBLANK(P547)), "Imputed (Regression/Trend)", "Original")</f>
        <v>Original</v>
      </c>
      <c r="S547" s="40" t="n">
        <v>0.59</v>
      </c>
      <c r="T547" s="40" t="n">
        <v>0.194</v>
      </c>
      <c r="U547" s="41" t="n">
        <v>8</v>
      </c>
      <c r="V547" s="41" t="n">
        <v>145</v>
      </c>
      <c r="W547" s="41" t="n">
        <f aca="false">U547+V547</f>
        <v>153</v>
      </c>
      <c r="X547" s="42" t="n">
        <f aca="false">U547/W547</f>
        <v>0.0522875816993464</v>
      </c>
      <c r="Y547" s="42" t="n">
        <f aca="false">V547/W547</f>
        <v>0.947712418300654</v>
      </c>
      <c r="Z547" s="35" t="str">
        <f aca="false">IF(W547&gt;=150, "High Demand", IF(W547&gt;=50, "Moderate Demand", "Low Demand"))</f>
        <v>High Demand</v>
      </c>
      <c r="AA547" s="39" t="str">
        <f aca="false">TEXT(G547, "00") &amp; ":00"</f>
        <v>18:00</v>
      </c>
      <c r="AB547" s="37" t="n">
        <f aca="false">YEAR(B547)</f>
        <v>2011</v>
      </c>
      <c r="AC547" s="35" t="str">
        <f aca="false">TEXT(B547, "mmmm")</f>
        <v>January</v>
      </c>
      <c r="AD547" s="37" t="n">
        <f aca="false">LEN(TEXT(B547, "YYYY-MM-DD"))</f>
        <v>10</v>
      </c>
      <c r="AE547" s="39" t="str">
        <f aca="false">LEFT(TEXT(B547, "YYYY-MM-DD"), 4)</f>
        <v>2011</v>
      </c>
      <c r="AF547" s="39" t="str">
        <f aca="false">RIGHT(TEXT(B547, "YYYY-MM-DD"), 2)</f>
        <v>24</v>
      </c>
    </row>
    <row r="548" customFormat="false" ht="15" hidden="false" customHeight="false" outlineLevel="0" collapsed="false">
      <c r="A548" s="43" t="n">
        <v>544</v>
      </c>
      <c r="B548" s="44" t="s">
        <v>100</v>
      </c>
      <c r="C548" s="43" t="n">
        <v>1</v>
      </c>
      <c r="D548" s="33" t="str">
        <f aca="false">VLOOKUP(C548, Lookups_Metadata!$A$4:$B$7, 2, FALSE())</f>
        <v>Spring</v>
      </c>
      <c r="E548" s="43" t="n">
        <v>0</v>
      </c>
      <c r="F548" s="43" t="n">
        <v>1</v>
      </c>
      <c r="G548" s="43" t="n">
        <v>19</v>
      </c>
      <c r="H548" s="45" t="b">
        <f aca="false">FALSE()</f>
        <v>0</v>
      </c>
      <c r="I548" s="43" t="n">
        <v>1</v>
      </c>
      <c r="J548" s="33" t="str">
        <f aca="false">INDEX(Lookups_Metadata!$E$4:$E$10, MATCH(I548, Lookups_Metadata!$D$4:$D$10, 0))</f>
        <v>Monday</v>
      </c>
      <c r="K548" s="33" t="str">
        <f aca="false">IF(H548=TRUE(), "Holiday", IF(OR(I548=0, I548=6), "Weekend", "Weekday"))</f>
        <v>Weekday</v>
      </c>
      <c r="L548" s="33" t="str">
        <f aca="false">IF(AND(K548="Weekday", OR(AND(G548&gt;=7, G548&lt;=9), AND(G548&gt;=17, G548&lt;=19))), "Peak Commute", "Off-Peak")</f>
        <v>Peak Commute</v>
      </c>
      <c r="M548" s="43" t="n">
        <v>1</v>
      </c>
      <c r="N548" s="33" t="str">
        <f aca="false">VLOOKUP(M548, Lookups_Metadata!$G$4:$H$7, 2, FALSE())</f>
        <v>Clear / Few Clouds</v>
      </c>
      <c r="O548" s="46" t="n">
        <v>0.14</v>
      </c>
      <c r="P548" s="46" t="n">
        <v>0.1515</v>
      </c>
      <c r="Q548" s="46" t="n">
        <f aca="false">IF(OR(P548="", ISBLANK(P548)), ROUND(0.9367*O548+0.0175, 4), P548)</f>
        <v>0.1515</v>
      </c>
      <c r="R548" s="33" t="str">
        <f aca="false">IF(OR(P548="", ISBLANK(P548)), "Imputed (Regression/Trend)", "Original")</f>
        <v>Original</v>
      </c>
      <c r="S548" s="46" t="n">
        <v>0.54</v>
      </c>
      <c r="T548" s="46" t="n">
        <v>0.1642</v>
      </c>
      <c r="U548" s="18" t="n">
        <v>5</v>
      </c>
      <c r="V548" s="18" t="n">
        <v>101</v>
      </c>
      <c r="W548" s="18" t="n">
        <f aca="false">U548+V548</f>
        <v>106</v>
      </c>
      <c r="X548" s="47" t="n">
        <f aca="false">U548/W548</f>
        <v>0.0471698113207547</v>
      </c>
      <c r="Y548" s="47" t="n">
        <f aca="false">V548/W548</f>
        <v>0.952830188679245</v>
      </c>
      <c r="Z548" s="33" t="str">
        <f aca="false">IF(W548&gt;=150, "High Demand", IF(W548&gt;=50, "Moderate Demand", "Low Demand"))</f>
        <v>Moderate Demand</v>
      </c>
      <c r="AA548" s="45" t="str">
        <f aca="false">TEXT(G548, "00") &amp; ":00"</f>
        <v>19:00</v>
      </c>
      <c r="AB548" s="43" t="n">
        <f aca="false">YEAR(B548)</f>
        <v>2011</v>
      </c>
      <c r="AC548" s="33" t="str">
        <f aca="false">TEXT(B548, "mmmm")</f>
        <v>January</v>
      </c>
      <c r="AD548" s="43" t="n">
        <f aca="false">LEN(TEXT(B548, "YYYY-MM-DD"))</f>
        <v>10</v>
      </c>
      <c r="AE548" s="45" t="str">
        <f aca="false">LEFT(TEXT(B548, "YYYY-MM-DD"), 4)</f>
        <v>2011</v>
      </c>
      <c r="AF548" s="45" t="str">
        <f aca="false">RIGHT(TEXT(B548, "YYYY-MM-DD"), 2)</f>
        <v>24</v>
      </c>
    </row>
    <row r="549" customFormat="false" ht="15" hidden="false" customHeight="false" outlineLevel="0" collapsed="false">
      <c r="A549" s="37" t="n">
        <v>545</v>
      </c>
      <c r="B549" s="38" t="s">
        <v>100</v>
      </c>
      <c r="C549" s="37" t="n">
        <v>1</v>
      </c>
      <c r="D549" s="35" t="str">
        <f aca="false">VLOOKUP(C549, Lookups_Metadata!$A$4:$B$7, 2, FALSE())</f>
        <v>Spring</v>
      </c>
      <c r="E549" s="37" t="n">
        <v>0</v>
      </c>
      <c r="F549" s="37" t="n">
        <v>1</v>
      </c>
      <c r="G549" s="37" t="n">
        <v>20</v>
      </c>
      <c r="H549" s="39" t="b">
        <f aca="false">FALSE()</f>
        <v>0</v>
      </c>
      <c r="I549" s="37" t="n">
        <v>1</v>
      </c>
      <c r="J549" s="35" t="str">
        <f aca="false">INDEX(Lookups_Metadata!$E$4:$E$10, MATCH(I549, Lookups_Metadata!$D$4:$D$10, 0))</f>
        <v>Monday</v>
      </c>
      <c r="K549" s="35" t="str">
        <f aca="false">IF(H549=TRUE(), "Holiday", IF(OR(I549=0, I549=6), "Weekend", "Weekday"))</f>
        <v>Weekday</v>
      </c>
      <c r="L549" s="35" t="str">
        <f aca="false">IF(AND(K549="Weekday", OR(AND(G549&gt;=7, G549&lt;=9), AND(G549&gt;=17, G549&lt;=19))), "Peak Commute", "Off-Peak")</f>
        <v>Off-Peak</v>
      </c>
      <c r="M549" s="37" t="n">
        <v>1</v>
      </c>
      <c r="N549" s="35" t="str">
        <f aca="false">VLOOKUP(M549, Lookups_Metadata!$G$4:$H$7, 2, FALSE())</f>
        <v>Clear / Few Clouds</v>
      </c>
      <c r="O549" s="40" t="n">
        <v>0.14</v>
      </c>
      <c r="P549" s="40" t="n">
        <v>0.1364</v>
      </c>
      <c r="Q549" s="40" t="n">
        <f aca="false">IF(OR(P549="", ISBLANK(P549)), ROUND(0.9367*O549+0.0175, 4), P549)</f>
        <v>0.1364</v>
      </c>
      <c r="R549" s="35" t="str">
        <f aca="false">IF(OR(P549="", ISBLANK(P549)), "Imputed (Regression/Trend)", "Original")</f>
        <v>Original</v>
      </c>
      <c r="S549" s="40" t="n">
        <v>0.59</v>
      </c>
      <c r="T549" s="40" t="n">
        <v>0.194</v>
      </c>
      <c r="U549" s="41" t="n">
        <v>1</v>
      </c>
      <c r="V549" s="41" t="n">
        <v>80</v>
      </c>
      <c r="W549" s="41" t="n">
        <f aca="false">U549+V549</f>
        <v>81</v>
      </c>
      <c r="X549" s="42" t="n">
        <f aca="false">U549/W549</f>
        <v>0.0123456790123457</v>
      </c>
      <c r="Y549" s="42" t="n">
        <f aca="false">V549/W549</f>
        <v>0.987654320987654</v>
      </c>
      <c r="Z549" s="35" t="str">
        <f aca="false">IF(W549&gt;=150, "High Demand", IF(W549&gt;=50, "Moderate Demand", "Low Demand"))</f>
        <v>Moderate Demand</v>
      </c>
      <c r="AA549" s="39" t="str">
        <f aca="false">TEXT(G549, "00") &amp; ":00"</f>
        <v>20:00</v>
      </c>
      <c r="AB549" s="37" t="n">
        <f aca="false">YEAR(B549)</f>
        <v>2011</v>
      </c>
      <c r="AC549" s="35" t="str">
        <f aca="false">TEXT(B549, "mmmm")</f>
        <v>January</v>
      </c>
      <c r="AD549" s="37" t="n">
        <f aca="false">LEN(TEXT(B549, "YYYY-MM-DD"))</f>
        <v>10</v>
      </c>
      <c r="AE549" s="39" t="str">
        <f aca="false">LEFT(TEXT(B549, "YYYY-MM-DD"), 4)</f>
        <v>2011</v>
      </c>
      <c r="AF549" s="39" t="str">
        <f aca="false">RIGHT(TEXT(B549, "YYYY-MM-DD"), 2)</f>
        <v>24</v>
      </c>
    </row>
    <row r="550" customFormat="false" ht="15" hidden="false" customHeight="false" outlineLevel="0" collapsed="false">
      <c r="A550" s="43" t="n">
        <v>546</v>
      </c>
      <c r="B550" s="44" t="s">
        <v>100</v>
      </c>
      <c r="C550" s="43" t="n">
        <v>1</v>
      </c>
      <c r="D550" s="33" t="str">
        <f aca="false">VLOOKUP(C550, Lookups_Metadata!$A$4:$B$7, 2, FALSE())</f>
        <v>Spring</v>
      </c>
      <c r="E550" s="43" t="n">
        <v>0</v>
      </c>
      <c r="F550" s="43" t="n">
        <v>1</v>
      </c>
      <c r="G550" s="43" t="n">
        <v>21</v>
      </c>
      <c r="H550" s="45" t="b">
        <f aca="false">FALSE()</f>
        <v>0</v>
      </c>
      <c r="I550" s="43" t="n">
        <v>1</v>
      </c>
      <c r="J550" s="33" t="str">
        <f aca="false">INDEX(Lookups_Metadata!$E$4:$E$10, MATCH(I550, Lookups_Metadata!$D$4:$D$10, 0))</f>
        <v>Monday</v>
      </c>
      <c r="K550" s="33" t="str">
        <f aca="false">IF(H550=TRUE(), "Holiday", IF(OR(I550=0, I550=6), "Weekend", "Weekday"))</f>
        <v>Weekday</v>
      </c>
      <c r="L550" s="33" t="str">
        <f aca="false">IF(AND(K550="Weekday", OR(AND(G550&gt;=7, G550&lt;=9), AND(G550&gt;=17, G550&lt;=19))), "Peak Commute", "Off-Peak")</f>
        <v>Off-Peak</v>
      </c>
      <c r="M550" s="43" t="n">
        <v>1</v>
      </c>
      <c r="N550" s="33" t="str">
        <f aca="false">VLOOKUP(M550, Lookups_Metadata!$G$4:$H$7, 2, FALSE())</f>
        <v>Clear / Few Clouds</v>
      </c>
      <c r="O550" s="46" t="n">
        <v>0.14</v>
      </c>
      <c r="P550" s="46" t="n">
        <v>0.1515</v>
      </c>
      <c r="Q550" s="46" t="n">
        <f aca="false">IF(OR(P550="", ISBLANK(P550)), ROUND(0.9367*O550+0.0175, 4), P550)</f>
        <v>0.1515</v>
      </c>
      <c r="R550" s="33" t="str">
        <f aca="false">IF(OR(P550="", ISBLANK(P550)), "Imputed (Regression/Trend)", "Original")</f>
        <v>Original</v>
      </c>
      <c r="S550" s="46" t="n">
        <v>0.63</v>
      </c>
      <c r="T550" s="46" t="n">
        <v>0.1642</v>
      </c>
      <c r="U550" s="18" t="n">
        <v>6</v>
      </c>
      <c r="V550" s="18" t="n">
        <v>53</v>
      </c>
      <c r="W550" s="18" t="n">
        <f aca="false">U550+V550</f>
        <v>59</v>
      </c>
      <c r="X550" s="47" t="n">
        <f aca="false">U550/W550</f>
        <v>0.101694915254237</v>
      </c>
      <c r="Y550" s="47" t="n">
        <f aca="false">V550/W550</f>
        <v>0.898305084745763</v>
      </c>
      <c r="Z550" s="33" t="str">
        <f aca="false">IF(W550&gt;=150, "High Demand", IF(W550&gt;=50, "Moderate Demand", "Low Demand"))</f>
        <v>Moderate Demand</v>
      </c>
      <c r="AA550" s="45" t="str">
        <f aca="false">TEXT(G550, "00") &amp; ":00"</f>
        <v>21:00</v>
      </c>
      <c r="AB550" s="43" t="n">
        <f aca="false">YEAR(B550)</f>
        <v>2011</v>
      </c>
      <c r="AC550" s="33" t="str">
        <f aca="false">TEXT(B550, "mmmm")</f>
        <v>January</v>
      </c>
      <c r="AD550" s="43" t="n">
        <f aca="false">LEN(TEXT(B550, "YYYY-MM-DD"))</f>
        <v>10</v>
      </c>
      <c r="AE550" s="45" t="str">
        <f aca="false">LEFT(TEXT(B550, "YYYY-MM-DD"), 4)</f>
        <v>2011</v>
      </c>
      <c r="AF550" s="45" t="str">
        <f aca="false">RIGHT(TEXT(B550, "YYYY-MM-DD"), 2)</f>
        <v>24</v>
      </c>
    </row>
    <row r="551" customFormat="false" ht="15" hidden="false" customHeight="false" outlineLevel="0" collapsed="false">
      <c r="A551" s="37" t="n">
        <v>547</v>
      </c>
      <c r="B551" s="38" t="s">
        <v>100</v>
      </c>
      <c r="C551" s="37" t="n">
        <v>1</v>
      </c>
      <c r="D551" s="35" t="str">
        <f aca="false">VLOOKUP(C551, Lookups_Metadata!$A$4:$B$7, 2, FALSE())</f>
        <v>Spring</v>
      </c>
      <c r="E551" s="37" t="n">
        <v>0</v>
      </c>
      <c r="F551" s="37" t="n">
        <v>1</v>
      </c>
      <c r="G551" s="37" t="n">
        <v>22</v>
      </c>
      <c r="H551" s="39" t="b">
        <f aca="false">FALSE()</f>
        <v>0</v>
      </c>
      <c r="I551" s="37" t="n">
        <v>1</v>
      </c>
      <c r="J551" s="35" t="str">
        <f aca="false">INDEX(Lookups_Metadata!$E$4:$E$10, MATCH(I551, Lookups_Metadata!$D$4:$D$10, 0))</f>
        <v>Monday</v>
      </c>
      <c r="K551" s="35" t="str">
        <f aca="false">IF(H551=TRUE(), "Holiday", IF(OR(I551=0, I551=6), "Weekend", "Weekday"))</f>
        <v>Weekday</v>
      </c>
      <c r="L551" s="35" t="str">
        <f aca="false">IF(AND(K551="Weekday", OR(AND(G551&gt;=7, G551&lt;=9), AND(G551&gt;=17, G551&lt;=19))), "Peak Commute", "Off-Peak")</f>
        <v>Off-Peak</v>
      </c>
      <c r="M551" s="37" t="n">
        <v>2</v>
      </c>
      <c r="N551" s="35" t="str">
        <f aca="false">VLOOKUP(M551, Lookups_Metadata!$G$4:$H$7, 2, FALSE())</f>
        <v>Mist / Cloudy</v>
      </c>
      <c r="O551" s="40" t="n">
        <v>0.14</v>
      </c>
      <c r="P551" s="40" t="n">
        <v>0.1364</v>
      </c>
      <c r="Q551" s="40" t="n">
        <f aca="false">IF(OR(P551="", ISBLANK(P551)), ROUND(0.9367*O551+0.0175, 4), P551)</f>
        <v>0.1364</v>
      </c>
      <c r="R551" s="35" t="str">
        <f aca="false">IF(OR(P551="", ISBLANK(P551)), "Imputed (Regression/Trend)", "Original")</f>
        <v>Original</v>
      </c>
      <c r="S551" s="40" t="n">
        <v>0.63</v>
      </c>
      <c r="T551" s="40" t="n">
        <v>0.2239</v>
      </c>
      <c r="U551" s="41" t="n">
        <v>3</v>
      </c>
      <c r="V551" s="41" t="n">
        <v>32</v>
      </c>
      <c r="W551" s="41" t="n">
        <f aca="false">U551+V551</f>
        <v>35</v>
      </c>
      <c r="X551" s="42" t="n">
        <f aca="false">U551/W551</f>
        <v>0.0857142857142857</v>
      </c>
      <c r="Y551" s="42" t="n">
        <f aca="false">V551/W551</f>
        <v>0.914285714285714</v>
      </c>
      <c r="Z551" s="35" t="str">
        <f aca="false">IF(W551&gt;=150, "High Demand", IF(W551&gt;=50, "Moderate Demand", "Low Demand"))</f>
        <v>Low Demand</v>
      </c>
      <c r="AA551" s="39" t="str">
        <f aca="false">TEXT(G551, "00") &amp; ":00"</f>
        <v>22:00</v>
      </c>
      <c r="AB551" s="37" t="n">
        <f aca="false">YEAR(B551)</f>
        <v>2011</v>
      </c>
      <c r="AC551" s="35" t="str">
        <f aca="false">TEXT(B551, "mmmm")</f>
        <v>January</v>
      </c>
      <c r="AD551" s="37" t="n">
        <f aca="false">LEN(TEXT(B551, "YYYY-MM-DD"))</f>
        <v>10</v>
      </c>
      <c r="AE551" s="39" t="str">
        <f aca="false">LEFT(TEXT(B551, "YYYY-MM-DD"), 4)</f>
        <v>2011</v>
      </c>
      <c r="AF551" s="39" t="str">
        <f aca="false">RIGHT(TEXT(B551, "YYYY-MM-DD"), 2)</f>
        <v>24</v>
      </c>
    </row>
    <row r="552" customFormat="false" ht="15" hidden="false" customHeight="false" outlineLevel="0" collapsed="false">
      <c r="A552" s="43" t="n">
        <v>548</v>
      </c>
      <c r="B552" s="44" t="s">
        <v>100</v>
      </c>
      <c r="C552" s="43" t="n">
        <v>1</v>
      </c>
      <c r="D552" s="33" t="str">
        <f aca="false">VLOOKUP(C552, Lookups_Metadata!$A$4:$B$7, 2, FALSE())</f>
        <v>Spring</v>
      </c>
      <c r="E552" s="43" t="n">
        <v>0</v>
      </c>
      <c r="F552" s="43" t="n">
        <v>1</v>
      </c>
      <c r="G552" s="43" t="n">
        <v>23</v>
      </c>
      <c r="H552" s="45" t="b">
        <f aca="false">FALSE()</f>
        <v>0</v>
      </c>
      <c r="I552" s="43" t="n">
        <v>1</v>
      </c>
      <c r="J552" s="33" t="str">
        <f aca="false">INDEX(Lookups_Metadata!$E$4:$E$10, MATCH(I552, Lookups_Metadata!$D$4:$D$10, 0))</f>
        <v>Monday</v>
      </c>
      <c r="K552" s="33" t="str">
        <f aca="false">IF(H552=TRUE(), "Holiday", IF(OR(I552=0, I552=6), "Weekend", "Weekday"))</f>
        <v>Weekday</v>
      </c>
      <c r="L552" s="33" t="str">
        <f aca="false">IF(AND(K552="Weekday", OR(AND(G552&gt;=7, G552&lt;=9), AND(G552&gt;=17, G552&lt;=19))), "Peak Commute", "Off-Peak")</f>
        <v>Off-Peak</v>
      </c>
      <c r="M552" s="43" t="n">
        <v>2</v>
      </c>
      <c r="N552" s="33" t="str">
        <f aca="false">VLOOKUP(M552, Lookups_Metadata!$G$4:$H$7, 2, FALSE())</f>
        <v>Mist / Cloudy</v>
      </c>
      <c r="O552" s="46" t="n">
        <v>0.16</v>
      </c>
      <c r="P552" s="46" t="n">
        <v>0.1515</v>
      </c>
      <c r="Q552" s="46" t="n">
        <f aca="false">IF(OR(P552="", ISBLANK(P552)), ROUND(0.9367*O552+0.0175, 4), P552)</f>
        <v>0.1515</v>
      </c>
      <c r="R552" s="33" t="str">
        <f aca="false">IF(OR(P552="", ISBLANK(P552)), "Imputed (Regression/Trend)", "Original")</f>
        <v>Original</v>
      </c>
      <c r="S552" s="46" t="n">
        <v>0.64</v>
      </c>
      <c r="T552" s="46" t="n">
        <v>0.2537</v>
      </c>
      <c r="U552" s="18" t="n">
        <v>3</v>
      </c>
      <c r="V552" s="18" t="n">
        <v>21</v>
      </c>
      <c r="W552" s="18" t="n">
        <f aca="false">U552+V552</f>
        <v>24</v>
      </c>
      <c r="X552" s="47" t="n">
        <f aca="false">U552/W552</f>
        <v>0.125</v>
      </c>
      <c r="Y552" s="47" t="n">
        <f aca="false">V552/W552</f>
        <v>0.875</v>
      </c>
      <c r="Z552" s="33" t="str">
        <f aca="false">IF(W552&gt;=150, "High Demand", IF(W552&gt;=50, "Moderate Demand", "Low Demand"))</f>
        <v>Low Demand</v>
      </c>
      <c r="AA552" s="45" t="str">
        <f aca="false">TEXT(G552, "00") &amp; ":00"</f>
        <v>23:00</v>
      </c>
      <c r="AB552" s="43" t="n">
        <f aca="false">YEAR(B552)</f>
        <v>2011</v>
      </c>
      <c r="AC552" s="33" t="str">
        <f aca="false">TEXT(B552, "mmmm")</f>
        <v>January</v>
      </c>
      <c r="AD552" s="43" t="n">
        <f aca="false">LEN(TEXT(B552, "YYYY-MM-DD"))</f>
        <v>10</v>
      </c>
      <c r="AE552" s="45" t="str">
        <f aca="false">LEFT(TEXT(B552, "YYYY-MM-DD"), 4)</f>
        <v>2011</v>
      </c>
      <c r="AF552" s="45" t="str">
        <f aca="false">RIGHT(TEXT(B552, "YYYY-MM-DD"), 2)</f>
        <v>24</v>
      </c>
    </row>
    <row r="553" customFormat="false" ht="15" hidden="false" customHeight="false" outlineLevel="0" collapsed="false">
      <c r="A553" s="37" t="n">
        <v>549</v>
      </c>
      <c r="B553" s="38" t="s">
        <v>101</v>
      </c>
      <c r="C553" s="37" t="n">
        <v>1</v>
      </c>
      <c r="D553" s="35" t="str">
        <f aca="false">VLOOKUP(C553, Lookups_Metadata!$A$4:$B$7, 2, FALSE())</f>
        <v>Spring</v>
      </c>
      <c r="E553" s="37" t="n">
        <v>0</v>
      </c>
      <c r="F553" s="37" t="n">
        <v>1</v>
      </c>
      <c r="G553" s="37" t="n">
        <v>0</v>
      </c>
      <c r="H553" s="39" t="b">
        <f aca="false">FALSE()</f>
        <v>0</v>
      </c>
      <c r="I553" s="37" t="n">
        <v>2</v>
      </c>
      <c r="J553" s="35" t="str">
        <f aca="false">INDEX(Lookups_Metadata!$E$4:$E$10, MATCH(I553, Lookups_Metadata!$D$4:$D$10, 0))</f>
        <v>Tuesday</v>
      </c>
      <c r="K553" s="35" t="str">
        <f aca="false">IF(H553=TRUE(), "Holiday", IF(OR(I553=0, I553=6), "Weekend", "Weekday"))</f>
        <v>Weekday</v>
      </c>
      <c r="L553" s="35" t="str">
        <f aca="false">IF(AND(K553="Weekday", OR(AND(G553&gt;=7, G553&lt;=9), AND(G553&gt;=17, G553&lt;=19))), "Peak Commute", "Off-Peak")</f>
        <v>Off-Peak</v>
      </c>
      <c r="M553" s="37" t="n">
        <v>2</v>
      </c>
      <c r="N553" s="35" t="str">
        <f aca="false">VLOOKUP(M553, Lookups_Metadata!$G$4:$H$7, 2, FALSE())</f>
        <v>Mist / Cloudy</v>
      </c>
      <c r="O553" s="40" t="n">
        <v>0.16</v>
      </c>
      <c r="P553" s="40" t="n">
        <v>0.1364</v>
      </c>
      <c r="Q553" s="40" t="n">
        <f aca="false">IF(OR(P553="", ISBLANK(P553)), ROUND(0.9367*O553+0.0175, 4), P553)</f>
        <v>0.1364</v>
      </c>
      <c r="R553" s="35" t="str">
        <f aca="false">IF(OR(P553="", ISBLANK(P553)), "Imputed (Regression/Trend)", "Original")</f>
        <v>Original</v>
      </c>
      <c r="S553" s="40" t="n">
        <v>0.69</v>
      </c>
      <c r="T553" s="40" t="n">
        <v>0.2836</v>
      </c>
      <c r="U553" s="41" t="n">
        <v>3</v>
      </c>
      <c r="V553" s="41" t="n">
        <v>6</v>
      </c>
      <c r="W553" s="41" t="n">
        <f aca="false">U553+V553</f>
        <v>9</v>
      </c>
      <c r="X553" s="42" t="n">
        <f aca="false">U553/W553</f>
        <v>0.333333333333333</v>
      </c>
      <c r="Y553" s="42" t="n">
        <f aca="false">V553/W553</f>
        <v>0.666666666666667</v>
      </c>
      <c r="Z553" s="35" t="str">
        <f aca="false">IF(W553&gt;=150, "High Demand", IF(W553&gt;=50, "Moderate Demand", "Low Demand"))</f>
        <v>Low Demand</v>
      </c>
      <c r="AA553" s="39" t="str">
        <f aca="false">TEXT(G553, "00") &amp; ":00"</f>
        <v>00:00</v>
      </c>
      <c r="AB553" s="37" t="n">
        <f aca="false">YEAR(B553)</f>
        <v>2011</v>
      </c>
      <c r="AC553" s="35" t="str">
        <f aca="false">TEXT(B553, "mmmm")</f>
        <v>January</v>
      </c>
      <c r="AD553" s="37" t="n">
        <f aca="false">LEN(TEXT(B553, "YYYY-MM-DD"))</f>
        <v>10</v>
      </c>
      <c r="AE553" s="39" t="str">
        <f aca="false">LEFT(TEXT(B553, "YYYY-MM-DD"), 4)</f>
        <v>2011</v>
      </c>
      <c r="AF553" s="39" t="str">
        <f aca="false">RIGHT(TEXT(B553, "YYYY-MM-DD"), 2)</f>
        <v>25</v>
      </c>
    </row>
    <row r="554" customFormat="false" ht="15" hidden="false" customHeight="false" outlineLevel="0" collapsed="false">
      <c r="A554" s="43" t="n">
        <v>550</v>
      </c>
      <c r="B554" s="44" t="s">
        <v>101</v>
      </c>
      <c r="C554" s="43" t="n">
        <v>1</v>
      </c>
      <c r="D554" s="33" t="str">
        <f aca="false">VLOOKUP(C554, Lookups_Metadata!$A$4:$B$7, 2, FALSE())</f>
        <v>Spring</v>
      </c>
      <c r="E554" s="43" t="n">
        <v>0</v>
      </c>
      <c r="F554" s="43" t="n">
        <v>1</v>
      </c>
      <c r="G554" s="43" t="n">
        <v>1</v>
      </c>
      <c r="H554" s="45" t="b">
        <f aca="false">FALSE()</f>
        <v>0</v>
      </c>
      <c r="I554" s="43" t="n">
        <v>2</v>
      </c>
      <c r="J554" s="33" t="str">
        <f aca="false">INDEX(Lookups_Metadata!$E$4:$E$10, MATCH(I554, Lookups_Metadata!$D$4:$D$10, 0))</f>
        <v>Tuesday</v>
      </c>
      <c r="K554" s="33" t="str">
        <f aca="false">IF(H554=TRUE(), "Holiday", IF(OR(I554=0, I554=6), "Weekend", "Weekday"))</f>
        <v>Weekday</v>
      </c>
      <c r="L554" s="33" t="str">
        <f aca="false">IF(AND(K554="Weekday", OR(AND(G554&gt;=7, G554&lt;=9), AND(G554&gt;=17, G554&lt;=19))), "Peak Commute", "Off-Peak")</f>
        <v>Off-Peak</v>
      </c>
      <c r="M554" s="43" t="n">
        <v>2</v>
      </c>
      <c r="N554" s="33" t="str">
        <f aca="false">VLOOKUP(M554, Lookups_Metadata!$G$4:$H$7, 2, FALSE())</f>
        <v>Mist / Cloudy</v>
      </c>
      <c r="O554" s="46" t="n">
        <v>0.16</v>
      </c>
      <c r="P554" s="46" t="n">
        <v>0.1667</v>
      </c>
      <c r="Q554" s="46" t="n">
        <f aca="false">IF(OR(P554="", ISBLANK(P554)), ROUND(0.9367*O554+0.0175, 4), P554)</f>
        <v>0.1667</v>
      </c>
      <c r="R554" s="33" t="str">
        <f aca="false">IF(OR(P554="", ISBLANK(P554)), "Imputed (Regression/Trend)", "Original")</f>
        <v>Original</v>
      </c>
      <c r="S554" s="46" t="n">
        <v>0.69</v>
      </c>
      <c r="T554" s="46" t="n">
        <v>0.1642</v>
      </c>
      <c r="U554" s="18" t="n">
        <v>0</v>
      </c>
      <c r="V554" s="18" t="n">
        <v>5</v>
      </c>
      <c r="W554" s="18" t="n">
        <f aca="false">U554+V554</f>
        <v>5</v>
      </c>
      <c r="X554" s="47" t="n">
        <f aca="false">U554/W554</f>
        <v>0</v>
      </c>
      <c r="Y554" s="47" t="n">
        <f aca="false">V554/W554</f>
        <v>1</v>
      </c>
      <c r="Z554" s="33" t="str">
        <f aca="false">IF(W554&gt;=150, "High Demand", IF(W554&gt;=50, "Moderate Demand", "Low Demand"))</f>
        <v>Low Demand</v>
      </c>
      <c r="AA554" s="45" t="str">
        <f aca="false">TEXT(G554, "00") &amp; ":00"</f>
        <v>01:00</v>
      </c>
      <c r="AB554" s="43" t="n">
        <f aca="false">YEAR(B554)</f>
        <v>2011</v>
      </c>
      <c r="AC554" s="33" t="str">
        <f aca="false">TEXT(B554, "mmmm")</f>
        <v>January</v>
      </c>
      <c r="AD554" s="43" t="n">
        <f aca="false">LEN(TEXT(B554, "YYYY-MM-DD"))</f>
        <v>10</v>
      </c>
      <c r="AE554" s="45" t="str">
        <f aca="false">LEFT(TEXT(B554, "YYYY-MM-DD"), 4)</f>
        <v>2011</v>
      </c>
      <c r="AF554" s="45" t="str">
        <f aca="false">RIGHT(TEXT(B554, "YYYY-MM-DD"), 2)</f>
        <v>25</v>
      </c>
    </row>
    <row r="555" customFormat="false" ht="15" hidden="false" customHeight="false" outlineLevel="0" collapsed="false">
      <c r="A555" s="37" t="n">
        <v>551</v>
      </c>
      <c r="B555" s="38" t="s">
        <v>101</v>
      </c>
      <c r="C555" s="37" t="n">
        <v>1</v>
      </c>
      <c r="D555" s="35" t="str">
        <f aca="false">VLOOKUP(C555, Lookups_Metadata!$A$4:$B$7, 2, FALSE())</f>
        <v>Spring</v>
      </c>
      <c r="E555" s="37" t="n">
        <v>0</v>
      </c>
      <c r="F555" s="37" t="n">
        <v>1</v>
      </c>
      <c r="G555" s="37" t="n">
        <v>2</v>
      </c>
      <c r="H555" s="39" t="b">
        <f aca="false">FALSE()</f>
        <v>0</v>
      </c>
      <c r="I555" s="37" t="n">
        <v>2</v>
      </c>
      <c r="J555" s="35" t="str">
        <f aca="false">INDEX(Lookups_Metadata!$E$4:$E$10, MATCH(I555, Lookups_Metadata!$D$4:$D$10, 0))</f>
        <v>Tuesday</v>
      </c>
      <c r="K555" s="35" t="str">
        <f aca="false">IF(H555=TRUE(), "Holiday", IF(OR(I555=0, I555=6), "Weekend", "Weekday"))</f>
        <v>Weekday</v>
      </c>
      <c r="L555" s="35" t="str">
        <f aca="false">IF(AND(K555="Weekday", OR(AND(G555&gt;=7, G555&lt;=9), AND(G555&gt;=17, G555&lt;=19))), "Peak Commute", "Off-Peak")</f>
        <v>Off-Peak</v>
      </c>
      <c r="M555" s="37" t="n">
        <v>1</v>
      </c>
      <c r="N555" s="35" t="str">
        <f aca="false">VLOOKUP(M555, Lookups_Metadata!$G$4:$H$7, 2, FALSE())</f>
        <v>Clear / Few Clouds</v>
      </c>
      <c r="O555" s="40" t="n">
        <v>0.16</v>
      </c>
      <c r="P555" s="40" t="n">
        <v>0.1515</v>
      </c>
      <c r="Q555" s="40" t="n">
        <f aca="false">IF(OR(P555="", ISBLANK(P555)), ROUND(0.9367*O555+0.0175, 4), P555)</f>
        <v>0.1515</v>
      </c>
      <c r="R555" s="35" t="str">
        <f aca="false">IF(OR(P555="", ISBLANK(P555)), "Imputed (Regression/Trend)", "Original")</f>
        <v>Original</v>
      </c>
      <c r="S555" s="40" t="n">
        <v>0.69</v>
      </c>
      <c r="T555" s="40" t="n">
        <v>0.2239</v>
      </c>
      <c r="U555" s="41" t="n">
        <v>0</v>
      </c>
      <c r="V555" s="41" t="n">
        <v>2</v>
      </c>
      <c r="W555" s="41" t="n">
        <f aca="false">U555+V555</f>
        <v>2</v>
      </c>
      <c r="X555" s="42" t="n">
        <f aca="false">U555/W555</f>
        <v>0</v>
      </c>
      <c r="Y555" s="42" t="n">
        <f aca="false">V555/W555</f>
        <v>1</v>
      </c>
      <c r="Z555" s="35" t="str">
        <f aca="false">IF(W555&gt;=150, "High Demand", IF(W555&gt;=50, "Moderate Demand", "Low Demand"))</f>
        <v>Low Demand</v>
      </c>
      <c r="AA555" s="39" t="str">
        <f aca="false">TEXT(G555, "00") &amp; ":00"</f>
        <v>02:00</v>
      </c>
      <c r="AB555" s="37" t="n">
        <f aca="false">YEAR(B555)</f>
        <v>2011</v>
      </c>
      <c r="AC555" s="35" t="str">
        <f aca="false">TEXT(B555, "mmmm")</f>
        <v>January</v>
      </c>
      <c r="AD555" s="37" t="n">
        <f aca="false">LEN(TEXT(B555, "YYYY-MM-DD"))</f>
        <v>10</v>
      </c>
      <c r="AE555" s="39" t="str">
        <f aca="false">LEFT(TEXT(B555, "YYYY-MM-DD"), 4)</f>
        <v>2011</v>
      </c>
      <c r="AF555" s="39" t="str">
        <f aca="false">RIGHT(TEXT(B555, "YYYY-MM-DD"), 2)</f>
        <v>25</v>
      </c>
    </row>
    <row r="556" customFormat="false" ht="15" hidden="false" customHeight="false" outlineLevel="0" collapsed="false">
      <c r="A556" s="43" t="n">
        <v>552</v>
      </c>
      <c r="B556" s="44" t="s">
        <v>101</v>
      </c>
      <c r="C556" s="43" t="n">
        <v>1</v>
      </c>
      <c r="D556" s="33" t="str">
        <f aca="false">VLOOKUP(C556, Lookups_Metadata!$A$4:$B$7, 2, FALSE())</f>
        <v>Spring</v>
      </c>
      <c r="E556" s="43" t="n">
        <v>0</v>
      </c>
      <c r="F556" s="43" t="n">
        <v>1</v>
      </c>
      <c r="G556" s="43" t="n">
        <v>4</v>
      </c>
      <c r="H556" s="45" t="b">
        <f aca="false">FALSE()</f>
        <v>0</v>
      </c>
      <c r="I556" s="43" t="n">
        <v>2</v>
      </c>
      <c r="J556" s="33" t="str">
        <f aca="false">INDEX(Lookups_Metadata!$E$4:$E$10, MATCH(I556, Lookups_Metadata!$D$4:$D$10, 0))</f>
        <v>Tuesday</v>
      </c>
      <c r="K556" s="33" t="str">
        <f aca="false">IF(H556=TRUE(), "Holiday", IF(OR(I556=0, I556=6), "Weekend", "Weekday"))</f>
        <v>Weekday</v>
      </c>
      <c r="L556" s="33" t="str">
        <f aca="false">IF(AND(K556="Weekday", OR(AND(G556&gt;=7, G556&lt;=9), AND(G556&gt;=17, G556&lt;=19))), "Peak Commute", "Off-Peak")</f>
        <v>Off-Peak</v>
      </c>
      <c r="M556" s="43" t="n">
        <v>1</v>
      </c>
      <c r="N556" s="33" t="str">
        <f aca="false">VLOOKUP(M556, Lookups_Metadata!$G$4:$H$7, 2, FALSE())</f>
        <v>Clear / Few Clouds</v>
      </c>
      <c r="O556" s="46" t="n">
        <v>0.14</v>
      </c>
      <c r="P556" s="46" t="n">
        <v>0.1667</v>
      </c>
      <c r="Q556" s="46" t="n">
        <f aca="false">IF(OR(P556="", ISBLANK(P556)), ROUND(0.9367*O556+0.0175, 4), P556)</f>
        <v>0.1667</v>
      </c>
      <c r="R556" s="33" t="str">
        <f aca="false">IF(OR(P556="", ISBLANK(P556)), "Imputed (Regression/Trend)", "Original")</f>
        <v>Original</v>
      </c>
      <c r="S556" s="46" t="n">
        <v>0.74</v>
      </c>
      <c r="T556" s="46" t="n">
        <v>0.1045</v>
      </c>
      <c r="U556" s="18" t="n">
        <v>0</v>
      </c>
      <c r="V556" s="18" t="n">
        <v>1</v>
      </c>
      <c r="W556" s="18" t="n">
        <f aca="false">U556+V556</f>
        <v>1</v>
      </c>
      <c r="X556" s="47" t="n">
        <f aca="false">U556/W556</f>
        <v>0</v>
      </c>
      <c r="Y556" s="47" t="n">
        <f aca="false">V556/W556</f>
        <v>1</v>
      </c>
      <c r="Z556" s="33" t="str">
        <f aca="false">IF(W556&gt;=150, "High Demand", IF(W556&gt;=50, "Moderate Demand", "Low Demand"))</f>
        <v>Low Demand</v>
      </c>
      <c r="AA556" s="45" t="str">
        <f aca="false">TEXT(G556, "00") &amp; ":00"</f>
        <v>04:00</v>
      </c>
      <c r="AB556" s="43" t="n">
        <f aca="false">YEAR(B556)</f>
        <v>2011</v>
      </c>
      <c r="AC556" s="33" t="str">
        <f aca="false">TEXT(B556, "mmmm")</f>
        <v>January</v>
      </c>
      <c r="AD556" s="43" t="n">
        <f aca="false">LEN(TEXT(B556, "YYYY-MM-DD"))</f>
        <v>10</v>
      </c>
      <c r="AE556" s="45" t="str">
        <f aca="false">LEFT(TEXT(B556, "YYYY-MM-DD"), 4)</f>
        <v>2011</v>
      </c>
      <c r="AF556" s="45" t="str">
        <f aca="false">RIGHT(TEXT(B556, "YYYY-MM-DD"), 2)</f>
        <v>25</v>
      </c>
    </row>
    <row r="557" customFormat="false" ht="15" hidden="false" customHeight="false" outlineLevel="0" collapsed="false">
      <c r="A557" s="37" t="n">
        <v>553</v>
      </c>
      <c r="B557" s="38" t="s">
        <v>101</v>
      </c>
      <c r="C557" s="37" t="n">
        <v>1</v>
      </c>
      <c r="D557" s="35" t="str">
        <f aca="false">VLOOKUP(C557, Lookups_Metadata!$A$4:$B$7, 2, FALSE())</f>
        <v>Spring</v>
      </c>
      <c r="E557" s="37" t="n">
        <v>0</v>
      </c>
      <c r="F557" s="37" t="n">
        <v>1</v>
      </c>
      <c r="G557" s="37" t="n">
        <v>5</v>
      </c>
      <c r="H557" s="39" t="b">
        <f aca="false">FALSE()</f>
        <v>0</v>
      </c>
      <c r="I557" s="37" t="n">
        <v>2</v>
      </c>
      <c r="J557" s="35" t="str">
        <f aca="false">INDEX(Lookups_Metadata!$E$4:$E$10, MATCH(I557, Lookups_Metadata!$D$4:$D$10, 0))</f>
        <v>Tuesday</v>
      </c>
      <c r="K557" s="35" t="str">
        <f aca="false">IF(H557=TRUE(), "Holiday", IF(OR(I557=0, I557=6), "Weekend", "Weekday"))</f>
        <v>Weekday</v>
      </c>
      <c r="L557" s="35" t="str">
        <f aca="false">IF(AND(K557="Weekday", OR(AND(G557&gt;=7, G557&lt;=9), AND(G557&gt;=17, G557&lt;=19))), "Peak Commute", "Off-Peak")</f>
        <v>Off-Peak</v>
      </c>
      <c r="M557" s="37" t="n">
        <v>1</v>
      </c>
      <c r="N557" s="35" t="str">
        <f aca="false">VLOOKUP(M557, Lookups_Metadata!$G$4:$H$7, 2, FALSE())</f>
        <v>Clear / Few Clouds</v>
      </c>
      <c r="O557" s="40" t="n">
        <v>0.14</v>
      </c>
      <c r="P557" s="40" t="n">
        <v>0.1364</v>
      </c>
      <c r="Q557" s="40" t="n">
        <f aca="false">IF(OR(P557="", ISBLANK(P557)), ROUND(0.9367*O557+0.0175, 4), P557)</f>
        <v>0.1364</v>
      </c>
      <c r="R557" s="35" t="str">
        <f aca="false">IF(OR(P557="", ISBLANK(P557)), "Imputed (Regression/Trend)", "Original")</f>
        <v>Original</v>
      </c>
      <c r="S557" s="40" t="n">
        <v>0.74</v>
      </c>
      <c r="T557" s="40" t="n">
        <v>0.2239</v>
      </c>
      <c r="U557" s="41" t="n">
        <v>0</v>
      </c>
      <c r="V557" s="41" t="n">
        <v>9</v>
      </c>
      <c r="W557" s="41" t="n">
        <f aca="false">U557+V557</f>
        <v>9</v>
      </c>
      <c r="X557" s="42" t="n">
        <f aca="false">U557/W557</f>
        <v>0</v>
      </c>
      <c r="Y557" s="42" t="n">
        <f aca="false">V557/W557</f>
        <v>1</v>
      </c>
      <c r="Z557" s="35" t="str">
        <f aca="false">IF(W557&gt;=150, "High Demand", IF(W557&gt;=50, "Moderate Demand", "Low Demand"))</f>
        <v>Low Demand</v>
      </c>
      <c r="AA557" s="39" t="str">
        <f aca="false">TEXT(G557, "00") &amp; ":00"</f>
        <v>05:00</v>
      </c>
      <c r="AB557" s="37" t="n">
        <f aca="false">YEAR(B557)</f>
        <v>2011</v>
      </c>
      <c r="AC557" s="35" t="str">
        <f aca="false">TEXT(B557, "mmmm")</f>
        <v>January</v>
      </c>
      <c r="AD557" s="37" t="n">
        <f aca="false">LEN(TEXT(B557, "YYYY-MM-DD"))</f>
        <v>10</v>
      </c>
      <c r="AE557" s="39" t="str">
        <f aca="false">LEFT(TEXT(B557, "YYYY-MM-DD"), 4)</f>
        <v>2011</v>
      </c>
      <c r="AF557" s="39" t="str">
        <f aca="false">RIGHT(TEXT(B557, "YYYY-MM-DD"), 2)</f>
        <v>25</v>
      </c>
    </row>
    <row r="558" customFormat="false" ht="15" hidden="false" customHeight="false" outlineLevel="0" collapsed="false">
      <c r="A558" s="43" t="n">
        <v>554</v>
      </c>
      <c r="B558" s="44" t="s">
        <v>101</v>
      </c>
      <c r="C558" s="43" t="n">
        <v>1</v>
      </c>
      <c r="D558" s="33" t="str">
        <f aca="false">VLOOKUP(C558, Lookups_Metadata!$A$4:$B$7, 2, FALSE())</f>
        <v>Spring</v>
      </c>
      <c r="E558" s="43" t="n">
        <v>0</v>
      </c>
      <c r="F558" s="43" t="n">
        <v>1</v>
      </c>
      <c r="G558" s="43" t="n">
        <v>6</v>
      </c>
      <c r="H558" s="45" t="b">
        <f aca="false">FALSE()</f>
        <v>0</v>
      </c>
      <c r="I558" s="43" t="n">
        <v>2</v>
      </c>
      <c r="J558" s="33" t="str">
        <f aca="false">INDEX(Lookups_Metadata!$E$4:$E$10, MATCH(I558, Lookups_Metadata!$D$4:$D$10, 0))</f>
        <v>Tuesday</v>
      </c>
      <c r="K558" s="33" t="str">
        <f aca="false">IF(H558=TRUE(), "Holiday", IF(OR(I558=0, I558=6), "Weekend", "Weekday"))</f>
        <v>Weekday</v>
      </c>
      <c r="L558" s="33" t="str">
        <f aca="false">IF(AND(K558="Weekday", OR(AND(G558&gt;=7, G558&lt;=9), AND(G558&gt;=17, G558&lt;=19))), "Peak Commute", "Off-Peak")</f>
        <v>Off-Peak</v>
      </c>
      <c r="M558" s="43" t="n">
        <v>1</v>
      </c>
      <c r="N558" s="33" t="str">
        <f aca="false">VLOOKUP(M558, Lookups_Metadata!$G$4:$H$7, 2, FALSE())</f>
        <v>Clear / Few Clouds</v>
      </c>
      <c r="O558" s="46" t="n">
        <v>0.16</v>
      </c>
      <c r="P558" s="46" t="n">
        <v>0.1818</v>
      </c>
      <c r="Q558" s="46" t="n">
        <f aca="false">IF(OR(P558="", ISBLANK(P558)), ROUND(0.9367*O558+0.0175, 4), P558)</f>
        <v>0.1818</v>
      </c>
      <c r="R558" s="33" t="str">
        <f aca="false">IF(OR(P558="", ISBLANK(P558)), "Imputed (Regression/Trend)", "Original")</f>
        <v>Original</v>
      </c>
      <c r="S558" s="46" t="n">
        <v>0.74</v>
      </c>
      <c r="T558" s="46" t="n">
        <v>0.1045</v>
      </c>
      <c r="U558" s="18" t="n">
        <v>1</v>
      </c>
      <c r="V558" s="18" t="n">
        <v>35</v>
      </c>
      <c r="W558" s="18" t="n">
        <f aca="false">U558+V558</f>
        <v>36</v>
      </c>
      <c r="X558" s="47" t="n">
        <f aca="false">U558/W558</f>
        <v>0.0277777777777778</v>
      </c>
      <c r="Y558" s="47" t="n">
        <f aca="false">V558/W558</f>
        <v>0.972222222222222</v>
      </c>
      <c r="Z558" s="33" t="str">
        <f aca="false">IF(W558&gt;=150, "High Demand", IF(W558&gt;=50, "Moderate Demand", "Low Demand"))</f>
        <v>Low Demand</v>
      </c>
      <c r="AA558" s="45" t="str">
        <f aca="false">TEXT(G558, "00") &amp; ":00"</f>
        <v>06:00</v>
      </c>
      <c r="AB558" s="43" t="n">
        <f aca="false">YEAR(B558)</f>
        <v>2011</v>
      </c>
      <c r="AC558" s="33" t="str">
        <f aca="false">TEXT(B558, "mmmm")</f>
        <v>January</v>
      </c>
      <c r="AD558" s="43" t="n">
        <f aca="false">LEN(TEXT(B558, "YYYY-MM-DD"))</f>
        <v>10</v>
      </c>
      <c r="AE558" s="45" t="str">
        <f aca="false">LEFT(TEXT(B558, "YYYY-MM-DD"), 4)</f>
        <v>2011</v>
      </c>
      <c r="AF558" s="45" t="str">
        <f aca="false">RIGHT(TEXT(B558, "YYYY-MM-DD"), 2)</f>
        <v>25</v>
      </c>
    </row>
    <row r="559" customFormat="false" ht="15" hidden="false" customHeight="false" outlineLevel="0" collapsed="false">
      <c r="A559" s="37" t="n">
        <v>555</v>
      </c>
      <c r="B559" s="38" t="s">
        <v>101</v>
      </c>
      <c r="C559" s="37" t="n">
        <v>1</v>
      </c>
      <c r="D559" s="35" t="str">
        <f aca="false">VLOOKUP(C559, Lookups_Metadata!$A$4:$B$7, 2, FALSE())</f>
        <v>Spring</v>
      </c>
      <c r="E559" s="37" t="n">
        <v>0</v>
      </c>
      <c r="F559" s="37" t="n">
        <v>1</v>
      </c>
      <c r="G559" s="37" t="n">
        <v>7</v>
      </c>
      <c r="H559" s="39" t="b">
        <f aca="false">FALSE()</f>
        <v>0</v>
      </c>
      <c r="I559" s="37" t="n">
        <v>2</v>
      </c>
      <c r="J559" s="35" t="str">
        <f aca="false">INDEX(Lookups_Metadata!$E$4:$E$10, MATCH(I559, Lookups_Metadata!$D$4:$D$10, 0))</f>
        <v>Tuesday</v>
      </c>
      <c r="K559" s="35" t="str">
        <f aca="false">IF(H559=TRUE(), "Holiday", IF(OR(I559=0, I559=6), "Weekend", "Weekday"))</f>
        <v>Weekday</v>
      </c>
      <c r="L559" s="35" t="str">
        <f aca="false">IF(AND(K559="Weekday", OR(AND(G559&gt;=7, G559&lt;=9), AND(G559&gt;=17, G559&lt;=19))), "Peak Commute", "Off-Peak")</f>
        <v>Peak Commute</v>
      </c>
      <c r="M559" s="37" t="n">
        <v>1</v>
      </c>
      <c r="N559" s="35" t="str">
        <f aca="false">VLOOKUP(M559, Lookups_Metadata!$G$4:$H$7, 2, FALSE())</f>
        <v>Clear / Few Clouds</v>
      </c>
      <c r="O559" s="40" t="n">
        <v>0.16</v>
      </c>
      <c r="P559" s="40" t="n">
        <v>0.1515</v>
      </c>
      <c r="Q559" s="40" t="n">
        <f aca="false">IF(OR(P559="", ISBLANK(P559)), ROUND(0.9367*O559+0.0175, 4), P559)</f>
        <v>0.1515</v>
      </c>
      <c r="R559" s="35" t="str">
        <f aca="false">IF(OR(P559="", ISBLANK(P559)), "Imputed (Regression/Trend)", "Original")</f>
        <v>Original</v>
      </c>
      <c r="S559" s="40" t="n">
        <v>0.74</v>
      </c>
      <c r="T559" s="40" t="n">
        <v>0.2239</v>
      </c>
      <c r="U559" s="41" t="n">
        <v>5</v>
      </c>
      <c r="V559" s="41" t="n">
        <v>103</v>
      </c>
      <c r="W559" s="41" t="n">
        <f aca="false">U559+V559</f>
        <v>108</v>
      </c>
      <c r="X559" s="42" t="n">
        <f aca="false">U559/W559</f>
        <v>0.0462962962962963</v>
      </c>
      <c r="Y559" s="42" t="n">
        <f aca="false">V559/W559</f>
        <v>0.953703703703704</v>
      </c>
      <c r="Z559" s="35" t="str">
        <f aca="false">IF(W559&gt;=150, "High Demand", IF(W559&gt;=50, "Moderate Demand", "Low Demand"))</f>
        <v>Moderate Demand</v>
      </c>
      <c r="AA559" s="39" t="str">
        <f aca="false">TEXT(G559, "00") &amp; ":00"</f>
        <v>07:00</v>
      </c>
      <c r="AB559" s="37" t="n">
        <f aca="false">YEAR(B559)</f>
        <v>2011</v>
      </c>
      <c r="AC559" s="35" t="str">
        <f aca="false">TEXT(B559, "mmmm")</f>
        <v>January</v>
      </c>
      <c r="AD559" s="37" t="n">
        <f aca="false">LEN(TEXT(B559, "YYYY-MM-DD"))</f>
        <v>10</v>
      </c>
      <c r="AE559" s="39" t="str">
        <f aca="false">LEFT(TEXT(B559, "YYYY-MM-DD"), 4)</f>
        <v>2011</v>
      </c>
      <c r="AF559" s="39" t="str">
        <f aca="false">RIGHT(TEXT(B559, "YYYY-MM-DD"), 2)</f>
        <v>25</v>
      </c>
    </row>
    <row r="560" customFormat="false" ht="15" hidden="false" customHeight="false" outlineLevel="0" collapsed="false">
      <c r="A560" s="43" t="n">
        <v>556</v>
      </c>
      <c r="B560" s="44" t="s">
        <v>101</v>
      </c>
      <c r="C560" s="43" t="n">
        <v>1</v>
      </c>
      <c r="D560" s="33" t="str">
        <f aca="false">VLOOKUP(C560, Lookups_Metadata!$A$4:$B$7, 2, FALSE())</f>
        <v>Spring</v>
      </c>
      <c r="E560" s="43" t="n">
        <v>0</v>
      </c>
      <c r="F560" s="43" t="n">
        <v>1</v>
      </c>
      <c r="G560" s="43" t="n">
        <v>8</v>
      </c>
      <c r="H560" s="45" t="b">
        <f aca="false">FALSE()</f>
        <v>0</v>
      </c>
      <c r="I560" s="43" t="n">
        <v>2</v>
      </c>
      <c r="J560" s="33" t="str">
        <f aca="false">INDEX(Lookups_Metadata!$E$4:$E$10, MATCH(I560, Lookups_Metadata!$D$4:$D$10, 0))</f>
        <v>Tuesday</v>
      </c>
      <c r="K560" s="33" t="str">
        <f aca="false">IF(H560=TRUE(), "Holiday", IF(OR(I560=0, I560=6), "Weekend", "Weekday"))</f>
        <v>Weekday</v>
      </c>
      <c r="L560" s="33" t="str">
        <f aca="false">IF(AND(K560="Weekday", OR(AND(G560&gt;=7, G560&lt;=9), AND(G560&gt;=17, G560&lt;=19))), "Peak Commute", "Off-Peak")</f>
        <v>Peak Commute</v>
      </c>
      <c r="M560" s="43" t="n">
        <v>2</v>
      </c>
      <c r="N560" s="33" t="str">
        <f aca="false">VLOOKUP(M560, Lookups_Metadata!$G$4:$H$7, 2, FALSE())</f>
        <v>Mist / Cloudy</v>
      </c>
      <c r="O560" s="46" t="n">
        <v>0.16</v>
      </c>
      <c r="P560" s="46" t="n">
        <v>0.1818</v>
      </c>
      <c r="Q560" s="46" t="n">
        <f aca="false">IF(OR(P560="", ISBLANK(P560)), ROUND(0.9367*O560+0.0175, 4), P560)</f>
        <v>0.1818</v>
      </c>
      <c r="R560" s="33" t="str">
        <f aca="false">IF(OR(P560="", ISBLANK(P560)), "Imputed (Regression/Trend)", "Original")</f>
        <v>Original</v>
      </c>
      <c r="S560" s="46" t="n">
        <v>0.74</v>
      </c>
      <c r="T560" s="46" t="n">
        <v>0.1343</v>
      </c>
      <c r="U560" s="18" t="n">
        <v>5</v>
      </c>
      <c r="V560" s="18" t="n">
        <v>233</v>
      </c>
      <c r="W560" s="18" t="n">
        <f aca="false">U560+V560</f>
        <v>238</v>
      </c>
      <c r="X560" s="47" t="n">
        <f aca="false">U560/W560</f>
        <v>0.0210084033613445</v>
      </c>
      <c r="Y560" s="47" t="n">
        <f aca="false">V560/W560</f>
        <v>0.978991596638655</v>
      </c>
      <c r="Z560" s="33" t="str">
        <f aca="false">IF(W560&gt;=150, "High Demand", IF(W560&gt;=50, "Moderate Demand", "Low Demand"))</f>
        <v>High Demand</v>
      </c>
      <c r="AA560" s="45" t="str">
        <f aca="false">TEXT(G560, "00") &amp; ":00"</f>
        <v>08:00</v>
      </c>
      <c r="AB560" s="43" t="n">
        <f aca="false">YEAR(B560)</f>
        <v>2011</v>
      </c>
      <c r="AC560" s="33" t="str">
        <f aca="false">TEXT(B560, "mmmm")</f>
        <v>January</v>
      </c>
      <c r="AD560" s="43" t="n">
        <f aca="false">LEN(TEXT(B560, "YYYY-MM-DD"))</f>
        <v>10</v>
      </c>
      <c r="AE560" s="45" t="str">
        <f aca="false">LEFT(TEXT(B560, "YYYY-MM-DD"), 4)</f>
        <v>2011</v>
      </c>
      <c r="AF560" s="45" t="str">
        <f aca="false">RIGHT(TEXT(B560, "YYYY-MM-DD"), 2)</f>
        <v>25</v>
      </c>
    </row>
    <row r="561" customFormat="false" ht="15" hidden="false" customHeight="false" outlineLevel="0" collapsed="false">
      <c r="A561" s="37" t="n">
        <v>557</v>
      </c>
      <c r="B561" s="38" t="s">
        <v>101</v>
      </c>
      <c r="C561" s="37" t="n">
        <v>1</v>
      </c>
      <c r="D561" s="35" t="str">
        <f aca="false">VLOOKUP(C561, Lookups_Metadata!$A$4:$B$7, 2, FALSE())</f>
        <v>Spring</v>
      </c>
      <c r="E561" s="37" t="n">
        <v>0</v>
      </c>
      <c r="F561" s="37" t="n">
        <v>1</v>
      </c>
      <c r="G561" s="37" t="n">
        <v>9</v>
      </c>
      <c r="H561" s="39" t="b">
        <f aca="false">FALSE()</f>
        <v>0</v>
      </c>
      <c r="I561" s="37" t="n">
        <v>2</v>
      </c>
      <c r="J561" s="35" t="str">
        <f aca="false">INDEX(Lookups_Metadata!$E$4:$E$10, MATCH(I561, Lookups_Metadata!$D$4:$D$10, 0))</f>
        <v>Tuesday</v>
      </c>
      <c r="K561" s="35" t="str">
        <f aca="false">IF(H561=TRUE(), "Holiday", IF(OR(I561=0, I561=6), "Weekend", "Weekday"))</f>
        <v>Weekday</v>
      </c>
      <c r="L561" s="35" t="str">
        <f aca="false">IF(AND(K561="Weekday", OR(AND(G561&gt;=7, G561&lt;=9), AND(G561&gt;=17, G561&lt;=19))), "Peak Commute", "Off-Peak")</f>
        <v>Peak Commute</v>
      </c>
      <c r="M561" s="37" t="n">
        <v>2</v>
      </c>
      <c r="N561" s="35" t="str">
        <f aca="false">VLOOKUP(M561, Lookups_Metadata!$G$4:$H$7, 2, FALSE())</f>
        <v>Mist / Cloudy</v>
      </c>
      <c r="O561" s="40" t="n">
        <v>0.2</v>
      </c>
      <c r="P561" s="40" t="n">
        <v>0.2273</v>
      </c>
      <c r="Q561" s="40" t="n">
        <f aca="false">IF(OR(P561="", ISBLANK(P561)), ROUND(0.9367*O561+0.0175, 4), P561)</f>
        <v>0.2273</v>
      </c>
      <c r="R561" s="35" t="str">
        <f aca="false">IF(OR(P561="", ISBLANK(P561)), "Imputed (Regression/Trend)", "Original")</f>
        <v>Original</v>
      </c>
      <c r="S561" s="40" t="n">
        <v>0.64</v>
      </c>
      <c r="T561" s="40" t="n">
        <v>0.0896</v>
      </c>
      <c r="U561" s="41" t="n">
        <v>10</v>
      </c>
      <c r="V561" s="41" t="n">
        <v>134</v>
      </c>
      <c r="W561" s="41" t="n">
        <f aca="false">U561+V561</f>
        <v>144</v>
      </c>
      <c r="X561" s="42" t="n">
        <f aca="false">U561/W561</f>
        <v>0.0694444444444445</v>
      </c>
      <c r="Y561" s="42" t="n">
        <f aca="false">V561/W561</f>
        <v>0.930555555555556</v>
      </c>
      <c r="Z561" s="35" t="str">
        <f aca="false">IF(W561&gt;=150, "High Demand", IF(W561&gt;=50, "Moderate Demand", "Low Demand"))</f>
        <v>Moderate Demand</v>
      </c>
      <c r="AA561" s="39" t="str">
        <f aca="false">TEXT(G561, "00") &amp; ":00"</f>
        <v>09:00</v>
      </c>
      <c r="AB561" s="37" t="n">
        <f aca="false">YEAR(B561)</f>
        <v>2011</v>
      </c>
      <c r="AC561" s="35" t="str">
        <f aca="false">TEXT(B561, "mmmm")</f>
        <v>January</v>
      </c>
      <c r="AD561" s="37" t="n">
        <f aca="false">LEN(TEXT(B561, "YYYY-MM-DD"))</f>
        <v>10</v>
      </c>
      <c r="AE561" s="39" t="str">
        <f aca="false">LEFT(TEXT(B561, "YYYY-MM-DD"), 4)</f>
        <v>2011</v>
      </c>
      <c r="AF561" s="39" t="str">
        <f aca="false">RIGHT(TEXT(B561, "YYYY-MM-DD"), 2)</f>
        <v>25</v>
      </c>
    </row>
    <row r="562" customFormat="false" ht="15" hidden="false" customHeight="false" outlineLevel="0" collapsed="false">
      <c r="A562" s="43" t="n">
        <v>558</v>
      </c>
      <c r="B562" s="44" t="s">
        <v>101</v>
      </c>
      <c r="C562" s="43" t="n">
        <v>1</v>
      </c>
      <c r="D562" s="33" t="str">
        <f aca="false">VLOOKUP(C562, Lookups_Metadata!$A$4:$B$7, 2, FALSE())</f>
        <v>Spring</v>
      </c>
      <c r="E562" s="43" t="n">
        <v>0</v>
      </c>
      <c r="F562" s="43" t="n">
        <v>1</v>
      </c>
      <c r="G562" s="43" t="n">
        <v>10</v>
      </c>
      <c r="H562" s="45" t="b">
        <f aca="false">FALSE()</f>
        <v>0</v>
      </c>
      <c r="I562" s="43" t="n">
        <v>2</v>
      </c>
      <c r="J562" s="33" t="str">
        <f aca="false">INDEX(Lookups_Metadata!$E$4:$E$10, MATCH(I562, Lookups_Metadata!$D$4:$D$10, 0))</f>
        <v>Tuesday</v>
      </c>
      <c r="K562" s="33" t="str">
        <f aca="false">IF(H562=TRUE(), "Holiday", IF(OR(I562=0, I562=6), "Weekend", "Weekday"))</f>
        <v>Weekday</v>
      </c>
      <c r="L562" s="33" t="str">
        <f aca="false">IF(AND(K562="Weekday", OR(AND(G562&gt;=7, G562&lt;=9), AND(G562&gt;=17, G562&lt;=19))), "Peak Commute", "Off-Peak")</f>
        <v>Off-Peak</v>
      </c>
      <c r="M562" s="43" t="n">
        <v>2</v>
      </c>
      <c r="N562" s="33" t="str">
        <f aca="false">VLOOKUP(M562, Lookups_Metadata!$G$4:$H$7, 2, FALSE())</f>
        <v>Mist / Cloudy</v>
      </c>
      <c r="O562" s="46" t="n">
        <v>0.22</v>
      </c>
      <c r="P562" s="46" t="n">
        <v>0.2424</v>
      </c>
      <c r="Q562" s="46" t="n">
        <f aca="false">IF(OR(P562="", ISBLANK(P562)), ROUND(0.9367*O562+0.0175, 4), P562)</f>
        <v>0.2424</v>
      </c>
      <c r="R562" s="33" t="str">
        <f aca="false">IF(OR(P562="", ISBLANK(P562)), "Imputed (Regression/Trend)", "Original")</f>
        <v>Original</v>
      </c>
      <c r="S562" s="46" t="n">
        <v>0.6</v>
      </c>
      <c r="T562" s="46" t="n">
        <v>0.1045</v>
      </c>
      <c r="U562" s="18" t="n">
        <v>6</v>
      </c>
      <c r="V562" s="18" t="n">
        <v>49</v>
      </c>
      <c r="W562" s="18" t="n">
        <f aca="false">U562+V562</f>
        <v>55</v>
      </c>
      <c r="X562" s="47" t="n">
        <f aca="false">U562/W562</f>
        <v>0.109090909090909</v>
      </c>
      <c r="Y562" s="47" t="n">
        <f aca="false">V562/W562</f>
        <v>0.890909090909091</v>
      </c>
      <c r="Z562" s="33" t="str">
        <f aca="false">IF(W562&gt;=150, "High Demand", IF(W562&gt;=50, "Moderate Demand", "Low Demand"))</f>
        <v>Moderate Demand</v>
      </c>
      <c r="AA562" s="45" t="str">
        <f aca="false">TEXT(G562, "00") &amp; ":00"</f>
        <v>10:00</v>
      </c>
      <c r="AB562" s="43" t="n">
        <f aca="false">YEAR(B562)</f>
        <v>2011</v>
      </c>
      <c r="AC562" s="33" t="str">
        <f aca="false">TEXT(B562, "mmmm")</f>
        <v>January</v>
      </c>
      <c r="AD562" s="43" t="n">
        <f aca="false">LEN(TEXT(B562, "YYYY-MM-DD"))</f>
        <v>10</v>
      </c>
      <c r="AE562" s="45" t="str">
        <f aca="false">LEFT(TEXT(B562, "YYYY-MM-DD"), 4)</f>
        <v>2011</v>
      </c>
      <c r="AF562" s="45" t="str">
        <f aca="false">RIGHT(TEXT(B562, "YYYY-MM-DD"), 2)</f>
        <v>25</v>
      </c>
    </row>
    <row r="563" customFormat="false" ht="15" hidden="false" customHeight="false" outlineLevel="0" collapsed="false">
      <c r="A563" s="37" t="n">
        <v>559</v>
      </c>
      <c r="B563" s="38" t="s">
        <v>101</v>
      </c>
      <c r="C563" s="37" t="n">
        <v>1</v>
      </c>
      <c r="D563" s="35" t="str">
        <f aca="false">VLOOKUP(C563, Lookups_Metadata!$A$4:$B$7, 2, FALSE())</f>
        <v>Spring</v>
      </c>
      <c r="E563" s="37" t="n">
        <v>0</v>
      </c>
      <c r="F563" s="37" t="n">
        <v>1</v>
      </c>
      <c r="G563" s="37" t="n">
        <v>11</v>
      </c>
      <c r="H563" s="39" t="b">
        <f aca="false">FALSE()</f>
        <v>0</v>
      </c>
      <c r="I563" s="37" t="n">
        <v>2</v>
      </c>
      <c r="J563" s="35" t="str">
        <f aca="false">INDEX(Lookups_Metadata!$E$4:$E$10, MATCH(I563, Lookups_Metadata!$D$4:$D$10, 0))</f>
        <v>Tuesday</v>
      </c>
      <c r="K563" s="35" t="str">
        <f aca="false">IF(H563=TRUE(), "Holiday", IF(OR(I563=0, I563=6), "Weekend", "Weekday"))</f>
        <v>Weekday</v>
      </c>
      <c r="L563" s="35" t="str">
        <f aca="false">IF(AND(K563="Weekday", OR(AND(G563&gt;=7, G563&lt;=9), AND(G563&gt;=17, G563&lt;=19))), "Peak Commute", "Off-Peak")</f>
        <v>Off-Peak</v>
      </c>
      <c r="M563" s="37" t="n">
        <v>2</v>
      </c>
      <c r="N563" s="35" t="str">
        <f aca="false">VLOOKUP(M563, Lookups_Metadata!$G$4:$H$7, 2, FALSE())</f>
        <v>Mist / Cloudy</v>
      </c>
      <c r="O563" s="40" t="n">
        <v>0.24</v>
      </c>
      <c r="P563" s="40" t="n">
        <v>0.2424</v>
      </c>
      <c r="Q563" s="40" t="n">
        <f aca="false">IF(OR(P563="", ISBLANK(P563)), ROUND(0.9367*O563+0.0175, 4), P563)</f>
        <v>0.2424</v>
      </c>
      <c r="R563" s="35" t="str">
        <f aca="false">IF(OR(P563="", ISBLANK(P563)), "Imputed (Regression/Trend)", "Original")</f>
        <v>Original</v>
      </c>
      <c r="S563" s="40" t="n">
        <v>0.6</v>
      </c>
      <c r="T563" s="40" t="n">
        <v>0.1343</v>
      </c>
      <c r="U563" s="41" t="n">
        <v>6</v>
      </c>
      <c r="V563" s="41" t="n">
        <v>55</v>
      </c>
      <c r="W563" s="41" t="n">
        <f aca="false">U563+V563</f>
        <v>61</v>
      </c>
      <c r="X563" s="42" t="n">
        <f aca="false">U563/W563</f>
        <v>0.0983606557377049</v>
      </c>
      <c r="Y563" s="42" t="n">
        <f aca="false">V563/W563</f>
        <v>0.901639344262295</v>
      </c>
      <c r="Z563" s="35" t="str">
        <f aca="false">IF(W563&gt;=150, "High Demand", IF(W563&gt;=50, "Moderate Demand", "Low Demand"))</f>
        <v>Moderate Demand</v>
      </c>
      <c r="AA563" s="39" t="str">
        <f aca="false">TEXT(G563, "00") &amp; ":00"</f>
        <v>11:00</v>
      </c>
      <c r="AB563" s="37" t="n">
        <f aca="false">YEAR(B563)</f>
        <v>2011</v>
      </c>
      <c r="AC563" s="35" t="str">
        <f aca="false">TEXT(B563, "mmmm")</f>
        <v>January</v>
      </c>
      <c r="AD563" s="37" t="n">
        <f aca="false">LEN(TEXT(B563, "YYYY-MM-DD"))</f>
        <v>10</v>
      </c>
      <c r="AE563" s="39" t="str">
        <f aca="false">LEFT(TEXT(B563, "YYYY-MM-DD"), 4)</f>
        <v>2011</v>
      </c>
      <c r="AF563" s="39" t="str">
        <f aca="false">RIGHT(TEXT(B563, "YYYY-MM-DD"), 2)</f>
        <v>25</v>
      </c>
    </row>
    <row r="564" customFormat="false" ht="15" hidden="false" customHeight="false" outlineLevel="0" collapsed="false">
      <c r="A564" s="43" t="n">
        <v>560</v>
      </c>
      <c r="B564" s="44" t="s">
        <v>101</v>
      </c>
      <c r="C564" s="43" t="n">
        <v>1</v>
      </c>
      <c r="D564" s="33" t="str">
        <f aca="false">VLOOKUP(C564, Lookups_Metadata!$A$4:$B$7, 2, FALSE())</f>
        <v>Spring</v>
      </c>
      <c r="E564" s="43" t="n">
        <v>0</v>
      </c>
      <c r="F564" s="43" t="n">
        <v>1</v>
      </c>
      <c r="G564" s="43" t="n">
        <v>12</v>
      </c>
      <c r="H564" s="45" t="b">
        <f aca="false">FALSE()</f>
        <v>0</v>
      </c>
      <c r="I564" s="43" t="n">
        <v>2</v>
      </c>
      <c r="J564" s="33" t="str">
        <f aca="false">INDEX(Lookups_Metadata!$E$4:$E$10, MATCH(I564, Lookups_Metadata!$D$4:$D$10, 0))</f>
        <v>Tuesday</v>
      </c>
      <c r="K564" s="33" t="str">
        <f aca="false">IF(H564=TRUE(), "Holiday", IF(OR(I564=0, I564=6), "Weekend", "Weekday"))</f>
        <v>Weekday</v>
      </c>
      <c r="L564" s="33" t="str">
        <f aca="false">IF(AND(K564="Weekday", OR(AND(G564&gt;=7, G564&lt;=9), AND(G564&gt;=17, G564&lt;=19))), "Peak Commute", "Off-Peak")</f>
        <v>Off-Peak</v>
      </c>
      <c r="M564" s="43" t="n">
        <v>2</v>
      </c>
      <c r="N564" s="33" t="str">
        <f aca="false">VLOOKUP(M564, Lookups_Metadata!$G$4:$H$7, 2, FALSE())</f>
        <v>Mist / Cloudy</v>
      </c>
      <c r="O564" s="46" t="n">
        <v>0.26</v>
      </c>
      <c r="P564" s="46" t="n">
        <v>0.2879</v>
      </c>
      <c r="Q564" s="46" t="n">
        <f aca="false">IF(OR(P564="", ISBLANK(P564)), ROUND(0.9367*O564+0.0175, 4), P564)</f>
        <v>0.2879</v>
      </c>
      <c r="R564" s="33" t="str">
        <f aca="false">IF(OR(P564="", ISBLANK(P564)), "Imputed (Regression/Trend)", "Original")</f>
        <v>Original</v>
      </c>
      <c r="S564" s="46" t="n">
        <v>0.56</v>
      </c>
      <c r="T564" s="46" t="n">
        <v>0.0896</v>
      </c>
      <c r="U564" s="18" t="n">
        <v>21</v>
      </c>
      <c r="V564" s="18" t="n">
        <v>85</v>
      </c>
      <c r="W564" s="18" t="n">
        <f aca="false">U564+V564</f>
        <v>106</v>
      </c>
      <c r="X564" s="47" t="n">
        <f aca="false">U564/W564</f>
        <v>0.19811320754717</v>
      </c>
      <c r="Y564" s="47" t="n">
        <f aca="false">V564/W564</f>
        <v>0.80188679245283</v>
      </c>
      <c r="Z564" s="33" t="str">
        <f aca="false">IF(W564&gt;=150, "High Demand", IF(W564&gt;=50, "Moderate Demand", "Low Demand"))</f>
        <v>Moderate Demand</v>
      </c>
      <c r="AA564" s="45" t="str">
        <f aca="false">TEXT(G564, "00") &amp; ":00"</f>
        <v>12:00</v>
      </c>
      <c r="AB564" s="43" t="n">
        <f aca="false">YEAR(B564)</f>
        <v>2011</v>
      </c>
      <c r="AC564" s="33" t="str">
        <f aca="false">TEXT(B564, "mmmm")</f>
        <v>January</v>
      </c>
      <c r="AD564" s="43" t="n">
        <f aca="false">LEN(TEXT(B564, "YYYY-MM-DD"))</f>
        <v>10</v>
      </c>
      <c r="AE564" s="45" t="str">
        <f aca="false">LEFT(TEXT(B564, "YYYY-MM-DD"), 4)</f>
        <v>2011</v>
      </c>
      <c r="AF564" s="45" t="str">
        <f aca="false">RIGHT(TEXT(B564, "YYYY-MM-DD"), 2)</f>
        <v>25</v>
      </c>
    </row>
    <row r="565" customFormat="false" ht="15" hidden="false" customHeight="false" outlineLevel="0" collapsed="false">
      <c r="A565" s="37" t="n">
        <v>561</v>
      </c>
      <c r="B565" s="38" t="s">
        <v>101</v>
      </c>
      <c r="C565" s="37" t="n">
        <v>1</v>
      </c>
      <c r="D565" s="35" t="str">
        <f aca="false">VLOOKUP(C565, Lookups_Metadata!$A$4:$B$7, 2, FALSE())</f>
        <v>Spring</v>
      </c>
      <c r="E565" s="37" t="n">
        <v>0</v>
      </c>
      <c r="F565" s="37" t="n">
        <v>1</v>
      </c>
      <c r="G565" s="37" t="n">
        <v>13</v>
      </c>
      <c r="H565" s="39" t="b">
        <f aca="false">FALSE()</f>
        <v>0</v>
      </c>
      <c r="I565" s="37" t="n">
        <v>2</v>
      </c>
      <c r="J565" s="35" t="str">
        <f aca="false">INDEX(Lookups_Metadata!$E$4:$E$10, MATCH(I565, Lookups_Metadata!$D$4:$D$10, 0))</f>
        <v>Tuesday</v>
      </c>
      <c r="K565" s="35" t="str">
        <f aca="false">IF(H565=TRUE(), "Holiday", IF(OR(I565=0, I565=6), "Weekend", "Weekday"))</f>
        <v>Weekday</v>
      </c>
      <c r="L565" s="35" t="str">
        <f aca="false">IF(AND(K565="Weekday", OR(AND(G565&gt;=7, G565&lt;=9), AND(G565&gt;=17, G565&lt;=19))), "Peak Commute", "Off-Peak")</f>
        <v>Off-Peak</v>
      </c>
      <c r="M565" s="37" t="n">
        <v>2</v>
      </c>
      <c r="N565" s="35" t="str">
        <f aca="false">VLOOKUP(M565, Lookups_Metadata!$G$4:$H$7, 2, FALSE())</f>
        <v>Mist / Cloudy</v>
      </c>
      <c r="O565" s="40" t="n">
        <v>0.26</v>
      </c>
      <c r="P565" s="40" t="n">
        <v>0.2727</v>
      </c>
      <c r="Q565" s="40" t="n">
        <f aca="false">IF(OR(P565="", ISBLANK(P565)), ROUND(0.9367*O565+0.0175, 4), P565)</f>
        <v>0.2727</v>
      </c>
      <c r="R565" s="35" t="str">
        <f aca="false">IF(OR(P565="", ISBLANK(P565)), "Imputed (Regression/Trend)", "Original")</f>
        <v>Original</v>
      </c>
      <c r="S565" s="40" t="n">
        <v>0.56</v>
      </c>
      <c r="T565" s="40" t="n">
        <v>0.1343</v>
      </c>
      <c r="U565" s="41" t="n">
        <v>21</v>
      </c>
      <c r="V565" s="41" t="n">
        <v>72</v>
      </c>
      <c r="W565" s="41" t="n">
        <f aca="false">U565+V565</f>
        <v>93</v>
      </c>
      <c r="X565" s="42" t="n">
        <f aca="false">U565/W565</f>
        <v>0.225806451612903</v>
      </c>
      <c r="Y565" s="42" t="n">
        <f aca="false">V565/W565</f>
        <v>0.774193548387097</v>
      </c>
      <c r="Z565" s="35" t="str">
        <f aca="false">IF(W565&gt;=150, "High Demand", IF(W565&gt;=50, "Moderate Demand", "Low Demand"))</f>
        <v>Moderate Demand</v>
      </c>
      <c r="AA565" s="39" t="str">
        <f aca="false">TEXT(G565, "00") &amp; ":00"</f>
        <v>13:00</v>
      </c>
      <c r="AB565" s="37" t="n">
        <f aca="false">YEAR(B565)</f>
        <v>2011</v>
      </c>
      <c r="AC565" s="35" t="str">
        <f aca="false">TEXT(B565, "mmmm")</f>
        <v>January</v>
      </c>
      <c r="AD565" s="37" t="n">
        <f aca="false">LEN(TEXT(B565, "YYYY-MM-DD"))</f>
        <v>10</v>
      </c>
      <c r="AE565" s="39" t="str">
        <f aca="false">LEFT(TEXT(B565, "YYYY-MM-DD"), 4)</f>
        <v>2011</v>
      </c>
      <c r="AF565" s="39" t="str">
        <f aca="false">RIGHT(TEXT(B565, "YYYY-MM-DD"), 2)</f>
        <v>25</v>
      </c>
    </row>
    <row r="566" customFormat="false" ht="15" hidden="false" customHeight="false" outlineLevel="0" collapsed="false">
      <c r="A566" s="43" t="n">
        <v>562</v>
      </c>
      <c r="B566" s="44" t="s">
        <v>101</v>
      </c>
      <c r="C566" s="43" t="n">
        <v>1</v>
      </c>
      <c r="D566" s="33" t="str">
        <f aca="false">VLOOKUP(C566, Lookups_Metadata!$A$4:$B$7, 2, FALSE())</f>
        <v>Spring</v>
      </c>
      <c r="E566" s="43" t="n">
        <v>0</v>
      </c>
      <c r="F566" s="43" t="n">
        <v>1</v>
      </c>
      <c r="G566" s="43" t="n">
        <v>14</v>
      </c>
      <c r="H566" s="45" t="b">
        <f aca="false">FALSE()</f>
        <v>0</v>
      </c>
      <c r="I566" s="43" t="n">
        <v>2</v>
      </c>
      <c r="J566" s="33" t="str">
        <f aca="false">INDEX(Lookups_Metadata!$E$4:$E$10, MATCH(I566, Lookups_Metadata!$D$4:$D$10, 0))</f>
        <v>Tuesday</v>
      </c>
      <c r="K566" s="33" t="str">
        <f aca="false">IF(H566=TRUE(), "Holiday", IF(OR(I566=0, I566=6), "Weekend", "Weekday"))</f>
        <v>Weekday</v>
      </c>
      <c r="L566" s="33" t="str">
        <f aca="false">IF(AND(K566="Weekday", OR(AND(G566&gt;=7, G566&lt;=9), AND(G566&gt;=17, G566&lt;=19))), "Peak Commute", "Off-Peak")</f>
        <v>Off-Peak</v>
      </c>
      <c r="M566" s="43" t="n">
        <v>2</v>
      </c>
      <c r="N566" s="33" t="str">
        <f aca="false">VLOOKUP(M566, Lookups_Metadata!$G$4:$H$7, 2, FALSE())</f>
        <v>Mist / Cloudy</v>
      </c>
      <c r="O566" s="46" t="n">
        <v>0.3</v>
      </c>
      <c r="P566" s="46" t="n">
        <v>0.3333</v>
      </c>
      <c r="Q566" s="46" t="n">
        <f aca="false">IF(OR(P566="", ISBLANK(P566)), ROUND(0.9367*O566+0.0175, 4), P566)</f>
        <v>0.3333</v>
      </c>
      <c r="R566" s="33" t="str">
        <f aca="false">IF(OR(P566="", ISBLANK(P566)), "Imputed (Regression/Trend)", "Original")</f>
        <v>Original</v>
      </c>
      <c r="S566" s="46" t="n">
        <v>0.45</v>
      </c>
      <c r="T566" s="46" t="n">
        <v>0</v>
      </c>
      <c r="U566" s="18" t="n">
        <v>11</v>
      </c>
      <c r="V566" s="18" t="n">
        <v>57</v>
      </c>
      <c r="W566" s="18" t="n">
        <f aca="false">U566+V566</f>
        <v>68</v>
      </c>
      <c r="X566" s="47" t="n">
        <f aca="false">U566/W566</f>
        <v>0.161764705882353</v>
      </c>
      <c r="Y566" s="47" t="n">
        <f aca="false">V566/W566</f>
        <v>0.838235294117647</v>
      </c>
      <c r="Z566" s="33" t="str">
        <f aca="false">IF(W566&gt;=150, "High Demand", IF(W566&gt;=50, "Moderate Demand", "Low Demand"))</f>
        <v>Moderate Demand</v>
      </c>
      <c r="AA566" s="45" t="str">
        <f aca="false">TEXT(G566, "00") &amp; ":00"</f>
        <v>14:00</v>
      </c>
      <c r="AB566" s="43" t="n">
        <f aca="false">YEAR(B566)</f>
        <v>2011</v>
      </c>
      <c r="AC566" s="33" t="str">
        <f aca="false">TEXT(B566, "mmmm")</f>
        <v>January</v>
      </c>
      <c r="AD566" s="43" t="n">
        <f aca="false">LEN(TEXT(B566, "YYYY-MM-DD"))</f>
        <v>10</v>
      </c>
      <c r="AE566" s="45" t="str">
        <f aca="false">LEFT(TEXT(B566, "YYYY-MM-DD"), 4)</f>
        <v>2011</v>
      </c>
      <c r="AF566" s="45" t="str">
        <f aca="false">RIGHT(TEXT(B566, "YYYY-MM-DD"), 2)</f>
        <v>25</v>
      </c>
    </row>
    <row r="567" customFormat="false" ht="15" hidden="false" customHeight="false" outlineLevel="0" collapsed="false">
      <c r="A567" s="37" t="n">
        <v>563</v>
      </c>
      <c r="B567" s="38" t="s">
        <v>101</v>
      </c>
      <c r="C567" s="37" t="n">
        <v>1</v>
      </c>
      <c r="D567" s="35" t="str">
        <f aca="false">VLOOKUP(C567, Lookups_Metadata!$A$4:$B$7, 2, FALSE())</f>
        <v>Spring</v>
      </c>
      <c r="E567" s="37" t="n">
        <v>0</v>
      </c>
      <c r="F567" s="37" t="n">
        <v>1</v>
      </c>
      <c r="G567" s="37" t="n">
        <v>15</v>
      </c>
      <c r="H567" s="39" t="b">
        <f aca="false">FALSE()</f>
        <v>0</v>
      </c>
      <c r="I567" s="37" t="n">
        <v>2</v>
      </c>
      <c r="J567" s="35" t="str">
        <f aca="false">INDEX(Lookups_Metadata!$E$4:$E$10, MATCH(I567, Lookups_Metadata!$D$4:$D$10, 0))</f>
        <v>Tuesday</v>
      </c>
      <c r="K567" s="35" t="str">
        <f aca="false">IF(H567=TRUE(), "Holiday", IF(OR(I567=0, I567=6), "Weekend", "Weekday"))</f>
        <v>Weekday</v>
      </c>
      <c r="L567" s="35" t="str">
        <f aca="false">IF(AND(K567="Weekday", OR(AND(G567&gt;=7, G567&lt;=9), AND(G567&gt;=17, G567&lt;=19))), "Peak Commute", "Off-Peak")</f>
        <v>Off-Peak</v>
      </c>
      <c r="M567" s="37" t="n">
        <v>2</v>
      </c>
      <c r="N567" s="35" t="str">
        <f aca="false">VLOOKUP(M567, Lookups_Metadata!$G$4:$H$7, 2, FALSE())</f>
        <v>Mist / Cloudy</v>
      </c>
      <c r="O567" s="40" t="n">
        <v>0.32</v>
      </c>
      <c r="P567" s="40" t="n">
        <v>0.3485</v>
      </c>
      <c r="Q567" s="40" t="n">
        <f aca="false">IF(OR(P567="", ISBLANK(P567)), ROUND(0.9367*O567+0.0175, 4), P567)</f>
        <v>0.3485</v>
      </c>
      <c r="R567" s="35" t="str">
        <f aca="false">IF(OR(P567="", ISBLANK(P567)), "Imputed (Regression/Trend)", "Original")</f>
        <v>Original</v>
      </c>
      <c r="S567" s="40" t="n">
        <v>0.42</v>
      </c>
      <c r="T567" s="40" t="n">
        <v>0</v>
      </c>
      <c r="U567" s="41" t="n">
        <v>21</v>
      </c>
      <c r="V567" s="41" t="n">
        <v>63</v>
      </c>
      <c r="W567" s="41" t="n">
        <f aca="false">U567+V567</f>
        <v>84</v>
      </c>
      <c r="X567" s="42" t="n">
        <f aca="false">U567/W567</f>
        <v>0.25</v>
      </c>
      <c r="Y567" s="42" t="n">
        <f aca="false">V567/W567</f>
        <v>0.75</v>
      </c>
      <c r="Z567" s="35" t="str">
        <f aca="false">IF(W567&gt;=150, "High Demand", IF(W567&gt;=50, "Moderate Demand", "Low Demand"))</f>
        <v>Moderate Demand</v>
      </c>
      <c r="AA567" s="39" t="str">
        <f aca="false">TEXT(G567, "00") &amp; ":00"</f>
        <v>15:00</v>
      </c>
      <c r="AB567" s="37" t="n">
        <f aca="false">YEAR(B567)</f>
        <v>2011</v>
      </c>
      <c r="AC567" s="35" t="str">
        <f aca="false">TEXT(B567, "mmmm")</f>
        <v>January</v>
      </c>
      <c r="AD567" s="37" t="n">
        <f aca="false">LEN(TEXT(B567, "YYYY-MM-DD"))</f>
        <v>10</v>
      </c>
      <c r="AE567" s="39" t="str">
        <f aca="false">LEFT(TEXT(B567, "YYYY-MM-DD"), 4)</f>
        <v>2011</v>
      </c>
      <c r="AF567" s="39" t="str">
        <f aca="false">RIGHT(TEXT(B567, "YYYY-MM-DD"), 2)</f>
        <v>25</v>
      </c>
    </row>
    <row r="568" customFormat="false" ht="15" hidden="false" customHeight="false" outlineLevel="0" collapsed="false">
      <c r="A568" s="43" t="n">
        <v>564</v>
      </c>
      <c r="B568" s="44" t="s">
        <v>101</v>
      </c>
      <c r="C568" s="43" t="n">
        <v>1</v>
      </c>
      <c r="D568" s="33" t="str">
        <f aca="false">VLOOKUP(C568, Lookups_Metadata!$A$4:$B$7, 2, FALSE())</f>
        <v>Spring</v>
      </c>
      <c r="E568" s="43" t="n">
        <v>0</v>
      </c>
      <c r="F568" s="43" t="n">
        <v>1</v>
      </c>
      <c r="G568" s="43" t="n">
        <v>16</v>
      </c>
      <c r="H568" s="45" t="b">
        <f aca="false">FALSE()</f>
        <v>0</v>
      </c>
      <c r="I568" s="43" t="n">
        <v>2</v>
      </c>
      <c r="J568" s="33" t="str">
        <f aca="false">INDEX(Lookups_Metadata!$E$4:$E$10, MATCH(I568, Lookups_Metadata!$D$4:$D$10, 0))</f>
        <v>Tuesday</v>
      </c>
      <c r="K568" s="33" t="str">
        <f aca="false">IF(H568=TRUE(), "Holiday", IF(OR(I568=0, I568=6), "Weekend", "Weekday"))</f>
        <v>Weekday</v>
      </c>
      <c r="L568" s="33" t="str">
        <f aca="false">IF(AND(K568="Weekday", OR(AND(G568&gt;=7, G568&lt;=9), AND(G568&gt;=17, G568&lt;=19))), "Peak Commute", "Off-Peak")</f>
        <v>Off-Peak</v>
      </c>
      <c r="M568" s="43" t="n">
        <v>2</v>
      </c>
      <c r="N568" s="33" t="str">
        <f aca="false">VLOOKUP(M568, Lookups_Metadata!$G$4:$H$7, 2, FALSE())</f>
        <v>Mist / Cloudy</v>
      </c>
      <c r="O568" s="46" t="n">
        <v>0.32</v>
      </c>
      <c r="P568" s="46" t="n">
        <v>0.3485</v>
      </c>
      <c r="Q568" s="46" t="n">
        <f aca="false">IF(OR(P568="", ISBLANK(P568)), ROUND(0.9367*O568+0.0175, 4), P568)</f>
        <v>0.3485</v>
      </c>
      <c r="R568" s="33" t="str">
        <f aca="false">IF(OR(P568="", ISBLANK(P568)), "Imputed (Regression/Trend)", "Original")</f>
        <v>Original</v>
      </c>
      <c r="S568" s="46" t="n">
        <v>0.42</v>
      </c>
      <c r="T568" s="46" t="n">
        <v>0</v>
      </c>
      <c r="U568" s="18" t="n">
        <v>14</v>
      </c>
      <c r="V568" s="18" t="n">
        <v>102</v>
      </c>
      <c r="W568" s="18" t="n">
        <f aca="false">U568+V568</f>
        <v>116</v>
      </c>
      <c r="X568" s="47" t="n">
        <f aca="false">U568/W568</f>
        <v>0.120689655172414</v>
      </c>
      <c r="Y568" s="47" t="n">
        <f aca="false">V568/W568</f>
        <v>0.879310344827586</v>
      </c>
      <c r="Z568" s="33" t="str">
        <f aca="false">IF(W568&gt;=150, "High Demand", IF(W568&gt;=50, "Moderate Demand", "Low Demand"))</f>
        <v>Moderate Demand</v>
      </c>
      <c r="AA568" s="45" t="str">
        <f aca="false">TEXT(G568, "00") &amp; ":00"</f>
        <v>16:00</v>
      </c>
      <c r="AB568" s="43" t="n">
        <f aca="false">YEAR(B568)</f>
        <v>2011</v>
      </c>
      <c r="AC568" s="33" t="str">
        <f aca="false">TEXT(B568, "mmmm")</f>
        <v>January</v>
      </c>
      <c r="AD568" s="43" t="n">
        <f aca="false">LEN(TEXT(B568, "YYYY-MM-DD"))</f>
        <v>10</v>
      </c>
      <c r="AE568" s="45" t="str">
        <f aca="false">LEFT(TEXT(B568, "YYYY-MM-DD"), 4)</f>
        <v>2011</v>
      </c>
      <c r="AF568" s="45" t="str">
        <f aca="false">RIGHT(TEXT(B568, "YYYY-MM-DD"), 2)</f>
        <v>25</v>
      </c>
    </row>
    <row r="569" customFormat="false" ht="15" hidden="false" customHeight="false" outlineLevel="0" collapsed="false">
      <c r="A569" s="37" t="n">
        <v>565</v>
      </c>
      <c r="B569" s="38" t="s">
        <v>101</v>
      </c>
      <c r="C569" s="37" t="n">
        <v>1</v>
      </c>
      <c r="D569" s="35" t="str">
        <f aca="false">VLOOKUP(C569, Lookups_Metadata!$A$4:$B$7, 2, FALSE())</f>
        <v>Spring</v>
      </c>
      <c r="E569" s="37" t="n">
        <v>0</v>
      </c>
      <c r="F569" s="37" t="n">
        <v>1</v>
      </c>
      <c r="G569" s="37" t="n">
        <v>17</v>
      </c>
      <c r="H569" s="39" t="b">
        <f aca="false">FALSE()</f>
        <v>0</v>
      </c>
      <c r="I569" s="37" t="n">
        <v>2</v>
      </c>
      <c r="J569" s="35" t="str">
        <f aca="false">INDEX(Lookups_Metadata!$E$4:$E$10, MATCH(I569, Lookups_Metadata!$D$4:$D$10, 0))</f>
        <v>Tuesday</v>
      </c>
      <c r="K569" s="35" t="str">
        <f aca="false">IF(H569=TRUE(), "Holiday", IF(OR(I569=0, I569=6), "Weekend", "Weekday"))</f>
        <v>Weekday</v>
      </c>
      <c r="L569" s="35" t="str">
        <f aca="false">IF(AND(K569="Weekday", OR(AND(G569&gt;=7, G569&lt;=9), AND(G569&gt;=17, G569&lt;=19))), "Peak Commute", "Off-Peak")</f>
        <v>Peak Commute</v>
      </c>
      <c r="M569" s="37" t="n">
        <v>1</v>
      </c>
      <c r="N569" s="35" t="str">
        <f aca="false">VLOOKUP(M569, Lookups_Metadata!$G$4:$H$7, 2, FALSE())</f>
        <v>Clear / Few Clouds</v>
      </c>
      <c r="O569" s="40" t="n">
        <v>0.3</v>
      </c>
      <c r="P569" s="40" t="n">
        <v>0.3333</v>
      </c>
      <c r="Q569" s="40" t="n">
        <f aca="false">IF(OR(P569="", ISBLANK(P569)), ROUND(0.9367*O569+0.0175, 4), P569)</f>
        <v>0.3333</v>
      </c>
      <c r="R569" s="35" t="str">
        <f aca="false">IF(OR(P569="", ISBLANK(P569)), "Imputed (Regression/Trend)", "Original")</f>
        <v>Original</v>
      </c>
      <c r="S569" s="40" t="n">
        <v>0.45</v>
      </c>
      <c r="T569" s="40" t="n">
        <v>0</v>
      </c>
      <c r="U569" s="41" t="n">
        <v>14</v>
      </c>
      <c r="V569" s="41" t="n">
        <v>208</v>
      </c>
      <c r="W569" s="41" t="n">
        <f aca="false">U569+V569</f>
        <v>222</v>
      </c>
      <c r="X569" s="42" t="n">
        <f aca="false">U569/W569</f>
        <v>0.0630630630630631</v>
      </c>
      <c r="Y569" s="42" t="n">
        <f aca="false">V569/W569</f>
        <v>0.936936936936937</v>
      </c>
      <c r="Z569" s="35" t="str">
        <f aca="false">IF(W569&gt;=150, "High Demand", IF(W569&gt;=50, "Moderate Demand", "Low Demand"))</f>
        <v>High Demand</v>
      </c>
      <c r="AA569" s="39" t="str">
        <f aca="false">TEXT(G569, "00") &amp; ":00"</f>
        <v>17:00</v>
      </c>
      <c r="AB569" s="37" t="n">
        <f aca="false">YEAR(B569)</f>
        <v>2011</v>
      </c>
      <c r="AC569" s="35" t="str">
        <f aca="false">TEXT(B569, "mmmm")</f>
        <v>January</v>
      </c>
      <c r="AD569" s="37" t="n">
        <f aca="false">LEN(TEXT(B569, "YYYY-MM-DD"))</f>
        <v>10</v>
      </c>
      <c r="AE569" s="39" t="str">
        <f aca="false">LEFT(TEXT(B569, "YYYY-MM-DD"), 4)</f>
        <v>2011</v>
      </c>
      <c r="AF569" s="39" t="str">
        <f aca="false">RIGHT(TEXT(B569, "YYYY-MM-DD"), 2)</f>
        <v>25</v>
      </c>
    </row>
    <row r="570" customFormat="false" ht="15" hidden="false" customHeight="false" outlineLevel="0" collapsed="false">
      <c r="A570" s="43" t="n">
        <v>566</v>
      </c>
      <c r="B570" s="44" t="s">
        <v>101</v>
      </c>
      <c r="C570" s="43" t="n">
        <v>1</v>
      </c>
      <c r="D570" s="33" t="str">
        <f aca="false">VLOOKUP(C570, Lookups_Metadata!$A$4:$B$7, 2, FALSE())</f>
        <v>Spring</v>
      </c>
      <c r="E570" s="43" t="n">
        <v>0</v>
      </c>
      <c r="F570" s="43" t="n">
        <v>1</v>
      </c>
      <c r="G570" s="43" t="n">
        <v>18</v>
      </c>
      <c r="H570" s="45" t="b">
        <f aca="false">FALSE()</f>
        <v>0</v>
      </c>
      <c r="I570" s="43" t="n">
        <v>2</v>
      </c>
      <c r="J570" s="33" t="str">
        <f aca="false">INDEX(Lookups_Metadata!$E$4:$E$10, MATCH(I570, Lookups_Metadata!$D$4:$D$10, 0))</f>
        <v>Tuesday</v>
      </c>
      <c r="K570" s="33" t="str">
        <f aca="false">IF(H570=TRUE(), "Holiday", IF(OR(I570=0, I570=6), "Weekend", "Weekday"))</f>
        <v>Weekday</v>
      </c>
      <c r="L570" s="33" t="str">
        <f aca="false">IF(AND(K570="Weekday", OR(AND(G570&gt;=7, G570&lt;=9), AND(G570&gt;=17, G570&lt;=19))), "Peak Commute", "Off-Peak")</f>
        <v>Peak Commute</v>
      </c>
      <c r="M570" s="43" t="n">
        <v>2</v>
      </c>
      <c r="N570" s="33" t="str">
        <f aca="false">VLOOKUP(M570, Lookups_Metadata!$G$4:$H$7, 2, FALSE())</f>
        <v>Mist / Cloudy</v>
      </c>
      <c r="O570" s="46" t="n">
        <v>0.3</v>
      </c>
      <c r="P570" s="46" t="n">
        <v>0.3182</v>
      </c>
      <c r="Q570" s="46" t="n">
        <f aca="false">IF(OR(P570="", ISBLANK(P570)), ROUND(0.9367*O570+0.0175, 4), P570)</f>
        <v>0.3182</v>
      </c>
      <c r="R570" s="33" t="str">
        <f aca="false">IF(OR(P570="", ISBLANK(P570)), "Imputed (Regression/Trend)", "Original")</f>
        <v>Original</v>
      </c>
      <c r="S570" s="46" t="n">
        <v>0.49</v>
      </c>
      <c r="T570" s="46" t="n">
        <v>0.0896</v>
      </c>
      <c r="U570" s="18" t="n">
        <v>7</v>
      </c>
      <c r="V570" s="18" t="n">
        <v>218</v>
      </c>
      <c r="W570" s="18" t="n">
        <f aca="false">U570+V570</f>
        <v>225</v>
      </c>
      <c r="X570" s="47" t="n">
        <f aca="false">U570/W570</f>
        <v>0.0311111111111111</v>
      </c>
      <c r="Y570" s="47" t="n">
        <f aca="false">V570/W570</f>
        <v>0.968888888888889</v>
      </c>
      <c r="Z570" s="33" t="str">
        <f aca="false">IF(W570&gt;=150, "High Demand", IF(W570&gt;=50, "Moderate Demand", "Low Demand"))</f>
        <v>High Demand</v>
      </c>
      <c r="AA570" s="45" t="str">
        <f aca="false">TEXT(G570, "00") &amp; ":00"</f>
        <v>18:00</v>
      </c>
      <c r="AB570" s="43" t="n">
        <f aca="false">YEAR(B570)</f>
        <v>2011</v>
      </c>
      <c r="AC570" s="33" t="str">
        <f aca="false">TEXT(B570, "mmmm")</f>
        <v>January</v>
      </c>
      <c r="AD570" s="43" t="n">
        <f aca="false">LEN(TEXT(B570, "YYYY-MM-DD"))</f>
        <v>10</v>
      </c>
      <c r="AE570" s="45" t="str">
        <f aca="false">LEFT(TEXT(B570, "YYYY-MM-DD"), 4)</f>
        <v>2011</v>
      </c>
      <c r="AF570" s="45" t="str">
        <f aca="false">RIGHT(TEXT(B570, "YYYY-MM-DD"), 2)</f>
        <v>25</v>
      </c>
    </row>
    <row r="571" customFormat="false" ht="15" hidden="false" customHeight="false" outlineLevel="0" collapsed="false">
      <c r="A571" s="37" t="n">
        <v>567</v>
      </c>
      <c r="B571" s="38" t="s">
        <v>101</v>
      </c>
      <c r="C571" s="37" t="n">
        <v>1</v>
      </c>
      <c r="D571" s="35" t="str">
        <f aca="false">VLOOKUP(C571, Lookups_Metadata!$A$4:$B$7, 2, FALSE())</f>
        <v>Spring</v>
      </c>
      <c r="E571" s="37" t="n">
        <v>0</v>
      </c>
      <c r="F571" s="37" t="n">
        <v>1</v>
      </c>
      <c r="G571" s="37" t="n">
        <v>19</v>
      </c>
      <c r="H571" s="39" t="b">
        <f aca="false">FALSE()</f>
        <v>0</v>
      </c>
      <c r="I571" s="37" t="n">
        <v>2</v>
      </c>
      <c r="J571" s="35" t="str">
        <f aca="false">INDEX(Lookups_Metadata!$E$4:$E$10, MATCH(I571, Lookups_Metadata!$D$4:$D$10, 0))</f>
        <v>Tuesday</v>
      </c>
      <c r="K571" s="35" t="str">
        <f aca="false">IF(H571=TRUE(), "Holiday", IF(OR(I571=0, I571=6), "Weekend", "Weekday"))</f>
        <v>Weekday</v>
      </c>
      <c r="L571" s="35" t="str">
        <f aca="false">IF(AND(K571="Weekday", OR(AND(G571&gt;=7, G571&lt;=9), AND(G571&gt;=17, G571&lt;=19))), "Peak Commute", "Off-Peak")</f>
        <v>Peak Commute</v>
      </c>
      <c r="M571" s="37" t="n">
        <v>2</v>
      </c>
      <c r="N571" s="35" t="str">
        <f aca="false">VLOOKUP(M571, Lookups_Metadata!$G$4:$H$7, 2, FALSE())</f>
        <v>Mist / Cloudy</v>
      </c>
      <c r="O571" s="40" t="n">
        <v>0.26</v>
      </c>
      <c r="P571" s="40" t="n">
        <v>0.2576</v>
      </c>
      <c r="Q571" s="40" t="n">
        <f aca="false">IF(OR(P571="", ISBLANK(P571)), ROUND(0.9367*O571+0.0175, 4), P571)</f>
        <v>0.2576</v>
      </c>
      <c r="R571" s="35" t="str">
        <f aca="false">IF(OR(P571="", ISBLANK(P571)), "Imputed (Regression/Trend)", "Original")</f>
        <v>Original</v>
      </c>
      <c r="S571" s="40" t="n">
        <v>0.65</v>
      </c>
      <c r="T571" s="40" t="n">
        <v>0.1642</v>
      </c>
      <c r="U571" s="41" t="n">
        <v>13</v>
      </c>
      <c r="V571" s="41" t="n">
        <v>133</v>
      </c>
      <c r="W571" s="41" t="n">
        <f aca="false">U571+V571</f>
        <v>146</v>
      </c>
      <c r="X571" s="42" t="n">
        <f aca="false">U571/W571</f>
        <v>0.089041095890411</v>
      </c>
      <c r="Y571" s="42" t="n">
        <f aca="false">V571/W571</f>
        <v>0.910958904109589</v>
      </c>
      <c r="Z571" s="35" t="str">
        <f aca="false">IF(W571&gt;=150, "High Demand", IF(W571&gt;=50, "Moderate Demand", "Low Demand"))</f>
        <v>Moderate Demand</v>
      </c>
      <c r="AA571" s="39" t="str">
        <f aca="false">TEXT(G571, "00") &amp; ":00"</f>
        <v>19:00</v>
      </c>
      <c r="AB571" s="37" t="n">
        <f aca="false">YEAR(B571)</f>
        <v>2011</v>
      </c>
      <c r="AC571" s="35" t="str">
        <f aca="false">TEXT(B571, "mmmm")</f>
        <v>January</v>
      </c>
      <c r="AD571" s="37" t="n">
        <f aca="false">LEN(TEXT(B571, "YYYY-MM-DD"))</f>
        <v>10</v>
      </c>
      <c r="AE571" s="39" t="str">
        <f aca="false">LEFT(TEXT(B571, "YYYY-MM-DD"), 4)</f>
        <v>2011</v>
      </c>
      <c r="AF571" s="39" t="str">
        <f aca="false">RIGHT(TEXT(B571, "YYYY-MM-DD"), 2)</f>
        <v>25</v>
      </c>
    </row>
    <row r="572" customFormat="false" ht="15" hidden="false" customHeight="false" outlineLevel="0" collapsed="false">
      <c r="A572" s="43" t="n">
        <v>568</v>
      </c>
      <c r="B572" s="44" t="s">
        <v>101</v>
      </c>
      <c r="C572" s="43" t="n">
        <v>1</v>
      </c>
      <c r="D572" s="33" t="str">
        <f aca="false">VLOOKUP(C572, Lookups_Metadata!$A$4:$B$7, 2, FALSE())</f>
        <v>Spring</v>
      </c>
      <c r="E572" s="43" t="n">
        <v>0</v>
      </c>
      <c r="F572" s="43" t="n">
        <v>1</v>
      </c>
      <c r="G572" s="43" t="n">
        <v>20</v>
      </c>
      <c r="H572" s="45" t="b">
        <f aca="false">FALSE()</f>
        <v>0</v>
      </c>
      <c r="I572" s="43" t="n">
        <v>2</v>
      </c>
      <c r="J572" s="33" t="str">
        <f aca="false">INDEX(Lookups_Metadata!$E$4:$E$10, MATCH(I572, Lookups_Metadata!$D$4:$D$10, 0))</f>
        <v>Tuesday</v>
      </c>
      <c r="K572" s="33" t="str">
        <f aca="false">IF(H572=TRUE(), "Holiday", IF(OR(I572=0, I572=6), "Weekend", "Weekday"))</f>
        <v>Weekday</v>
      </c>
      <c r="L572" s="33" t="str">
        <f aca="false">IF(AND(K572="Weekday", OR(AND(G572&gt;=7, G572&lt;=9), AND(G572&gt;=17, G572&lt;=19))), "Peak Commute", "Off-Peak")</f>
        <v>Off-Peak</v>
      </c>
      <c r="M572" s="43" t="n">
        <v>1</v>
      </c>
      <c r="N572" s="33" t="str">
        <f aca="false">VLOOKUP(M572, Lookups_Metadata!$G$4:$H$7, 2, FALSE())</f>
        <v>Clear / Few Clouds</v>
      </c>
      <c r="O572" s="46" t="n">
        <v>0.24</v>
      </c>
      <c r="P572" s="46" t="n">
        <v>0.2273</v>
      </c>
      <c r="Q572" s="46" t="n">
        <f aca="false">IF(OR(P572="", ISBLANK(P572)), ROUND(0.9367*O572+0.0175, 4), P572)</f>
        <v>0.2273</v>
      </c>
      <c r="R572" s="33" t="str">
        <f aca="false">IF(OR(P572="", ISBLANK(P572)), "Imputed (Regression/Trend)", "Original")</f>
        <v>Original</v>
      </c>
      <c r="S572" s="46" t="n">
        <v>0.65</v>
      </c>
      <c r="T572" s="46" t="n">
        <v>0.194</v>
      </c>
      <c r="U572" s="18" t="n">
        <v>16</v>
      </c>
      <c r="V572" s="18" t="n">
        <v>103</v>
      </c>
      <c r="W572" s="18" t="n">
        <f aca="false">U572+V572</f>
        <v>119</v>
      </c>
      <c r="X572" s="47" t="n">
        <f aca="false">U572/W572</f>
        <v>0.134453781512605</v>
      </c>
      <c r="Y572" s="47" t="n">
        <f aca="false">V572/W572</f>
        <v>0.865546218487395</v>
      </c>
      <c r="Z572" s="33" t="str">
        <f aca="false">IF(W572&gt;=150, "High Demand", IF(W572&gt;=50, "Moderate Demand", "Low Demand"))</f>
        <v>Moderate Demand</v>
      </c>
      <c r="AA572" s="45" t="str">
        <f aca="false">TEXT(G572, "00") &amp; ":00"</f>
        <v>20:00</v>
      </c>
      <c r="AB572" s="43" t="n">
        <f aca="false">YEAR(B572)</f>
        <v>2011</v>
      </c>
      <c r="AC572" s="33" t="str">
        <f aca="false">TEXT(B572, "mmmm")</f>
        <v>January</v>
      </c>
      <c r="AD572" s="43" t="n">
        <f aca="false">LEN(TEXT(B572, "YYYY-MM-DD"))</f>
        <v>10</v>
      </c>
      <c r="AE572" s="45" t="str">
        <f aca="false">LEFT(TEXT(B572, "YYYY-MM-DD"), 4)</f>
        <v>2011</v>
      </c>
      <c r="AF572" s="45" t="str">
        <f aca="false">RIGHT(TEXT(B572, "YYYY-MM-DD"), 2)</f>
        <v>25</v>
      </c>
    </row>
    <row r="573" customFormat="false" ht="15" hidden="false" customHeight="false" outlineLevel="0" collapsed="false">
      <c r="A573" s="37" t="n">
        <v>569</v>
      </c>
      <c r="B573" s="38" t="s">
        <v>101</v>
      </c>
      <c r="C573" s="37" t="n">
        <v>1</v>
      </c>
      <c r="D573" s="35" t="str">
        <f aca="false">VLOOKUP(C573, Lookups_Metadata!$A$4:$B$7, 2, FALSE())</f>
        <v>Spring</v>
      </c>
      <c r="E573" s="37" t="n">
        <v>0</v>
      </c>
      <c r="F573" s="37" t="n">
        <v>1</v>
      </c>
      <c r="G573" s="37" t="n">
        <v>21</v>
      </c>
      <c r="H573" s="39" t="b">
        <f aca="false">FALSE()</f>
        <v>0</v>
      </c>
      <c r="I573" s="37" t="n">
        <v>2</v>
      </c>
      <c r="J573" s="35" t="str">
        <f aca="false">INDEX(Lookups_Metadata!$E$4:$E$10, MATCH(I573, Lookups_Metadata!$D$4:$D$10, 0))</f>
        <v>Tuesday</v>
      </c>
      <c r="K573" s="35" t="str">
        <f aca="false">IF(H573=TRUE(), "Holiday", IF(OR(I573=0, I573=6), "Weekend", "Weekday"))</f>
        <v>Weekday</v>
      </c>
      <c r="L573" s="35" t="str">
        <f aca="false">IF(AND(K573="Weekday", OR(AND(G573&gt;=7, G573&lt;=9), AND(G573&gt;=17, G573&lt;=19))), "Peak Commute", "Off-Peak")</f>
        <v>Off-Peak</v>
      </c>
      <c r="M573" s="37" t="n">
        <v>1</v>
      </c>
      <c r="N573" s="35" t="str">
        <f aca="false">VLOOKUP(M573, Lookups_Metadata!$G$4:$H$7, 2, FALSE())</f>
        <v>Clear / Few Clouds</v>
      </c>
      <c r="O573" s="40" t="n">
        <v>0.24</v>
      </c>
      <c r="P573" s="40" t="n">
        <v>0.2273</v>
      </c>
      <c r="Q573" s="40" t="n">
        <f aca="false">IF(OR(P573="", ISBLANK(P573)), ROUND(0.9367*O573+0.0175, 4), P573)</f>
        <v>0.2273</v>
      </c>
      <c r="R573" s="35" t="str">
        <f aca="false">IF(OR(P573="", ISBLANK(P573)), "Imputed (Regression/Trend)", "Original")</f>
        <v>Original</v>
      </c>
      <c r="S573" s="40" t="n">
        <v>0.65</v>
      </c>
      <c r="T573" s="40" t="n">
        <v>0.194</v>
      </c>
      <c r="U573" s="41" t="n">
        <v>5</v>
      </c>
      <c r="V573" s="41" t="n">
        <v>40</v>
      </c>
      <c r="W573" s="41" t="n">
        <f aca="false">U573+V573</f>
        <v>45</v>
      </c>
      <c r="X573" s="42" t="n">
        <f aca="false">U573/W573</f>
        <v>0.111111111111111</v>
      </c>
      <c r="Y573" s="42" t="n">
        <f aca="false">V573/W573</f>
        <v>0.888888888888889</v>
      </c>
      <c r="Z573" s="35" t="str">
        <f aca="false">IF(W573&gt;=150, "High Demand", IF(W573&gt;=50, "Moderate Demand", "Low Demand"))</f>
        <v>Low Demand</v>
      </c>
      <c r="AA573" s="39" t="str">
        <f aca="false">TEXT(G573, "00") &amp; ":00"</f>
        <v>21:00</v>
      </c>
      <c r="AB573" s="37" t="n">
        <f aca="false">YEAR(B573)</f>
        <v>2011</v>
      </c>
      <c r="AC573" s="35" t="str">
        <f aca="false">TEXT(B573, "mmmm")</f>
        <v>January</v>
      </c>
      <c r="AD573" s="37" t="n">
        <f aca="false">LEN(TEXT(B573, "YYYY-MM-DD"))</f>
        <v>10</v>
      </c>
      <c r="AE573" s="39" t="str">
        <f aca="false">LEFT(TEXT(B573, "YYYY-MM-DD"), 4)</f>
        <v>2011</v>
      </c>
      <c r="AF573" s="39" t="str">
        <f aca="false">RIGHT(TEXT(B573, "YYYY-MM-DD"), 2)</f>
        <v>25</v>
      </c>
    </row>
    <row r="574" customFormat="false" ht="15" hidden="false" customHeight="false" outlineLevel="0" collapsed="false">
      <c r="A574" s="43" t="n">
        <v>570</v>
      </c>
      <c r="B574" s="44" t="s">
        <v>101</v>
      </c>
      <c r="C574" s="43" t="n">
        <v>1</v>
      </c>
      <c r="D574" s="33" t="str">
        <f aca="false">VLOOKUP(C574, Lookups_Metadata!$A$4:$B$7, 2, FALSE())</f>
        <v>Spring</v>
      </c>
      <c r="E574" s="43" t="n">
        <v>0</v>
      </c>
      <c r="F574" s="43" t="n">
        <v>1</v>
      </c>
      <c r="G574" s="43" t="n">
        <v>22</v>
      </c>
      <c r="H574" s="45" t="b">
        <f aca="false">FALSE()</f>
        <v>0</v>
      </c>
      <c r="I574" s="43" t="n">
        <v>2</v>
      </c>
      <c r="J574" s="33" t="str">
        <f aca="false">INDEX(Lookups_Metadata!$E$4:$E$10, MATCH(I574, Lookups_Metadata!$D$4:$D$10, 0))</f>
        <v>Tuesday</v>
      </c>
      <c r="K574" s="33" t="str">
        <f aca="false">IF(H574=TRUE(), "Holiday", IF(OR(I574=0, I574=6), "Weekend", "Weekday"))</f>
        <v>Weekday</v>
      </c>
      <c r="L574" s="33" t="str">
        <f aca="false">IF(AND(K574="Weekday", OR(AND(G574&gt;=7, G574&lt;=9), AND(G574&gt;=17, G574&lt;=19))), "Peak Commute", "Off-Peak")</f>
        <v>Off-Peak</v>
      </c>
      <c r="M574" s="43" t="n">
        <v>1</v>
      </c>
      <c r="N574" s="33" t="str">
        <f aca="false">VLOOKUP(M574, Lookups_Metadata!$G$4:$H$7, 2, FALSE())</f>
        <v>Clear / Few Clouds</v>
      </c>
      <c r="O574" s="46" t="n">
        <v>0.22</v>
      </c>
      <c r="P574" s="46" t="n">
        <v>0.2273</v>
      </c>
      <c r="Q574" s="46" t="n">
        <f aca="false">IF(OR(P574="", ISBLANK(P574)), ROUND(0.9367*O574+0.0175, 4), P574)</f>
        <v>0.2273</v>
      </c>
      <c r="R574" s="33" t="str">
        <f aca="false">IF(OR(P574="", ISBLANK(P574)), "Imputed (Regression/Trend)", "Original")</f>
        <v>Original</v>
      </c>
      <c r="S574" s="46" t="n">
        <v>0.64</v>
      </c>
      <c r="T574" s="46" t="n">
        <v>0.1642</v>
      </c>
      <c r="U574" s="18" t="n">
        <v>4</v>
      </c>
      <c r="V574" s="18" t="n">
        <v>49</v>
      </c>
      <c r="W574" s="18" t="n">
        <f aca="false">U574+V574</f>
        <v>53</v>
      </c>
      <c r="X574" s="47" t="n">
        <f aca="false">U574/W574</f>
        <v>0.0754716981132075</v>
      </c>
      <c r="Y574" s="47" t="n">
        <f aca="false">V574/W574</f>
        <v>0.924528301886793</v>
      </c>
      <c r="Z574" s="33" t="str">
        <f aca="false">IF(W574&gt;=150, "High Demand", IF(W574&gt;=50, "Moderate Demand", "Low Demand"))</f>
        <v>Moderate Demand</v>
      </c>
      <c r="AA574" s="45" t="str">
        <f aca="false">TEXT(G574, "00") &amp; ":00"</f>
        <v>22:00</v>
      </c>
      <c r="AB574" s="43" t="n">
        <f aca="false">YEAR(B574)</f>
        <v>2011</v>
      </c>
      <c r="AC574" s="33" t="str">
        <f aca="false">TEXT(B574, "mmmm")</f>
        <v>January</v>
      </c>
      <c r="AD574" s="43" t="n">
        <f aca="false">LEN(TEXT(B574, "YYYY-MM-DD"))</f>
        <v>10</v>
      </c>
      <c r="AE574" s="45" t="str">
        <f aca="false">LEFT(TEXT(B574, "YYYY-MM-DD"), 4)</f>
        <v>2011</v>
      </c>
      <c r="AF574" s="45" t="str">
        <f aca="false">RIGHT(TEXT(B574, "YYYY-MM-DD"), 2)</f>
        <v>25</v>
      </c>
    </row>
    <row r="575" customFormat="false" ht="15" hidden="false" customHeight="false" outlineLevel="0" collapsed="false">
      <c r="A575" s="37" t="n">
        <v>571</v>
      </c>
      <c r="B575" s="38" t="s">
        <v>101</v>
      </c>
      <c r="C575" s="37" t="n">
        <v>1</v>
      </c>
      <c r="D575" s="35" t="str">
        <f aca="false">VLOOKUP(C575, Lookups_Metadata!$A$4:$B$7, 2, FALSE())</f>
        <v>Spring</v>
      </c>
      <c r="E575" s="37" t="n">
        <v>0</v>
      </c>
      <c r="F575" s="37" t="n">
        <v>1</v>
      </c>
      <c r="G575" s="37" t="n">
        <v>23</v>
      </c>
      <c r="H575" s="39" t="b">
        <f aca="false">FALSE()</f>
        <v>0</v>
      </c>
      <c r="I575" s="37" t="n">
        <v>2</v>
      </c>
      <c r="J575" s="35" t="str">
        <f aca="false">INDEX(Lookups_Metadata!$E$4:$E$10, MATCH(I575, Lookups_Metadata!$D$4:$D$10, 0))</f>
        <v>Tuesday</v>
      </c>
      <c r="K575" s="35" t="str">
        <f aca="false">IF(H575=TRUE(), "Holiday", IF(OR(I575=0, I575=6), "Weekend", "Weekday"))</f>
        <v>Weekday</v>
      </c>
      <c r="L575" s="35" t="str">
        <f aca="false">IF(AND(K575="Weekday", OR(AND(G575&gt;=7, G575&lt;=9), AND(G575&gt;=17, G575&lt;=19))), "Peak Commute", "Off-Peak")</f>
        <v>Off-Peak</v>
      </c>
      <c r="M575" s="37" t="n">
        <v>2</v>
      </c>
      <c r="N575" s="35" t="str">
        <f aca="false">VLOOKUP(M575, Lookups_Metadata!$G$4:$H$7, 2, FALSE())</f>
        <v>Mist / Cloudy</v>
      </c>
      <c r="O575" s="40" t="n">
        <v>0.22</v>
      </c>
      <c r="P575" s="40" t="n">
        <v>0.2273</v>
      </c>
      <c r="Q575" s="40" t="n">
        <f aca="false">IF(OR(P575="", ISBLANK(P575)), ROUND(0.9367*O575+0.0175, 4), P575)</f>
        <v>0.2273</v>
      </c>
      <c r="R575" s="35" t="str">
        <f aca="false">IF(OR(P575="", ISBLANK(P575)), "Imputed (Regression/Trend)", "Original")</f>
        <v>Original</v>
      </c>
      <c r="S575" s="40" t="n">
        <v>0.64</v>
      </c>
      <c r="T575" s="40" t="n">
        <v>0.1642</v>
      </c>
      <c r="U575" s="41" t="n">
        <v>3</v>
      </c>
      <c r="V575" s="41" t="n">
        <v>37</v>
      </c>
      <c r="W575" s="41" t="n">
        <f aca="false">U575+V575</f>
        <v>40</v>
      </c>
      <c r="X575" s="42" t="n">
        <f aca="false">U575/W575</f>
        <v>0.075</v>
      </c>
      <c r="Y575" s="42" t="n">
        <f aca="false">V575/W575</f>
        <v>0.925</v>
      </c>
      <c r="Z575" s="35" t="str">
        <f aca="false">IF(W575&gt;=150, "High Demand", IF(W575&gt;=50, "Moderate Demand", "Low Demand"))</f>
        <v>Low Demand</v>
      </c>
      <c r="AA575" s="39" t="str">
        <f aca="false">TEXT(G575, "00") &amp; ":00"</f>
        <v>23:00</v>
      </c>
      <c r="AB575" s="37" t="n">
        <f aca="false">YEAR(B575)</f>
        <v>2011</v>
      </c>
      <c r="AC575" s="35" t="str">
        <f aca="false">TEXT(B575, "mmmm")</f>
        <v>January</v>
      </c>
      <c r="AD575" s="37" t="n">
        <f aca="false">LEN(TEXT(B575, "YYYY-MM-DD"))</f>
        <v>10</v>
      </c>
      <c r="AE575" s="39" t="str">
        <f aca="false">LEFT(TEXT(B575, "YYYY-MM-DD"), 4)</f>
        <v>2011</v>
      </c>
      <c r="AF575" s="39" t="str">
        <f aca="false">RIGHT(TEXT(B575, "YYYY-MM-DD"), 2)</f>
        <v>25</v>
      </c>
    </row>
    <row r="576" customFormat="false" ht="15" hidden="false" customHeight="false" outlineLevel="0" collapsed="false">
      <c r="A576" s="43" t="n">
        <v>572</v>
      </c>
      <c r="B576" s="44" t="s">
        <v>102</v>
      </c>
      <c r="C576" s="43" t="n">
        <v>1</v>
      </c>
      <c r="D576" s="33" t="str">
        <f aca="false">VLOOKUP(C576, Lookups_Metadata!$A$4:$B$7, 2, FALSE())</f>
        <v>Spring</v>
      </c>
      <c r="E576" s="43" t="n">
        <v>0</v>
      </c>
      <c r="F576" s="43" t="n">
        <v>1</v>
      </c>
      <c r="G576" s="43" t="n">
        <v>0</v>
      </c>
      <c r="H576" s="45" t="b">
        <f aca="false">FALSE()</f>
        <v>0</v>
      </c>
      <c r="I576" s="43" t="n">
        <v>3</v>
      </c>
      <c r="J576" s="33" t="str">
        <f aca="false">INDEX(Lookups_Metadata!$E$4:$E$10, MATCH(I576, Lookups_Metadata!$D$4:$D$10, 0))</f>
        <v>Wednesday</v>
      </c>
      <c r="K576" s="33" t="str">
        <f aca="false">IF(H576=TRUE(), "Holiday", IF(OR(I576=0, I576=6), "Weekend", "Weekday"))</f>
        <v>Weekday</v>
      </c>
      <c r="L576" s="33" t="str">
        <f aca="false">IF(AND(K576="Weekday", OR(AND(G576&gt;=7, G576&lt;=9), AND(G576&gt;=17, G576&lt;=19))), "Peak Commute", "Off-Peak")</f>
        <v>Off-Peak</v>
      </c>
      <c r="M576" s="43" t="n">
        <v>2</v>
      </c>
      <c r="N576" s="33" t="str">
        <f aca="false">VLOOKUP(M576, Lookups_Metadata!$G$4:$H$7, 2, FALSE())</f>
        <v>Mist / Cloudy</v>
      </c>
      <c r="O576" s="46" t="n">
        <v>0.22</v>
      </c>
      <c r="P576" s="46" t="n">
        <v>0.2273</v>
      </c>
      <c r="Q576" s="46" t="n">
        <f aca="false">IF(OR(P576="", ISBLANK(P576)), ROUND(0.9367*O576+0.0175, 4), P576)</f>
        <v>0.2273</v>
      </c>
      <c r="R576" s="33" t="str">
        <f aca="false">IF(OR(P576="", ISBLANK(P576)), "Imputed (Regression/Trend)", "Original")</f>
        <v>Original</v>
      </c>
      <c r="S576" s="46" t="n">
        <v>0.69</v>
      </c>
      <c r="T576" s="46" t="n">
        <v>0.1343</v>
      </c>
      <c r="U576" s="18" t="n">
        <v>3</v>
      </c>
      <c r="V576" s="18" t="n">
        <v>14</v>
      </c>
      <c r="W576" s="18" t="n">
        <f aca="false">U576+V576</f>
        <v>17</v>
      </c>
      <c r="X576" s="47" t="n">
        <f aca="false">U576/W576</f>
        <v>0.176470588235294</v>
      </c>
      <c r="Y576" s="47" t="n">
        <f aca="false">V576/W576</f>
        <v>0.823529411764706</v>
      </c>
      <c r="Z576" s="33" t="str">
        <f aca="false">IF(W576&gt;=150, "High Demand", IF(W576&gt;=50, "Moderate Demand", "Low Demand"))</f>
        <v>Low Demand</v>
      </c>
      <c r="AA576" s="45" t="str">
        <f aca="false">TEXT(G576, "00") &amp; ":00"</f>
        <v>00:00</v>
      </c>
      <c r="AB576" s="43" t="n">
        <f aca="false">YEAR(B576)</f>
        <v>2011</v>
      </c>
      <c r="AC576" s="33" t="str">
        <f aca="false">TEXT(B576, "mmmm")</f>
        <v>January</v>
      </c>
      <c r="AD576" s="43" t="n">
        <f aca="false">LEN(TEXT(B576, "YYYY-MM-DD"))</f>
        <v>10</v>
      </c>
      <c r="AE576" s="45" t="str">
        <f aca="false">LEFT(TEXT(B576, "YYYY-MM-DD"), 4)</f>
        <v>2011</v>
      </c>
      <c r="AF576" s="45" t="str">
        <f aca="false">RIGHT(TEXT(B576, "YYYY-MM-DD"), 2)</f>
        <v>26</v>
      </c>
    </row>
    <row r="577" customFormat="false" ht="15" hidden="false" customHeight="false" outlineLevel="0" collapsed="false">
      <c r="A577" s="37" t="n">
        <v>573</v>
      </c>
      <c r="B577" s="38" t="s">
        <v>102</v>
      </c>
      <c r="C577" s="37" t="n">
        <v>1</v>
      </c>
      <c r="D577" s="35" t="str">
        <f aca="false">VLOOKUP(C577, Lookups_Metadata!$A$4:$B$7, 2, FALSE())</f>
        <v>Spring</v>
      </c>
      <c r="E577" s="37" t="n">
        <v>0</v>
      </c>
      <c r="F577" s="37" t="n">
        <v>1</v>
      </c>
      <c r="G577" s="37" t="n">
        <v>1</v>
      </c>
      <c r="H577" s="39" t="b">
        <f aca="false">FALSE()</f>
        <v>0</v>
      </c>
      <c r="I577" s="37" t="n">
        <v>3</v>
      </c>
      <c r="J577" s="35" t="str">
        <f aca="false">INDEX(Lookups_Metadata!$E$4:$E$10, MATCH(I577, Lookups_Metadata!$D$4:$D$10, 0))</f>
        <v>Wednesday</v>
      </c>
      <c r="K577" s="35" t="str">
        <f aca="false">IF(H577=TRUE(), "Holiday", IF(OR(I577=0, I577=6), "Weekend", "Weekday"))</f>
        <v>Weekday</v>
      </c>
      <c r="L577" s="35" t="str">
        <f aca="false">IF(AND(K577="Weekday", OR(AND(G577&gt;=7, G577&lt;=9), AND(G577&gt;=17, G577&lt;=19))), "Peak Commute", "Off-Peak")</f>
        <v>Off-Peak</v>
      </c>
      <c r="M577" s="37" t="n">
        <v>2</v>
      </c>
      <c r="N577" s="35" t="str">
        <f aca="false">VLOOKUP(M577, Lookups_Metadata!$G$4:$H$7, 2, FALSE())</f>
        <v>Mist / Cloudy</v>
      </c>
      <c r="O577" s="40" t="n">
        <v>0.24</v>
      </c>
      <c r="P577" s="40" t="n">
        <v>0.2424</v>
      </c>
      <c r="Q577" s="40" t="n">
        <f aca="false">IF(OR(P577="", ISBLANK(P577)), ROUND(0.9367*O577+0.0175, 4), P577)</f>
        <v>0.2424</v>
      </c>
      <c r="R577" s="35" t="str">
        <f aca="false">IF(OR(P577="", ISBLANK(P577)), "Imputed (Regression/Trend)", "Original")</f>
        <v>Original</v>
      </c>
      <c r="S577" s="40" t="n">
        <v>0.65</v>
      </c>
      <c r="T577" s="40" t="n">
        <v>0.1343</v>
      </c>
      <c r="U577" s="41" t="n">
        <v>0</v>
      </c>
      <c r="V577" s="41" t="n">
        <v>5</v>
      </c>
      <c r="W577" s="41" t="n">
        <f aca="false">U577+V577</f>
        <v>5</v>
      </c>
      <c r="X577" s="42" t="n">
        <f aca="false">U577/W577</f>
        <v>0</v>
      </c>
      <c r="Y577" s="42" t="n">
        <f aca="false">V577/W577</f>
        <v>1</v>
      </c>
      <c r="Z577" s="35" t="str">
        <f aca="false">IF(W577&gt;=150, "High Demand", IF(W577&gt;=50, "Moderate Demand", "Low Demand"))</f>
        <v>Low Demand</v>
      </c>
      <c r="AA577" s="39" t="str">
        <f aca="false">TEXT(G577, "00") &amp; ":00"</f>
        <v>01:00</v>
      </c>
      <c r="AB577" s="37" t="n">
        <f aca="false">YEAR(B577)</f>
        <v>2011</v>
      </c>
      <c r="AC577" s="35" t="str">
        <f aca="false">TEXT(B577, "mmmm")</f>
        <v>January</v>
      </c>
      <c r="AD577" s="37" t="n">
        <f aca="false">LEN(TEXT(B577, "YYYY-MM-DD"))</f>
        <v>10</v>
      </c>
      <c r="AE577" s="39" t="str">
        <f aca="false">LEFT(TEXT(B577, "YYYY-MM-DD"), 4)</f>
        <v>2011</v>
      </c>
      <c r="AF577" s="39" t="str">
        <f aca="false">RIGHT(TEXT(B577, "YYYY-MM-DD"), 2)</f>
        <v>26</v>
      </c>
    </row>
    <row r="578" customFormat="false" ht="15" hidden="false" customHeight="false" outlineLevel="0" collapsed="false">
      <c r="A578" s="43" t="n">
        <v>574</v>
      </c>
      <c r="B578" s="44" t="s">
        <v>102</v>
      </c>
      <c r="C578" s="43" t="n">
        <v>1</v>
      </c>
      <c r="D578" s="33" t="str">
        <f aca="false">VLOOKUP(C578, Lookups_Metadata!$A$4:$B$7, 2, FALSE())</f>
        <v>Spring</v>
      </c>
      <c r="E578" s="43" t="n">
        <v>0</v>
      </c>
      <c r="F578" s="43" t="n">
        <v>1</v>
      </c>
      <c r="G578" s="43" t="n">
        <v>2</v>
      </c>
      <c r="H578" s="45" t="b">
        <f aca="false">FALSE()</f>
        <v>0</v>
      </c>
      <c r="I578" s="43" t="n">
        <v>3</v>
      </c>
      <c r="J578" s="33" t="str">
        <f aca="false">INDEX(Lookups_Metadata!$E$4:$E$10, MATCH(I578, Lookups_Metadata!$D$4:$D$10, 0))</f>
        <v>Wednesday</v>
      </c>
      <c r="K578" s="33" t="str">
        <f aca="false">IF(H578=TRUE(), "Holiday", IF(OR(I578=0, I578=6), "Weekend", "Weekday"))</f>
        <v>Weekday</v>
      </c>
      <c r="L578" s="33" t="str">
        <f aca="false">IF(AND(K578="Weekday", OR(AND(G578&gt;=7, G578&lt;=9), AND(G578&gt;=17, G578&lt;=19))), "Peak Commute", "Off-Peak")</f>
        <v>Off-Peak</v>
      </c>
      <c r="M578" s="43" t="n">
        <v>3</v>
      </c>
      <c r="N578" s="33" t="str">
        <f aca="false">VLOOKUP(M578, Lookups_Metadata!$G$4:$H$7, 2, FALSE())</f>
        <v>Light Snow / Light Rain</v>
      </c>
      <c r="O578" s="46" t="n">
        <v>0.22</v>
      </c>
      <c r="P578" s="46" t="n">
        <v>0.2273</v>
      </c>
      <c r="Q578" s="46" t="n">
        <f aca="false">IF(OR(P578="", ISBLANK(P578)), ROUND(0.9367*O578+0.0175, 4), P578)</f>
        <v>0.2273</v>
      </c>
      <c r="R578" s="33" t="str">
        <f aca="false">IF(OR(P578="", ISBLANK(P578)), "Imputed (Regression/Trend)", "Original")</f>
        <v>Original</v>
      </c>
      <c r="S578" s="46" t="n">
        <v>0.69</v>
      </c>
      <c r="T578" s="46" t="n">
        <v>0.194</v>
      </c>
      <c r="U578" s="18" t="n">
        <v>3</v>
      </c>
      <c r="V578" s="18" t="n">
        <v>7</v>
      </c>
      <c r="W578" s="18" t="n">
        <f aca="false">U578+V578</f>
        <v>10</v>
      </c>
      <c r="X578" s="47" t="n">
        <f aca="false">U578/W578</f>
        <v>0.3</v>
      </c>
      <c r="Y578" s="47" t="n">
        <f aca="false">V578/W578</f>
        <v>0.7</v>
      </c>
      <c r="Z578" s="33" t="str">
        <f aca="false">IF(W578&gt;=150, "High Demand", IF(W578&gt;=50, "Moderate Demand", "Low Demand"))</f>
        <v>Low Demand</v>
      </c>
      <c r="AA578" s="45" t="str">
        <f aca="false">TEXT(G578, "00") &amp; ":00"</f>
        <v>02:00</v>
      </c>
      <c r="AB578" s="43" t="n">
        <f aca="false">YEAR(B578)</f>
        <v>2011</v>
      </c>
      <c r="AC578" s="33" t="str">
        <f aca="false">TEXT(B578, "mmmm")</f>
        <v>January</v>
      </c>
      <c r="AD578" s="43" t="n">
        <f aca="false">LEN(TEXT(B578, "YYYY-MM-DD"))</f>
        <v>10</v>
      </c>
      <c r="AE578" s="45" t="str">
        <f aca="false">LEFT(TEXT(B578, "YYYY-MM-DD"), 4)</f>
        <v>2011</v>
      </c>
      <c r="AF578" s="45" t="str">
        <f aca="false">RIGHT(TEXT(B578, "YYYY-MM-DD"), 2)</f>
        <v>26</v>
      </c>
    </row>
    <row r="579" customFormat="false" ht="15" hidden="false" customHeight="false" outlineLevel="0" collapsed="false">
      <c r="A579" s="37" t="n">
        <v>575</v>
      </c>
      <c r="B579" s="38" t="s">
        <v>102</v>
      </c>
      <c r="C579" s="37" t="n">
        <v>1</v>
      </c>
      <c r="D579" s="35" t="str">
        <f aca="false">VLOOKUP(C579, Lookups_Metadata!$A$4:$B$7, 2, FALSE())</f>
        <v>Spring</v>
      </c>
      <c r="E579" s="37" t="n">
        <v>0</v>
      </c>
      <c r="F579" s="37" t="n">
        <v>1</v>
      </c>
      <c r="G579" s="37" t="n">
        <v>5</v>
      </c>
      <c r="H579" s="39" t="b">
        <f aca="false">FALSE()</f>
        <v>0</v>
      </c>
      <c r="I579" s="37" t="n">
        <v>3</v>
      </c>
      <c r="J579" s="35" t="str">
        <f aca="false">INDEX(Lookups_Metadata!$E$4:$E$10, MATCH(I579, Lookups_Metadata!$D$4:$D$10, 0))</f>
        <v>Wednesday</v>
      </c>
      <c r="K579" s="35" t="str">
        <f aca="false">IF(H579=TRUE(), "Holiday", IF(OR(I579=0, I579=6), "Weekend", "Weekday"))</f>
        <v>Weekday</v>
      </c>
      <c r="L579" s="35" t="str">
        <f aca="false">IF(AND(K579="Weekday", OR(AND(G579&gt;=7, G579&lt;=9), AND(G579&gt;=17, G579&lt;=19))), "Peak Commute", "Off-Peak")</f>
        <v>Off-Peak</v>
      </c>
      <c r="M579" s="37" t="n">
        <v>3</v>
      </c>
      <c r="N579" s="35" t="str">
        <f aca="false">VLOOKUP(M579, Lookups_Metadata!$G$4:$H$7, 2, FALSE())</f>
        <v>Light Snow / Light Rain</v>
      </c>
      <c r="O579" s="40" t="n">
        <v>0.2</v>
      </c>
      <c r="P579" s="40" t="n">
        <v>0.1818</v>
      </c>
      <c r="Q579" s="40" t="n">
        <f aca="false">IF(OR(P579="", ISBLANK(P579)), ROUND(0.9367*O579+0.0175, 4), P579)</f>
        <v>0.1818</v>
      </c>
      <c r="R579" s="35" t="str">
        <f aca="false">IF(OR(P579="", ISBLANK(P579)), "Imputed (Regression/Trend)", "Original")</f>
        <v>Original</v>
      </c>
      <c r="S579" s="40" t="n">
        <v>0.86</v>
      </c>
      <c r="T579" s="40" t="n">
        <v>0.2836</v>
      </c>
      <c r="U579" s="41" t="n">
        <v>0</v>
      </c>
      <c r="V579" s="41" t="n">
        <v>1</v>
      </c>
      <c r="W579" s="41" t="n">
        <f aca="false">U579+V579</f>
        <v>1</v>
      </c>
      <c r="X579" s="42" t="n">
        <f aca="false">U579/W579</f>
        <v>0</v>
      </c>
      <c r="Y579" s="42" t="n">
        <f aca="false">V579/W579</f>
        <v>1</v>
      </c>
      <c r="Z579" s="35" t="str">
        <f aca="false">IF(W579&gt;=150, "High Demand", IF(W579&gt;=50, "Moderate Demand", "Low Demand"))</f>
        <v>Low Demand</v>
      </c>
      <c r="AA579" s="39" t="str">
        <f aca="false">TEXT(G579, "00") &amp; ":00"</f>
        <v>05:00</v>
      </c>
      <c r="AB579" s="37" t="n">
        <f aca="false">YEAR(B579)</f>
        <v>2011</v>
      </c>
      <c r="AC579" s="35" t="str">
        <f aca="false">TEXT(B579, "mmmm")</f>
        <v>January</v>
      </c>
      <c r="AD579" s="37" t="n">
        <f aca="false">LEN(TEXT(B579, "YYYY-MM-DD"))</f>
        <v>10</v>
      </c>
      <c r="AE579" s="39" t="str">
        <f aca="false">LEFT(TEXT(B579, "YYYY-MM-DD"), 4)</f>
        <v>2011</v>
      </c>
      <c r="AF579" s="39" t="str">
        <f aca="false">RIGHT(TEXT(B579, "YYYY-MM-DD"), 2)</f>
        <v>26</v>
      </c>
    </row>
    <row r="580" customFormat="false" ht="15" hidden="false" customHeight="false" outlineLevel="0" collapsed="false">
      <c r="A580" s="43" t="n">
        <v>576</v>
      </c>
      <c r="B580" s="44" t="s">
        <v>102</v>
      </c>
      <c r="C580" s="43" t="n">
        <v>1</v>
      </c>
      <c r="D580" s="33" t="str">
        <f aca="false">VLOOKUP(C580, Lookups_Metadata!$A$4:$B$7, 2, FALSE())</f>
        <v>Spring</v>
      </c>
      <c r="E580" s="43" t="n">
        <v>0</v>
      </c>
      <c r="F580" s="43" t="n">
        <v>1</v>
      </c>
      <c r="G580" s="43" t="n">
        <v>6</v>
      </c>
      <c r="H580" s="45" t="b">
        <f aca="false">FALSE()</f>
        <v>0</v>
      </c>
      <c r="I580" s="43" t="n">
        <v>3</v>
      </c>
      <c r="J580" s="33" t="str">
        <f aca="false">INDEX(Lookups_Metadata!$E$4:$E$10, MATCH(I580, Lookups_Metadata!$D$4:$D$10, 0))</f>
        <v>Wednesday</v>
      </c>
      <c r="K580" s="33" t="str">
        <f aca="false">IF(H580=TRUE(), "Holiday", IF(OR(I580=0, I580=6), "Weekend", "Weekday"))</f>
        <v>Weekday</v>
      </c>
      <c r="L580" s="33" t="str">
        <f aca="false">IF(AND(K580="Weekday", OR(AND(G580&gt;=7, G580&lt;=9), AND(G580&gt;=17, G580&lt;=19))), "Peak Commute", "Off-Peak")</f>
        <v>Off-Peak</v>
      </c>
      <c r="M580" s="43" t="n">
        <v>3</v>
      </c>
      <c r="N580" s="33" t="str">
        <f aca="false">VLOOKUP(M580, Lookups_Metadata!$G$4:$H$7, 2, FALSE())</f>
        <v>Light Snow / Light Rain</v>
      </c>
      <c r="O580" s="46" t="n">
        <v>0.2</v>
      </c>
      <c r="P580" s="46" t="n">
        <v>0.1818</v>
      </c>
      <c r="Q580" s="46" t="n">
        <f aca="false">IF(OR(P580="", ISBLANK(P580)), ROUND(0.9367*O580+0.0175, 4), P580)</f>
        <v>0.1818</v>
      </c>
      <c r="R580" s="33" t="str">
        <f aca="false">IF(OR(P580="", ISBLANK(P580)), "Imputed (Regression/Trend)", "Original")</f>
        <v>Original</v>
      </c>
      <c r="S580" s="46" t="n">
        <v>0.86</v>
      </c>
      <c r="T580" s="46" t="n">
        <v>0.2836</v>
      </c>
      <c r="U580" s="18" t="n">
        <v>0</v>
      </c>
      <c r="V580" s="18" t="n">
        <v>8</v>
      </c>
      <c r="W580" s="18" t="n">
        <f aca="false">U580+V580</f>
        <v>8</v>
      </c>
      <c r="X580" s="47" t="n">
        <f aca="false">U580/W580</f>
        <v>0</v>
      </c>
      <c r="Y580" s="47" t="n">
        <f aca="false">V580/W580</f>
        <v>1</v>
      </c>
      <c r="Z580" s="33" t="str">
        <f aca="false">IF(W580&gt;=150, "High Demand", IF(W580&gt;=50, "Moderate Demand", "Low Demand"))</f>
        <v>Low Demand</v>
      </c>
      <c r="AA580" s="45" t="str">
        <f aca="false">TEXT(G580, "00") &amp; ":00"</f>
        <v>06:00</v>
      </c>
      <c r="AB580" s="43" t="n">
        <f aca="false">YEAR(B580)</f>
        <v>2011</v>
      </c>
      <c r="AC580" s="33" t="str">
        <f aca="false">TEXT(B580, "mmmm")</f>
        <v>January</v>
      </c>
      <c r="AD580" s="43" t="n">
        <f aca="false">LEN(TEXT(B580, "YYYY-MM-DD"))</f>
        <v>10</v>
      </c>
      <c r="AE580" s="45" t="str">
        <f aca="false">LEFT(TEXT(B580, "YYYY-MM-DD"), 4)</f>
        <v>2011</v>
      </c>
      <c r="AF580" s="45" t="str">
        <f aca="false">RIGHT(TEXT(B580, "YYYY-MM-DD"), 2)</f>
        <v>26</v>
      </c>
    </row>
    <row r="581" customFormat="false" ht="15" hidden="false" customHeight="false" outlineLevel="0" collapsed="false">
      <c r="A581" s="37" t="n">
        <v>577</v>
      </c>
      <c r="B581" s="38" t="s">
        <v>102</v>
      </c>
      <c r="C581" s="37" t="n">
        <v>1</v>
      </c>
      <c r="D581" s="35" t="str">
        <f aca="false">VLOOKUP(C581, Lookups_Metadata!$A$4:$B$7, 2, FALSE())</f>
        <v>Spring</v>
      </c>
      <c r="E581" s="37" t="n">
        <v>0</v>
      </c>
      <c r="F581" s="37" t="n">
        <v>1</v>
      </c>
      <c r="G581" s="37" t="n">
        <v>7</v>
      </c>
      <c r="H581" s="39" t="b">
        <f aca="false">FALSE()</f>
        <v>0</v>
      </c>
      <c r="I581" s="37" t="n">
        <v>3</v>
      </c>
      <c r="J581" s="35" t="str">
        <f aca="false">INDEX(Lookups_Metadata!$E$4:$E$10, MATCH(I581, Lookups_Metadata!$D$4:$D$10, 0))</f>
        <v>Wednesday</v>
      </c>
      <c r="K581" s="35" t="str">
        <f aca="false">IF(H581=TRUE(), "Holiday", IF(OR(I581=0, I581=6), "Weekend", "Weekday"))</f>
        <v>Weekday</v>
      </c>
      <c r="L581" s="35" t="str">
        <f aca="false">IF(AND(K581="Weekday", OR(AND(G581&gt;=7, G581&lt;=9), AND(G581&gt;=17, G581&lt;=19))), "Peak Commute", "Off-Peak")</f>
        <v>Peak Commute</v>
      </c>
      <c r="M581" s="37" t="n">
        <v>3</v>
      </c>
      <c r="N581" s="35" t="str">
        <f aca="false">VLOOKUP(M581, Lookups_Metadata!$G$4:$H$7, 2, FALSE())</f>
        <v>Light Snow / Light Rain</v>
      </c>
      <c r="O581" s="40" t="n">
        <v>0.22</v>
      </c>
      <c r="P581" s="40" t="n">
        <v>0.2121</v>
      </c>
      <c r="Q581" s="40" t="n">
        <f aca="false">IF(OR(P581="", ISBLANK(P581)), ROUND(0.9367*O581+0.0175, 4), P581)</f>
        <v>0.2121</v>
      </c>
      <c r="R581" s="35" t="str">
        <f aca="false">IF(OR(P581="", ISBLANK(P581)), "Imputed (Regression/Trend)", "Original")</f>
        <v>Original</v>
      </c>
      <c r="S581" s="40" t="n">
        <v>0.87</v>
      </c>
      <c r="T581" s="40" t="n">
        <v>0.2985</v>
      </c>
      <c r="U581" s="41" t="n">
        <v>1</v>
      </c>
      <c r="V581" s="41" t="n">
        <v>29</v>
      </c>
      <c r="W581" s="41" t="n">
        <f aca="false">U581+V581</f>
        <v>30</v>
      </c>
      <c r="X581" s="42" t="n">
        <f aca="false">U581/W581</f>
        <v>0.0333333333333333</v>
      </c>
      <c r="Y581" s="42" t="n">
        <f aca="false">V581/W581</f>
        <v>0.966666666666667</v>
      </c>
      <c r="Z581" s="35" t="str">
        <f aca="false">IF(W581&gt;=150, "High Demand", IF(W581&gt;=50, "Moderate Demand", "Low Demand"))</f>
        <v>Low Demand</v>
      </c>
      <c r="AA581" s="39" t="str">
        <f aca="false">TEXT(G581, "00") &amp; ":00"</f>
        <v>07:00</v>
      </c>
      <c r="AB581" s="37" t="n">
        <f aca="false">YEAR(B581)</f>
        <v>2011</v>
      </c>
      <c r="AC581" s="35" t="str">
        <f aca="false">TEXT(B581, "mmmm")</f>
        <v>January</v>
      </c>
      <c r="AD581" s="37" t="n">
        <f aca="false">LEN(TEXT(B581, "YYYY-MM-DD"))</f>
        <v>10</v>
      </c>
      <c r="AE581" s="39" t="str">
        <f aca="false">LEFT(TEXT(B581, "YYYY-MM-DD"), 4)</f>
        <v>2011</v>
      </c>
      <c r="AF581" s="39" t="str">
        <f aca="false">RIGHT(TEXT(B581, "YYYY-MM-DD"), 2)</f>
        <v>26</v>
      </c>
    </row>
    <row r="582" customFormat="false" ht="15" hidden="false" customHeight="false" outlineLevel="0" collapsed="false">
      <c r="A582" s="43" t="n">
        <v>578</v>
      </c>
      <c r="B582" s="44" t="s">
        <v>102</v>
      </c>
      <c r="C582" s="43" t="n">
        <v>1</v>
      </c>
      <c r="D582" s="33" t="str">
        <f aca="false">VLOOKUP(C582, Lookups_Metadata!$A$4:$B$7, 2, FALSE())</f>
        <v>Spring</v>
      </c>
      <c r="E582" s="43" t="n">
        <v>0</v>
      </c>
      <c r="F582" s="43" t="n">
        <v>1</v>
      </c>
      <c r="G582" s="43" t="n">
        <v>8</v>
      </c>
      <c r="H582" s="45" t="b">
        <f aca="false">FALSE()</f>
        <v>0</v>
      </c>
      <c r="I582" s="43" t="n">
        <v>3</v>
      </c>
      <c r="J582" s="33" t="str">
        <f aca="false">INDEX(Lookups_Metadata!$E$4:$E$10, MATCH(I582, Lookups_Metadata!$D$4:$D$10, 0))</f>
        <v>Wednesday</v>
      </c>
      <c r="K582" s="33" t="str">
        <f aca="false">IF(H582=TRUE(), "Holiday", IF(OR(I582=0, I582=6), "Weekend", "Weekday"))</f>
        <v>Weekday</v>
      </c>
      <c r="L582" s="33" t="str">
        <f aca="false">IF(AND(K582="Weekday", OR(AND(G582&gt;=7, G582&lt;=9), AND(G582&gt;=17, G582&lt;=19))), "Peak Commute", "Off-Peak")</f>
        <v>Peak Commute</v>
      </c>
      <c r="M582" s="43" t="n">
        <v>3</v>
      </c>
      <c r="N582" s="33" t="str">
        <f aca="false">VLOOKUP(M582, Lookups_Metadata!$G$4:$H$7, 2, FALSE())</f>
        <v>Light Snow / Light Rain</v>
      </c>
      <c r="O582" s="46" t="n">
        <v>0.22</v>
      </c>
      <c r="P582" s="46" t="n">
        <v>0.2121</v>
      </c>
      <c r="Q582" s="46" t="n">
        <f aca="false">IF(OR(P582="", ISBLANK(P582)), ROUND(0.9367*O582+0.0175, 4), P582)</f>
        <v>0.2121</v>
      </c>
      <c r="R582" s="33" t="str">
        <f aca="false">IF(OR(P582="", ISBLANK(P582)), "Imputed (Regression/Trend)", "Original")</f>
        <v>Original</v>
      </c>
      <c r="S582" s="46" t="n">
        <v>0.87</v>
      </c>
      <c r="T582" s="46" t="n">
        <v>0.2985</v>
      </c>
      <c r="U582" s="18" t="n">
        <v>3</v>
      </c>
      <c r="V582" s="18" t="n">
        <v>69</v>
      </c>
      <c r="W582" s="18" t="n">
        <f aca="false">U582+V582</f>
        <v>72</v>
      </c>
      <c r="X582" s="47" t="n">
        <f aca="false">U582/W582</f>
        <v>0.0416666666666667</v>
      </c>
      <c r="Y582" s="47" t="n">
        <f aca="false">V582/W582</f>
        <v>0.958333333333333</v>
      </c>
      <c r="Z582" s="33" t="str">
        <f aca="false">IF(W582&gt;=150, "High Demand", IF(W582&gt;=50, "Moderate Demand", "Low Demand"))</f>
        <v>Moderate Demand</v>
      </c>
      <c r="AA582" s="45" t="str">
        <f aca="false">TEXT(G582, "00") &amp; ":00"</f>
        <v>08:00</v>
      </c>
      <c r="AB582" s="43" t="n">
        <f aca="false">YEAR(B582)</f>
        <v>2011</v>
      </c>
      <c r="AC582" s="33" t="str">
        <f aca="false">TEXT(B582, "mmmm")</f>
        <v>January</v>
      </c>
      <c r="AD582" s="43" t="n">
        <f aca="false">LEN(TEXT(B582, "YYYY-MM-DD"))</f>
        <v>10</v>
      </c>
      <c r="AE582" s="45" t="str">
        <f aca="false">LEFT(TEXT(B582, "YYYY-MM-DD"), 4)</f>
        <v>2011</v>
      </c>
      <c r="AF582" s="45" t="str">
        <f aca="false">RIGHT(TEXT(B582, "YYYY-MM-DD"), 2)</f>
        <v>26</v>
      </c>
    </row>
    <row r="583" customFormat="false" ht="15" hidden="false" customHeight="false" outlineLevel="0" collapsed="false">
      <c r="A583" s="37" t="n">
        <v>579</v>
      </c>
      <c r="B583" s="38" t="s">
        <v>102</v>
      </c>
      <c r="C583" s="37" t="n">
        <v>1</v>
      </c>
      <c r="D583" s="35" t="str">
        <f aca="false">VLOOKUP(C583, Lookups_Metadata!$A$4:$B$7, 2, FALSE())</f>
        <v>Spring</v>
      </c>
      <c r="E583" s="37" t="n">
        <v>0</v>
      </c>
      <c r="F583" s="37" t="n">
        <v>1</v>
      </c>
      <c r="G583" s="37" t="n">
        <v>9</v>
      </c>
      <c r="H583" s="39" t="b">
        <f aca="false">FALSE()</f>
        <v>0</v>
      </c>
      <c r="I583" s="37" t="n">
        <v>3</v>
      </c>
      <c r="J583" s="35" t="str">
        <f aca="false">INDEX(Lookups_Metadata!$E$4:$E$10, MATCH(I583, Lookups_Metadata!$D$4:$D$10, 0))</f>
        <v>Wednesday</v>
      </c>
      <c r="K583" s="35" t="str">
        <f aca="false">IF(H583=TRUE(), "Holiday", IF(OR(I583=0, I583=6), "Weekend", "Weekday"))</f>
        <v>Weekday</v>
      </c>
      <c r="L583" s="35" t="str">
        <f aca="false">IF(AND(K583="Weekday", OR(AND(G583&gt;=7, G583&lt;=9), AND(G583&gt;=17, G583&lt;=19))), "Peak Commute", "Off-Peak")</f>
        <v>Peak Commute</v>
      </c>
      <c r="M583" s="37" t="n">
        <v>3</v>
      </c>
      <c r="N583" s="35" t="str">
        <f aca="false">VLOOKUP(M583, Lookups_Metadata!$G$4:$H$7, 2, FALSE())</f>
        <v>Light Snow / Light Rain</v>
      </c>
      <c r="O583" s="40" t="n">
        <v>0.22</v>
      </c>
      <c r="P583" s="40" t="n">
        <v>0.2121</v>
      </c>
      <c r="Q583" s="40" t="n">
        <f aca="false">IF(OR(P583="", ISBLANK(P583)), ROUND(0.9367*O583+0.0175, 4), P583)</f>
        <v>0.2121</v>
      </c>
      <c r="R583" s="35" t="str">
        <f aca="false">IF(OR(P583="", ISBLANK(P583)), "Imputed (Regression/Trend)", "Original")</f>
        <v>Original</v>
      </c>
      <c r="S583" s="40" t="n">
        <v>0.87</v>
      </c>
      <c r="T583" s="40" t="n">
        <v>0.2985</v>
      </c>
      <c r="U583" s="41" t="n">
        <v>3</v>
      </c>
      <c r="V583" s="41" t="n">
        <v>55</v>
      </c>
      <c r="W583" s="41" t="n">
        <f aca="false">U583+V583</f>
        <v>58</v>
      </c>
      <c r="X583" s="42" t="n">
        <f aca="false">U583/W583</f>
        <v>0.0517241379310345</v>
      </c>
      <c r="Y583" s="42" t="n">
        <f aca="false">V583/W583</f>
        <v>0.948275862068966</v>
      </c>
      <c r="Z583" s="35" t="str">
        <f aca="false">IF(W583&gt;=150, "High Demand", IF(W583&gt;=50, "Moderate Demand", "Low Demand"))</f>
        <v>Moderate Demand</v>
      </c>
      <c r="AA583" s="39" t="str">
        <f aca="false">TEXT(G583, "00") &amp; ":00"</f>
        <v>09:00</v>
      </c>
      <c r="AB583" s="37" t="n">
        <f aca="false">YEAR(B583)</f>
        <v>2011</v>
      </c>
      <c r="AC583" s="35" t="str">
        <f aca="false">TEXT(B583, "mmmm")</f>
        <v>January</v>
      </c>
      <c r="AD583" s="37" t="n">
        <f aca="false">LEN(TEXT(B583, "YYYY-MM-DD"))</f>
        <v>10</v>
      </c>
      <c r="AE583" s="39" t="str">
        <f aca="false">LEFT(TEXT(B583, "YYYY-MM-DD"), 4)</f>
        <v>2011</v>
      </c>
      <c r="AF583" s="39" t="str">
        <f aca="false">RIGHT(TEXT(B583, "YYYY-MM-DD"), 2)</f>
        <v>26</v>
      </c>
    </row>
    <row r="584" customFormat="false" ht="15" hidden="false" customHeight="false" outlineLevel="0" collapsed="false">
      <c r="A584" s="43" t="n">
        <v>580</v>
      </c>
      <c r="B584" s="44" t="s">
        <v>102</v>
      </c>
      <c r="C584" s="43" t="n">
        <v>1</v>
      </c>
      <c r="D584" s="33" t="str">
        <f aca="false">VLOOKUP(C584, Lookups_Metadata!$A$4:$B$7, 2, FALSE())</f>
        <v>Spring</v>
      </c>
      <c r="E584" s="43" t="n">
        <v>0</v>
      </c>
      <c r="F584" s="43" t="n">
        <v>1</v>
      </c>
      <c r="G584" s="43" t="n">
        <v>10</v>
      </c>
      <c r="H584" s="45" t="b">
        <f aca="false">FALSE()</f>
        <v>0</v>
      </c>
      <c r="I584" s="43" t="n">
        <v>3</v>
      </c>
      <c r="J584" s="33" t="str">
        <f aca="false">INDEX(Lookups_Metadata!$E$4:$E$10, MATCH(I584, Lookups_Metadata!$D$4:$D$10, 0))</f>
        <v>Wednesday</v>
      </c>
      <c r="K584" s="33" t="str">
        <f aca="false">IF(H584=TRUE(), "Holiday", IF(OR(I584=0, I584=6), "Weekend", "Weekday"))</f>
        <v>Weekday</v>
      </c>
      <c r="L584" s="33" t="str">
        <f aca="false">IF(AND(K584="Weekday", OR(AND(G584&gt;=7, G584&lt;=9), AND(G584&gt;=17, G584&lt;=19))), "Peak Commute", "Off-Peak")</f>
        <v>Off-Peak</v>
      </c>
      <c r="M584" s="43" t="n">
        <v>3</v>
      </c>
      <c r="N584" s="33" t="str">
        <f aca="false">VLOOKUP(M584, Lookups_Metadata!$G$4:$H$7, 2, FALSE())</f>
        <v>Light Snow / Light Rain</v>
      </c>
      <c r="O584" s="46" t="n">
        <v>0.22</v>
      </c>
      <c r="P584" s="46" t="n">
        <v>0.2121</v>
      </c>
      <c r="Q584" s="46" t="n">
        <f aca="false">IF(OR(P584="", ISBLANK(P584)), ROUND(0.9367*O584+0.0175, 4), P584)</f>
        <v>0.2121</v>
      </c>
      <c r="R584" s="33" t="str">
        <f aca="false">IF(OR(P584="", ISBLANK(P584)), "Imputed (Regression/Trend)", "Original")</f>
        <v>Original</v>
      </c>
      <c r="S584" s="46" t="n">
        <v>0.93</v>
      </c>
      <c r="T584" s="46" t="n">
        <v>0.2836</v>
      </c>
      <c r="U584" s="18" t="n">
        <v>2</v>
      </c>
      <c r="V584" s="18" t="n">
        <v>26</v>
      </c>
      <c r="W584" s="18" t="n">
        <f aca="false">U584+V584</f>
        <v>28</v>
      </c>
      <c r="X584" s="47" t="n">
        <f aca="false">U584/W584</f>
        <v>0.0714285714285714</v>
      </c>
      <c r="Y584" s="47" t="n">
        <f aca="false">V584/W584</f>
        <v>0.928571428571429</v>
      </c>
      <c r="Z584" s="33" t="str">
        <f aca="false">IF(W584&gt;=150, "High Demand", IF(W584&gt;=50, "Moderate Demand", "Low Demand"))</f>
        <v>Low Demand</v>
      </c>
      <c r="AA584" s="45" t="str">
        <f aca="false">TEXT(G584, "00") &amp; ":00"</f>
        <v>10:00</v>
      </c>
      <c r="AB584" s="43" t="n">
        <f aca="false">YEAR(B584)</f>
        <v>2011</v>
      </c>
      <c r="AC584" s="33" t="str">
        <f aca="false">TEXT(B584, "mmmm")</f>
        <v>January</v>
      </c>
      <c r="AD584" s="43" t="n">
        <f aca="false">LEN(TEXT(B584, "YYYY-MM-DD"))</f>
        <v>10</v>
      </c>
      <c r="AE584" s="45" t="str">
        <f aca="false">LEFT(TEXT(B584, "YYYY-MM-DD"), 4)</f>
        <v>2011</v>
      </c>
      <c r="AF584" s="45" t="str">
        <f aca="false">RIGHT(TEXT(B584, "YYYY-MM-DD"), 2)</f>
        <v>26</v>
      </c>
    </row>
    <row r="585" customFormat="false" ht="15" hidden="false" customHeight="false" outlineLevel="0" collapsed="false">
      <c r="A585" s="37" t="n">
        <v>581</v>
      </c>
      <c r="B585" s="38" t="s">
        <v>102</v>
      </c>
      <c r="C585" s="37" t="n">
        <v>1</v>
      </c>
      <c r="D585" s="35" t="str">
        <f aca="false">VLOOKUP(C585, Lookups_Metadata!$A$4:$B$7, 2, FALSE())</f>
        <v>Spring</v>
      </c>
      <c r="E585" s="37" t="n">
        <v>0</v>
      </c>
      <c r="F585" s="37" t="n">
        <v>1</v>
      </c>
      <c r="G585" s="37" t="n">
        <v>11</v>
      </c>
      <c r="H585" s="39" t="b">
        <f aca="false">FALSE()</f>
        <v>0</v>
      </c>
      <c r="I585" s="37" t="n">
        <v>3</v>
      </c>
      <c r="J585" s="35" t="str">
        <f aca="false">INDEX(Lookups_Metadata!$E$4:$E$10, MATCH(I585, Lookups_Metadata!$D$4:$D$10, 0))</f>
        <v>Wednesday</v>
      </c>
      <c r="K585" s="35" t="str">
        <f aca="false">IF(H585=TRUE(), "Holiday", IF(OR(I585=0, I585=6), "Weekend", "Weekday"))</f>
        <v>Weekday</v>
      </c>
      <c r="L585" s="35" t="str">
        <f aca="false">IF(AND(K585="Weekday", OR(AND(G585&gt;=7, G585&lt;=9), AND(G585&gt;=17, G585&lt;=19))), "Peak Commute", "Off-Peak")</f>
        <v>Off-Peak</v>
      </c>
      <c r="M585" s="37" t="n">
        <v>3</v>
      </c>
      <c r="N585" s="35" t="str">
        <f aca="false">VLOOKUP(M585, Lookups_Metadata!$G$4:$H$7, 2, FALSE())</f>
        <v>Light Snow / Light Rain</v>
      </c>
      <c r="O585" s="40" t="n">
        <v>0.22</v>
      </c>
      <c r="P585" s="40" t="n">
        <v>0.197</v>
      </c>
      <c r="Q585" s="40" t="n">
        <f aca="false">IF(OR(P585="", ISBLANK(P585)), ROUND(0.9367*O585+0.0175, 4), P585)</f>
        <v>0.197</v>
      </c>
      <c r="R585" s="35" t="str">
        <f aca="false">IF(OR(P585="", ISBLANK(P585)), "Imputed (Regression/Trend)", "Original")</f>
        <v>Original</v>
      </c>
      <c r="S585" s="40" t="n">
        <v>0.93</v>
      </c>
      <c r="T585" s="40" t="n">
        <v>0.3284</v>
      </c>
      <c r="U585" s="41" t="n">
        <v>6</v>
      </c>
      <c r="V585" s="41" t="n">
        <v>35</v>
      </c>
      <c r="W585" s="41" t="n">
        <f aca="false">U585+V585</f>
        <v>41</v>
      </c>
      <c r="X585" s="42" t="n">
        <f aca="false">U585/W585</f>
        <v>0.146341463414634</v>
      </c>
      <c r="Y585" s="42" t="n">
        <f aca="false">V585/W585</f>
        <v>0.853658536585366</v>
      </c>
      <c r="Z585" s="35" t="str">
        <f aca="false">IF(W585&gt;=150, "High Demand", IF(W585&gt;=50, "Moderate Demand", "Low Demand"))</f>
        <v>Low Demand</v>
      </c>
      <c r="AA585" s="39" t="str">
        <f aca="false">TEXT(G585, "00") &amp; ":00"</f>
        <v>11:00</v>
      </c>
      <c r="AB585" s="37" t="n">
        <f aca="false">YEAR(B585)</f>
        <v>2011</v>
      </c>
      <c r="AC585" s="35" t="str">
        <f aca="false">TEXT(B585, "mmmm")</f>
        <v>January</v>
      </c>
      <c r="AD585" s="37" t="n">
        <f aca="false">LEN(TEXT(B585, "YYYY-MM-DD"))</f>
        <v>10</v>
      </c>
      <c r="AE585" s="39" t="str">
        <f aca="false">LEFT(TEXT(B585, "YYYY-MM-DD"), 4)</f>
        <v>2011</v>
      </c>
      <c r="AF585" s="39" t="str">
        <f aca="false">RIGHT(TEXT(B585, "YYYY-MM-DD"), 2)</f>
        <v>26</v>
      </c>
    </row>
    <row r="586" customFormat="false" ht="15" hidden="false" customHeight="false" outlineLevel="0" collapsed="false">
      <c r="A586" s="43" t="n">
        <v>582</v>
      </c>
      <c r="B586" s="44" t="s">
        <v>102</v>
      </c>
      <c r="C586" s="43" t="n">
        <v>1</v>
      </c>
      <c r="D586" s="33" t="str">
        <f aca="false">VLOOKUP(C586, Lookups_Metadata!$A$4:$B$7, 2, FALSE())</f>
        <v>Spring</v>
      </c>
      <c r="E586" s="43" t="n">
        <v>0</v>
      </c>
      <c r="F586" s="43" t="n">
        <v>1</v>
      </c>
      <c r="G586" s="43" t="n">
        <v>12</v>
      </c>
      <c r="H586" s="45" t="b">
        <f aca="false">FALSE()</f>
        <v>0</v>
      </c>
      <c r="I586" s="43" t="n">
        <v>3</v>
      </c>
      <c r="J586" s="33" t="str">
        <f aca="false">INDEX(Lookups_Metadata!$E$4:$E$10, MATCH(I586, Lookups_Metadata!$D$4:$D$10, 0))</f>
        <v>Wednesday</v>
      </c>
      <c r="K586" s="33" t="str">
        <f aca="false">IF(H586=TRUE(), "Holiday", IF(OR(I586=0, I586=6), "Weekend", "Weekday"))</f>
        <v>Weekday</v>
      </c>
      <c r="L586" s="33" t="str">
        <f aca="false">IF(AND(K586="Weekday", OR(AND(G586&gt;=7, G586&lt;=9), AND(G586&gt;=17, G586&lt;=19))), "Peak Commute", "Off-Peak")</f>
        <v>Off-Peak</v>
      </c>
      <c r="M586" s="43" t="n">
        <v>3</v>
      </c>
      <c r="N586" s="33" t="str">
        <f aca="false">VLOOKUP(M586, Lookups_Metadata!$G$4:$H$7, 2, FALSE())</f>
        <v>Light Snow / Light Rain</v>
      </c>
      <c r="O586" s="46" t="n">
        <v>0.22</v>
      </c>
      <c r="P586" s="46" t="n">
        <v>0.197</v>
      </c>
      <c r="Q586" s="46" t="n">
        <f aca="false">IF(OR(P586="", ISBLANK(P586)), ROUND(0.9367*O586+0.0175, 4), P586)</f>
        <v>0.197</v>
      </c>
      <c r="R586" s="33" t="str">
        <f aca="false">IF(OR(P586="", ISBLANK(P586)), "Imputed (Regression/Trend)", "Original")</f>
        <v>Original</v>
      </c>
      <c r="S586" s="46" t="n">
        <v>0.93</v>
      </c>
      <c r="T586" s="46" t="n">
        <v>0.3284</v>
      </c>
      <c r="U586" s="18" t="n">
        <v>7</v>
      </c>
      <c r="V586" s="18" t="n">
        <v>41</v>
      </c>
      <c r="W586" s="18" t="n">
        <f aca="false">U586+V586</f>
        <v>48</v>
      </c>
      <c r="X586" s="47" t="n">
        <f aca="false">U586/W586</f>
        <v>0.145833333333333</v>
      </c>
      <c r="Y586" s="47" t="n">
        <f aca="false">V586/W586</f>
        <v>0.854166666666667</v>
      </c>
      <c r="Z586" s="33" t="str">
        <f aca="false">IF(W586&gt;=150, "High Demand", IF(W586&gt;=50, "Moderate Demand", "Low Demand"))</f>
        <v>Low Demand</v>
      </c>
      <c r="AA586" s="45" t="str">
        <f aca="false">TEXT(G586, "00") &amp; ":00"</f>
        <v>12:00</v>
      </c>
      <c r="AB586" s="43" t="n">
        <f aca="false">YEAR(B586)</f>
        <v>2011</v>
      </c>
      <c r="AC586" s="33" t="str">
        <f aca="false">TEXT(B586, "mmmm")</f>
        <v>January</v>
      </c>
      <c r="AD586" s="43" t="n">
        <f aca="false">LEN(TEXT(B586, "YYYY-MM-DD"))</f>
        <v>10</v>
      </c>
      <c r="AE586" s="45" t="str">
        <f aca="false">LEFT(TEXT(B586, "YYYY-MM-DD"), 4)</f>
        <v>2011</v>
      </c>
      <c r="AF586" s="45" t="str">
        <f aca="false">RIGHT(TEXT(B586, "YYYY-MM-DD"), 2)</f>
        <v>26</v>
      </c>
    </row>
    <row r="587" customFormat="false" ht="15" hidden="false" customHeight="false" outlineLevel="0" collapsed="false">
      <c r="A587" s="37" t="n">
        <v>583</v>
      </c>
      <c r="B587" s="38" t="s">
        <v>102</v>
      </c>
      <c r="C587" s="37" t="n">
        <v>1</v>
      </c>
      <c r="D587" s="35" t="str">
        <f aca="false">VLOOKUP(C587, Lookups_Metadata!$A$4:$B$7, 2, FALSE())</f>
        <v>Spring</v>
      </c>
      <c r="E587" s="37" t="n">
        <v>0</v>
      </c>
      <c r="F587" s="37" t="n">
        <v>1</v>
      </c>
      <c r="G587" s="37" t="n">
        <v>13</v>
      </c>
      <c r="H587" s="39" t="b">
        <f aca="false">FALSE()</f>
        <v>0</v>
      </c>
      <c r="I587" s="37" t="n">
        <v>3</v>
      </c>
      <c r="J587" s="35" t="str">
        <f aca="false">INDEX(Lookups_Metadata!$E$4:$E$10, MATCH(I587, Lookups_Metadata!$D$4:$D$10, 0))</f>
        <v>Wednesday</v>
      </c>
      <c r="K587" s="35" t="str">
        <f aca="false">IF(H587=TRUE(), "Holiday", IF(OR(I587=0, I587=6), "Weekend", "Weekday"))</f>
        <v>Weekday</v>
      </c>
      <c r="L587" s="35" t="str">
        <f aca="false">IF(AND(K587="Weekday", OR(AND(G587&gt;=7, G587&lt;=9), AND(G587&gt;=17, G587&lt;=19))), "Peak Commute", "Off-Peak")</f>
        <v>Off-Peak</v>
      </c>
      <c r="M587" s="37" t="n">
        <v>3</v>
      </c>
      <c r="N587" s="35" t="str">
        <f aca="false">VLOOKUP(M587, Lookups_Metadata!$G$4:$H$7, 2, FALSE())</f>
        <v>Light Snow / Light Rain</v>
      </c>
      <c r="O587" s="40" t="n">
        <v>0.22</v>
      </c>
      <c r="P587" s="40" t="n">
        <v>0.197</v>
      </c>
      <c r="Q587" s="40" t="n">
        <f aca="false">IF(OR(P587="", ISBLANK(P587)), ROUND(0.9367*O587+0.0175, 4), P587)</f>
        <v>0.197</v>
      </c>
      <c r="R587" s="35" t="str">
        <f aca="false">IF(OR(P587="", ISBLANK(P587)), "Imputed (Regression/Trend)", "Original")</f>
        <v>Original</v>
      </c>
      <c r="S587" s="40" t="n">
        <v>0.93</v>
      </c>
      <c r="T587" s="40" t="n">
        <v>0.3284</v>
      </c>
      <c r="U587" s="41" t="n">
        <v>4</v>
      </c>
      <c r="V587" s="41" t="n">
        <v>43</v>
      </c>
      <c r="W587" s="41" t="n">
        <f aca="false">U587+V587</f>
        <v>47</v>
      </c>
      <c r="X587" s="42" t="n">
        <f aca="false">U587/W587</f>
        <v>0.0851063829787234</v>
      </c>
      <c r="Y587" s="42" t="n">
        <f aca="false">V587/W587</f>
        <v>0.914893617021277</v>
      </c>
      <c r="Z587" s="35" t="str">
        <f aca="false">IF(W587&gt;=150, "High Demand", IF(W587&gt;=50, "Moderate Demand", "Low Demand"))</f>
        <v>Low Demand</v>
      </c>
      <c r="AA587" s="39" t="str">
        <f aca="false">TEXT(G587, "00") &amp; ":00"</f>
        <v>13:00</v>
      </c>
      <c r="AB587" s="37" t="n">
        <f aca="false">YEAR(B587)</f>
        <v>2011</v>
      </c>
      <c r="AC587" s="35" t="str">
        <f aca="false">TEXT(B587, "mmmm")</f>
        <v>January</v>
      </c>
      <c r="AD587" s="37" t="n">
        <f aca="false">LEN(TEXT(B587, "YYYY-MM-DD"))</f>
        <v>10</v>
      </c>
      <c r="AE587" s="39" t="str">
        <f aca="false">LEFT(TEXT(B587, "YYYY-MM-DD"), 4)</f>
        <v>2011</v>
      </c>
      <c r="AF587" s="39" t="str">
        <f aca="false">RIGHT(TEXT(B587, "YYYY-MM-DD"), 2)</f>
        <v>26</v>
      </c>
    </row>
    <row r="588" customFormat="false" ht="15" hidden="false" customHeight="false" outlineLevel="0" collapsed="false">
      <c r="A588" s="43" t="n">
        <v>584</v>
      </c>
      <c r="B588" s="44" t="s">
        <v>102</v>
      </c>
      <c r="C588" s="43" t="n">
        <v>1</v>
      </c>
      <c r="D588" s="33" t="str">
        <f aca="false">VLOOKUP(C588, Lookups_Metadata!$A$4:$B$7, 2, FALSE())</f>
        <v>Spring</v>
      </c>
      <c r="E588" s="43" t="n">
        <v>0</v>
      </c>
      <c r="F588" s="43" t="n">
        <v>1</v>
      </c>
      <c r="G588" s="43" t="n">
        <v>14</v>
      </c>
      <c r="H588" s="45" t="b">
        <f aca="false">FALSE()</f>
        <v>0</v>
      </c>
      <c r="I588" s="43" t="n">
        <v>3</v>
      </c>
      <c r="J588" s="33" t="str">
        <f aca="false">INDEX(Lookups_Metadata!$E$4:$E$10, MATCH(I588, Lookups_Metadata!$D$4:$D$10, 0))</f>
        <v>Wednesday</v>
      </c>
      <c r="K588" s="33" t="str">
        <f aca="false">IF(H588=TRUE(), "Holiday", IF(OR(I588=0, I588=6), "Weekend", "Weekday"))</f>
        <v>Weekday</v>
      </c>
      <c r="L588" s="33" t="str">
        <f aca="false">IF(AND(K588="Weekday", OR(AND(G588&gt;=7, G588&lt;=9), AND(G588&gt;=17, G588&lt;=19))), "Peak Commute", "Off-Peak")</f>
        <v>Off-Peak</v>
      </c>
      <c r="M588" s="43" t="n">
        <v>3</v>
      </c>
      <c r="N588" s="33" t="str">
        <f aca="false">VLOOKUP(M588, Lookups_Metadata!$G$4:$H$7, 2, FALSE())</f>
        <v>Light Snow / Light Rain</v>
      </c>
      <c r="O588" s="46" t="n">
        <v>0.22</v>
      </c>
      <c r="P588" s="46" t="n">
        <v>0.197</v>
      </c>
      <c r="Q588" s="46" t="n">
        <f aca="false">IF(OR(P588="", ISBLANK(P588)), ROUND(0.9367*O588+0.0175, 4), P588)</f>
        <v>0.197</v>
      </c>
      <c r="R588" s="33" t="str">
        <f aca="false">IF(OR(P588="", ISBLANK(P588)), "Imputed (Regression/Trend)", "Original")</f>
        <v>Original</v>
      </c>
      <c r="S588" s="46" t="n">
        <v>0.93</v>
      </c>
      <c r="T588" s="46" t="n">
        <v>0.3582</v>
      </c>
      <c r="U588" s="18" t="n">
        <v>0</v>
      </c>
      <c r="V588" s="18" t="n">
        <v>36</v>
      </c>
      <c r="W588" s="18" t="n">
        <f aca="false">U588+V588</f>
        <v>36</v>
      </c>
      <c r="X588" s="47" t="n">
        <f aca="false">U588/W588</f>
        <v>0</v>
      </c>
      <c r="Y588" s="47" t="n">
        <f aca="false">V588/W588</f>
        <v>1</v>
      </c>
      <c r="Z588" s="33" t="str">
        <f aca="false">IF(W588&gt;=150, "High Demand", IF(W588&gt;=50, "Moderate Demand", "Low Demand"))</f>
        <v>Low Demand</v>
      </c>
      <c r="AA588" s="45" t="str">
        <f aca="false">TEXT(G588, "00") &amp; ":00"</f>
        <v>14:00</v>
      </c>
      <c r="AB588" s="43" t="n">
        <f aca="false">YEAR(B588)</f>
        <v>2011</v>
      </c>
      <c r="AC588" s="33" t="str">
        <f aca="false">TEXT(B588, "mmmm")</f>
        <v>January</v>
      </c>
      <c r="AD588" s="43" t="n">
        <f aca="false">LEN(TEXT(B588, "YYYY-MM-DD"))</f>
        <v>10</v>
      </c>
      <c r="AE588" s="45" t="str">
        <f aca="false">LEFT(TEXT(B588, "YYYY-MM-DD"), 4)</f>
        <v>2011</v>
      </c>
      <c r="AF588" s="45" t="str">
        <f aca="false">RIGHT(TEXT(B588, "YYYY-MM-DD"), 2)</f>
        <v>26</v>
      </c>
    </row>
    <row r="589" customFormat="false" ht="15" hidden="false" customHeight="false" outlineLevel="0" collapsed="false">
      <c r="A589" s="37" t="n">
        <v>585</v>
      </c>
      <c r="B589" s="38" t="s">
        <v>102</v>
      </c>
      <c r="C589" s="37" t="n">
        <v>1</v>
      </c>
      <c r="D589" s="35" t="str">
        <f aca="false">VLOOKUP(C589, Lookups_Metadata!$A$4:$B$7, 2, FALSE())</f>
        <v>Spring</v>
      </c>
      <c r="E589" s="37" t="n">
        <v>0</v>
      </c>
      <c r="F589" s="37" t="n">
        <v>1</v>
      </c>
      <c r="G589" s="37" t="n">
        <v>15</v>
      </c>
      <c r="H589" s="39" t="b">
        <f aca="false">FALSE()</f>
        <v>0</v>
      </c>
      <c r="I589" s="37" t="n">
        <v>3</v>
      </c>
      <c r="J589" s="35" t="str">
        <f aca="false">INDEX(Lookups_Metadata!$E$4:$E$10, MATCH(I589, Lookups_Metadata!$D$4:$D$10, 0))</f>
        <v>Wednesday</v>
      </c>
      <c r="K589" s="35" t="str">
        <f aca="false">IF(H589=TRUE(), "Holiday", IF(OR(I589=0, I589=6), "Weekend", "Weekday"))</f>
        <v>Weekday</v>
      </c>
      <c r="L589" s="35" t="str">
        <f aca="false">IF(AND(K589="Weekday", OR(AND(G589&gt;=7, G589&lt;=9), AND(G589&gt;=17, G589&lt;=19))), "Peak Commute", "Off-Peak")</f>
        <v>Off-Peak</v>
      </c>
      <c r="M589" s="37" t="n">
        <v>3</v>
      </c>
      <c r="N589" s="35" t="str">
        <f aca="false">VLOOKUP(M589, Lookups_Metadata!$G$4:$H$7, 2, FALSE())</f>
        <v>Light Snow / Light Rain</v>
      </c>
      <c r="O589" s="40" t="n">
        <v>0.22</v>
      </c>
      <c r="P589" s="40" t="n">
        <v>0.1818</v>
      </c>
      <c r="Q589" s="40" t="n">
        <f aca="false">IF(OR(P589="", ISBLANK(P589)), ROUND(0.9367*O589+0.0175, 4), P589)</f>
        <v>0.1818</v>
      </c>
      <c r="R589" s="35" t="str">
        <f aca="false">IF(OR(P589="", ISBLANK(P589)), "Imputed (Regression/Trend)", "Original")</f>
        <v>Original</v>
      </c>
      <c r="S589" s="40" t="n">
        <v>0.93</v>
      </c>
      <c r="T589" s="40" t="n">
        <v>0.4627</v>
      </c>
      <c r="U589" s="41" t="n">
        <v>1</v>
      </c>
      <c r="V589" s="41" t="n">
        <v>42</v>
      </c>
      <c r="W589" s="41" t="n">
        <f aca="false">U589+V589</f>
        <v>43</v>
      </c>
      <c r="X589" s="42" t="n">
        <f aca="false">U589/W589</f>
        <v>0.0232558139534884</v>
      </c>
      <c r="Y589" s="42" t="n">
        <f aca="false">V589/W589</f>
        <v>0.976744186046512</v>
      </c>
      <c r="Z589" s="35" t="str">
        <f aca="false">IF(W589&gt;=150, "High Demand", IF(W589&gt;=50, "Moderate Demand", "Low Demand"))</f>
        <v>Low Demand</v>
      </c>
      <c r="AA589" s="39" t="str">
        <f aca="false">TEXT(G589, "00") &amp; ":00"</f>
        <v>15:00</v>
      </c>
      <c r="AB589" s="37" t="n">
        <f aca="false">YEAR(B589)</f>
        <v>2011</v>
      </c>
      <c r="AC589" s="35" t="str">
        <f aca="false">TEXT(B589, "mmmm")</f>
        <v>January</v>
      </c>
      <c r="AD589" s="37" t="n">
        <f aca="false">LEN(TEXT(B589, "YYYY-MM-DD"))</f>
        <v>10</v>
      </c>
      <c r="AE589" s="39" t="str">
        <f aca="false">LEFT(TEXT(B589, "YYYY-MM-DD"), 4)</f>
        <v>2011</v>
      </c>
      <c r="AF589" s="39" t="str">
        <f aca="false">RIGHT(TEXT(B589, "YYYY-MM-DD"), 2)</f>
        <v>26</v>
      </c>
    </row>
    <row r="590" customFormat="false" ht="15" hidden="false" customHeight="false" outlineLevel="0" collapsed="false">
      <c r="A590" s="43" t="n">
        <v>586</v>
      </c>
      <c r="B590" s="44" t="s">
        <v>102</v>
      </c>
      <c r="C590" s="43" t="n">
        <v>1</v>
      </c>
      <c r="D590" s="33" t="str">
        <f aca="false">VLOOKUP(C590, Lookups_Metadata!$A$4:$B$7, 2, FALSE())</f>
        <v>Spring</v>
      </c>
      <c r="E590" s="43" t="n">
        <v>0</v>
      </c>
      <c r="F590" s="43" t="n">
        <v>1</v>
      </c>
      <c r="G590" s="43" t="n">
        <v>16</v>
      </c>
      <c r="H590" s="45" t="b">
        <f aca="false">FALSE()</f>
        <v>0</v>
      </c>
      <c r="I590" s="43" t="n">
        <v>3</v>
      </c>
      <c r="J590" s="33" t="str">
        <f aca="false">INDEX(Lookups_Metadata!$E$4:$E$10, MATCH(I590, Lookups_Metadata!$D$4:$D$10, 0))</f>
        <v>Wednesday</v>
      </c>
      <c r="K590" s="33" t="str">
        <f aca="false">IF(H590=TRUE(), "Holiday", IF(OR(I590=0, I590=6), "Weekend", "Weekday"))</f>
        <v>Weekday</v>
      </c>
      <c r="L590" s="33" t="str">
        <f aca="false">IF(AND(K590="Weekday", OR(AND(G590&gt;=7, G590&lt;=9), AND(G590&gt;=17, G590&lt;=19))), "Peak Commute", "Off-Peak")</f>
        <v>Off-Peak</v>
      </c>
      <c r="M590" s="43" t="n">
        <v>4</v>
      </c>
      <c r="N590" s="33" t="str">
        <f aca="false">VLOOKUP(M590, Lookups_Metadata!$G$4:$H$7, 2, FALSE())</f>
        <v>Heavy Rain / Ice Pellets</v>
      </c>
      <c r="O590" s="46" t="n">
        <v>0.22</v>
      </c>
      <c r="P590" s="46" t="n">
        <v>0.197</v>
      </c>
      <c r="Q590" s="46" t="n">
        <f aca="false">IF(OR(P590="", ISBLANK(P590)), ROUND(0.9367*O590+0.0175, 4), P590)</f>
        <v>0.197</v>
      </c>
      <c r="R590" s="33" t="str">
        <f aca="false">IF(OR(P590="", ISBLANK(P590)), "Imputed (Regression/Trend)", "Original")</f>
        <v>Original</v>
      </c>
      <c r="S590" s="46" t="n">
        <v>0.93</v>
      </c>
      <c r="T590" s="46" t="n">
        <v>0.3284</v>
      </c>
      <c r="U590" s="18" t="n">
        <v>1</v>
      </c>
      <c r="V590" s="18" t="n">
        <v>35</v>
      </c>
      <c r="W590" s="18" t="n">
        <f aca="false">U590+V590</f>
        <v>36</v>
      </c>
      <c r="X590" s="47" t="n">
        <f aca="false">U590/W590</f>
        <v>0.0277777777777778</v>
      </c>
      <c r="Y590" s="47" t="n">
        <f aca="false">V590/W590</f>
        <v>0.972222222222222</v>
      </c>
      <c r="Z590" s="33" t="str">
        <f aca="false">IF(W590&gt;=150, "High Demand", IF(W590&gt;=50, "Moderate Demand", "Low Demand"))</f>
        <v>Low Demand</v>
      </c>
      <c r="AA590" s="45" t="str">
        <f aca="false">TEXT(G590, "00") &amp; ":00"</f>
        <v>16:00</v>
      </c>
      <c r="AB590" s="43" t="n">
        <f aca="false">YEAR(B590)</f>
        <v>2011</v>
      </c>
      <c r="AC590" s="33" t="str">
        <f aca="false">TEXT(B590, "mmmm")</f>
        <v>January</v>
      </c>
      <c r="AD590" s="43" t="n">
        <f aca="false">LEN(TEXT(B590, "YYYY-MM-DD"))</f>
        <v>10</v>
      </c>
      <c r="AE590" s="45" t="str">
        <f aca="false">LEFT(TEXT(B590, "YYYY-MM-DD"), 4)</f>
        <v>2011</v>
      </c>
      <c r="AF590" s="45" t="str">
        <f aca="false">RIGHT(TEXT(B590, "YYYY-MM-DD"), 2)</f>
        <v>26</v>
      </c>
    </row>
    <row r="591" customFormat="false" ht="15" hidden="false" customHeight="false" outlineLevel="0" collapsed="false">
      <c r="A591" s="37" t="n">
        <v>587</v>
      </c>
      <c r="B591" s="38" t="s">
        <v>102</v>
      </c>
      <c r="C591" s="37" t="n">
        <v>1</v>
      </c>
      <c r="D591" s="35" t="str">
        <f aca="false">VLOOKUP(C591, Lookups_Metadata!$A$4:$B$7, 2, FALSE())</f>
        <v>Spring</v>
      </c>
      <c r="E591" s="37" t="n">
        <v>0</v>
      </c>
      <c r="F591" s="37" t="n">
        <v>1</v>
      </c>
      <c r="G591" s="37" t="n">
        <v>17</v>
      </c>
      <c r="H591" s="39" t="b">
        <f aca="false">FALSE()</f>
        <v>0</v>
      </c>
      <c r="I591" s="37" t="n">
        <v>3</v>
      </c>
      <c r="J591" s="35" t="str">
        <f aca="false">INDEX(Lookups_Metadata!$E$4:$E$10, MATCH(I591, Lookups_Metadata!$D$4:$D$10, 0))</f>
        <v>Wednesday</v>
      </c>
      <c r="K591" s="35" t="str">
        <f aca="false">IF(H591=TRUE(), "Holiday", IF(OR(I591=0, I591=6), "Weekend", "Weekday"))</f>
        <v>Weekday</v>
      </c>
      <c r="L591" s="35" t="str">
        <f aca="false">IF(AND(K591="Weekday", OR(AND(G591&gt;=7, G591&lt;=9), AND(G591&gt;=17, G591&lt;=19))), "Peak Commute", "Off-Peak")</f>
        <v>Peak Commute</v>
      </c>
      <c r="M591" s="37" t="n">
        <v>3</v>
      </c>
      <c r="N591" s="35" t="str">
        <f aca="false">VLOOKUP(M591, Lookups_Metadata!$G$4:$H$7, 2, FALSE())</f>
        <v>Light Snow / Light Rain</v>
      </c>
      <c r="O591" s="40" t="n">
        <v>0.2</v>
      </c>
      <c r="P591" s="40" t="n">
        <v>0.1818</v>
      </c>
      <c r="Q591" s="40" t="n">
        <f aca="false">IF(OR(P591="", ISBLANK(P591)), ROUND(0.9367*O591+0.0175, 4), P591)</f>
        <v>0.1818</v>
      </c>
      <c r="R591" s="35" t="str">
        <f aca="false">IF(OR(P591="", ISBLANK(P591)), "Imputed (Regression/Trend)", "Original")</f>
        <v>Original</v>
      </c>
      <c r="S591" s="40" t="n">
        <v>0.93</v>
      </c>
      <c r="T591" s="40" t="n">
        <v>0.3582</v>
      </c>
      <c r="U591" s="41" t="n">
        <v>0</v>
      </c>
      <c r="V591" s="41" t="n">
        <v>26</v>
      </c>
      <c r="W591" s="41" t="n">
        <f aca="false">U591+V591</f>
        <v>26</v>
      </c>
      <c r="X591" s="42" t="n">
        <f aca="false">U591/W591</f>
        <v>0</v>
      </c>
      <c r="Y591" s="42" t="n">
        <f aca="false">V591/W591</f>
        <v>1</v>
      </c>
      <c r="Z591" s="35" t="str">
        <f aca="false">IF(W591&gt;=150, "High Demand", IF(W591&gt;=50, "Moderate Demand", "Low Demand"))</f>
        <v>Low Demand</v>
      </c>
      <c r="AA591" s="39" t="str">
        <f aca="false">TEXT(G591, "00") &amp; ":00"</f>
        <v>17:00</v>
      </c>
      <c r="AB591" s="37" t="n">
        <f aca="false">YEAR(B591)</f>
        <v>2011</v>
      </c>
      <c r="AC591" s="35" t="str">
        <f aca="false">TEXT(B591, "mmmm")</f>
        <v>January</v>
      </c>
      <c r="AD591" s="37" t="n">
        <f aca="false">LEN(TEXT(B591, "YYYY-MM-DD"))</f>
        <v>10</v>
      </c>
      <c r="AE591" s="39" t="str">
        <f aca="false">LEFT(TEXT(B591, "YYYY-MM-DD"), 4)</f>
        <v>2011</v>
      </c>
      <c r="AF591" s="39" t="str">
        <f aca="false">RIGHT(TEXT(B591, "YYYY-MM-DD"), 2)</f>
        <v>26</v>
      </c>
    </row>
    <row r="592" customFormat="false" ht="15" hidden="false" customHeight="false" outlineLevel="0" collapsed="false">
      <c r="A592" s="43" t="n">
        <v>588</v>
      </c>
      <c r="B592" s="44" t="s">
        <v>103</v>
      </c>
      <c r="C592" s="43" t="n">
        <v>1</v>
      </c>
      <c r="D592" s="33" t="str">
        <f aca="false">VLOOKUP(C592, Lookups_Metadata!$A$4:$B$7, 2, FALSE())</f>
        <v>Spring</v>
      </c>
      <c r="E592" s="43" t="n">
        <v>0</v>
      </c>
      <c r="F592" s="43" t="n">
        <v>1</v>
      </c>
      <c r="G592" s="43" t="n">
        <v>16</v>
      </c>
      <c r="H592" s="45" t="b">
        <f aca="false">FALSE()</f>
        <v>0</v>
      </c>
      <c r="I592" s="43" t="n">
        <v>4</v>
      </c>
      <c r="J592" s="33" t="str">
        <f aca="false">INDEX(Lookups_Metadata!$E$4:$E$10, MATCH(I592, Lookups_Metadata!$D$4:$D$10, 0))</f>
        <v>Thursday</v>
      </c>
      <c r="K592" s="33" t="str">
        <f aca="false">IF(H592=TRUE(), "Holiday", IF(OR(I592=0, I592=6), "Weekend", "Weekday"))</f>
        <v>Weekday</v>
      </c>
      <c r="L592" s="33" t="str">
        <f aca="false">IF(AND(K592="Weekday", OR(AND(G592&gt;=7, G592&lt;=9), AND(G592&gt;=17, G592&lt;=19))), "Peak Commute", "Off-Peak")</f>
        <v>Off-Peak</v>
      </c>
      <c r="M592" s="43" t="n">
        <v>1</v>
      </c>
      <c r="N592" s="33" t="str">
        <f aca="false">VLOOKUP(M592, Lookups_Metadata!$G$4:$H$7, 2, FALSE())</f>
        <v>Clear / Few Clouds</v>
      </c>
      <c r="O592" s="46" t="n">
        <v>0.22</v>
      </c>
      <c r="P592" s="46" t="n">
        <v>0.2273</v>
      </c>
      <c r="Q592" s="46" t="n">
        <f aca="false">IF(OR(P592="", ISBLANK(P592)), ROUND(0.9367*O592+0.0175, 4), P592)</f>
        <v>0.2273</v>
      </c>
      <c r="R592" s="33" t="str">
        <f aca="false">IF(OR(P592="", ISBLANK(P592)), "Imputed (Regression/Trend)", "Original")</f>
        <v>Original</v>
      </c>
      <c r="S592" s="46" t="n">
        <v>0.55</v>
      </c>
      <c r="T592" s="46" t="n">
        <v>0.194</v>
      </c>
      <c r="U592" s="18" t="n">
        <v>1</v>
      </c>
      <c r="V592" s="18" t="n">
        <v>23</v>
      </c>
      <c r="W592" s="18" t="n">
        <f aca="false">U592+V592</f>
        <v>24</v>
      </c>
      <c r="X592" s="47" t="n">
        <f aca="false">U592/W592</f>
        <v>0.0416666666666667</v>
      </c>
      <c r="Y592" s="47" t="n">
        <f aca="false">V592/W592</f>
        <v>0.958333333333333</v>
      </c>
      <c r="Z592" s="33" t="str">
        <f aca="false">IF(W592&gt;=150, "High Demand", IF(W592&gt;=50, "Moderate Demand", "Low Demand"))</f>
        <v>Low Demand</v>
      </c>
      <c r="AA592" s="45" t="str">
        <f aca="false">TEXT(G592, "00") &amp; ":00"</f>
        <v>16:00</v>
      </c>
      <c r="AB592" s="43" t="n">
        <f aca="false">YEAR(B592)</f>
        <v>2011</v>
      </c>
      <c r="AC592" s="33" t="str">
        <f aca="false">TEXT(B592, "mmmm")</f>
        <v>January</v>
      </c>
      <c r="AD592" s="43" t="n">
        <f aca="false">LEN(TEXT(B592, "YYYY-MM-DD"))</f>
        <v>10</v>
      </c>
      <c r="AE592" s="45" t="str">
        <f aca="false">LEFT(TEXT(B592, "YYYY-MM-DD"), 4)</f>
        <v>2011</v>
      </c>
      <c r="AF592" s="45" t="str">
        <f aca="false">RIGHT(TEXT(B592, "YYYY-MM-DD"), 2)</f>
        <v>27</v>
      </c>
    </row>
    <row r="593" customFormat="false" ht="15" hidden="false" customHeight="false" outlineLevel="0" collapsed="false">
      <c r="A593" s="37" t="n">
        <v>589</v>
      </c>
      <c r="B593" s="38" t="s">
        <v>103</v>
      </c>
      <c r="C593" s="37" t="n">
        <v>1</v>
      </c>
      <c r="D593" s="35" t="str">
        <f aca="false">VLOOKUP(C593, Lookups_Metadata!$A$4:$B$7, 2, FALSE())</f>
        <v>Spring</v>
      </c>
      <c r="E593" s="37" t="n">
        <v>0</v>
      </c>
      <c r="F593" s="37" t="n">
        <v>1</v>
      </c>
      <c r="G593" s="37" t="n">
        <v>17</v>
      </c>
      <c r="H593" s="39" t="b">
        <f aca="false">FALSE()</f>
        <v>0</v>
      </c>
      <c r="I593" s="37" t="n">
        <v>4</v>
      </c>
      <c r="J593" s="35" t="str">
        <f aca="false">INDEX(Lookups_Metadata!$E$4:$E$10, MATCH(I593, Lookups_Metadata!$D$4:$D$10, 0))</f>
        <v>Thursday</v>
      </c>
      <c r="K593" s="35" t="str">
        <f aca="false">IF(H593=TRUE(), "Holiday", IF(OR(I593=0, I593=6), "Weekend", "Weekday"))</f>
        <v>Weekday</v>
      </c>
      <c r="L593" s="35" t="str">
        <f aca="false">IF(AND(K593="Weekday", OR(AND(G593&gt;=7, G593&lt;=9), AND(G593&gt;=17, G593&lt;=19))), "Peak Commute", "Off-Peak")</f>
        <v>Peak Commute</v>
      </c>
      <c r="M593" s="37" t="n">
        <v>1</v>
      </c>
      <c r="N593" s="35" t="str">
        <f aca="false">VLOOKUP(M593, Lookups_Metadata!$G$4:$H$7, 2, FALSE())</f>
        <v>Clear / Few Clouds</v>
      </c>
      <c r="O593" s="40" t="n">
        <v>0.22</v>
      </c>
      <c r="P593" s="40" t="n">
        <v>0.2424</v>
      </c>
      <c r="Q593" s="40" t="n">
        <f aca="false">IF(OR(P593="", ISBLANK(P593)), ROUND(0.9367*O593+0.0175, 4), P593)</f>
        <v>0.2424</v>
      </c>
      <c r="R593" s="35" t="str">
        <f aca="false">IF(OR(P593="", ISBLANK(P593)), "Imputed (Regression/Trend)", "Original")</f>
        <v>Original</v>
      </c>
      <c r="S593" s="40" t="n">
        <v>0.55</v>
      </c>
      <c r="T593" s="40" t="n">
        <v>0.1045</v>
      </c>
      <c r="U593" s="41" t="n">
        <v>2</v>
      </c>
      <c r="V593" s="41" t="n">
        <v>82</v>
      </c>
      <c r="W593" s="41" t="n">
        <f aca="false">U593+V593</f>
        <v>84</v>
      </c>
      <c r="X593" s="42" t="n">
        <f aca="false">U593/W593</f>
        <v>0.0238095238095238</v>
      </c>
      <c r="Y593" s="42" t="n">
        <f aca="false">V593/W593</f>
        <v>0.976190476190476</v>
      </c>
      <c r="Z593" s="35" t="str">
        <f aca="false">IF(W593&gt;=150, "High Demand", IF(W593&gt;=50, "Moderate Demand", "Low Demand"))</f>
        <v>Moderate Demand</v>
      </c>
      <c r="AA593" s="39" t="str">
        <f aca="false">TEXT(G593, "00") &amp; ":00"</f>
        <v>17:00</v>
      </c>
      <c r="AB593" s="37" t="n">
        <f aca="false">YEAR(B593)</f>
        <v>2011</v>
      </c>
      <c r="AC593" s="35" t="str">
        <f aca="false">TEXT(B593, "mmmm")</f>
        <v>January</v>
      </c>
      <c r="AD593" s="37" t="n">
        <f aca="false">LEN(TEXT(B593, "YYYY-MM-DD"))</f>
        <v>10</v>
      </c>
      <c r="AE593" s="39" t="str">
        <f aca="false">LEFT(TEXT(B593, "YYYY-MM-DD"), 4)</f>
        <v>2011</v>
      </c>
      <c r="AF593" s="39" t="str">
        <f aca="false">RIGHT(TEXT(B593, "YYYY-MM-DD"), 2)</f>
        <v>27</v>
      </c>
    </row>
    <row r="594" customFormat="false" ht="15" hidden="false" customHeight="false" outlineLevel="0" collapsed="false">
      <c r="A594" s="43" t="n">
        <v>590</v>
      </c>
      <c r="B594" s="44" t="s">
        <v>103</v>
      </c>
      <c r="C594" s="43" t="n">
        <v>1</v>
      </c>
      <c r="D594" s="33" t="str">
        <f aca="false">VLOOKUP(C594, Lookups_Metadata!$A$4:$B$7, 2, FALSE())</f>
        <v>Spring</v>
      </c>
      <c r="E594" s="43" t="n">
        <v>0</v>
      </c>
      <c r="F594" s="43" t="n">
        <v>1</v>
      </c>
      <c r="G594" s="43" t="n">
        <v>18</v>
      </c>
      <c r="H594" s="45" t="b">
        <f aca="false">FALSE()</f>
        <v>0</v>
      </c>
      <c r="I594" s="43" t="n">
        <v>4</v>
      </c>
      <c r="J594" s="33" t="str">
        <f aca="false">INDEX(Lookups_Metadata!$E$4:$E$10, MATCH(I594, Lookups_Metadata!$D$4:$D$10, 0))</f>
        <v>Thursday</v>
      </c>
      <c r="K594" s="33" t="str">
        <f aca="false">IF(H594=TRUE(), "Holiday", IF(OR(I594=0, I594=6), "Weekend", "Weekday"))</f>
        <v>Weekday</v>
      </c>
      <c r="L594" s="33" t="str">
        <f aca="false">IF(AND(K594="Weekday", OR(AND(G594&gt;=7, G594&lt;=9), AND(G594&gt;=17, G594&lt;=19))), "Peak Commute", "Off-Peak")</f>
        <v>Peak Commute</v>
      </c>
      <c r="M594" s="43" t="n">
        <v>1</v>
      </c>
      <c r="N594" s="33" t="str">
        <f aca="false">VLOOKUP(M594, Lookups_Metadata!$G$4:$H$7, 2, FALSE())</f>
        <v>Clear / Few Clouds</v>
      </c>
      <c r="O594" s="46" t="n">
        <v>0.2</v>
      </c>
      <c r="P594" s="46" t="n">
        <v>0.2273</v>
      </c>
      <c r="Q594" s="46" t="n">
        <f aca="false">IF(OR(P594="", ISBLANK(P594)), ROUND(0.9367*O594+0.0175, 4), P594)</f>
        <v>0.2273</v>
      </c>
      <c r="R594" s="33" t="str">
        <f aca="false">IF(OR(P594="", ISBLANK(P594)), "Imputed (Regression/Trend)", "Original")</f>
        <v>Original</v>
      </c>
      <c r="S594" s="46" t="n">
        <v>0.69</v>
      </c>
      <c r="T594" s="46" t="n">
        <v>0.0896</v>
      </c>
      <c r="U594" s="18" t="n">
        <v>3</v>
      </c>
      <c r="V594" s="18" t="n">
        <v>101</v>
      </c>
      <c r="W594" s="18" t="n">
        <f aca="false">U594+V594</f>
        <v>104</v>
      </c>
      <c r="X594" s="47" t="n">
        <f aca="false">U594/W594</f>
        <v>0.0288461538461538</v>
      </c>
      <c r="Y594" s="47" t="n">
        <f aca="false">V594/W594</f>
        <v>0.971153846153846</v>
      </c>
      <c r="Z594" s="33" t="str">
        <f aca="false">IF(W594&gt;=150, "High Demand", IF(W594&gt;=50, "Moderate Demand", "Low Demand"))</f>
        <v>Moderate Demand</v>
      </c>
      <c r="AA594" s="45" t="str">
        <f aca="false">TEXT(G594, "00") &amp; ":00"</f>
        <v>18:00</v>
      </c>
      <c r="AB594" s="43" t="n">
        <f aca="false">YEAR(B594)</f>
        <v>2011</v>
      </c>
      <c r="AC594" s="33" t="str">
        <f aca="false">TEXT(B594, "mmmm")</f>
        <v>January</v>
      </c>
      <c r="AD594" s="43" t="n">
        <f aca="false">LEN(TEXT(B594, "YYYY-MM-DD"))</f>
        <v>10</v>
      </c>
      <c r="AE594" s="45" t="str">
        <f aca="false">LEFT(TEXT(B594, "YYYY-MM-DD"), 4)</f>
        <v>2011</v>
      </c>
      <c r="AF594" s="45" t="str">
        <f aca="false">RIGHT(TEXT(B594, "YYYY-MM-DD"), 2)</f>
        <v>27</v>
      </c>
    </row>
    <row r="595" customFormat="false" ht="15" hidden="false" customHeight="false" outlineLevel="0" collapsed="false">
      <c r="A595" s="37" t="n">
        <v>591</v>
      </c>
      <c r="B595" s="38" t="s">
        <v>103</v>
      </c>
      <c r="C595" s="37" t="n">
        <v>1</v>
      </c>
      <c r="D595" s="35" t="str">
        <f aca="false">VLOOKUP(C595, Lookups_Metadata!$A$4:$B$7, 2, FALSE())</f>
        <v>Spring</v>
      </c>
      <c r="E595" s="37" t="n">
        <v>0</v>
      </c>
      <c r="F595" s="37" t="n">
        <v>1</v>
      </c>
      <c r="G595" s="37" t="n">
        <v>19</v>
      </c>
      <c r="H595" s="39" t="b">
        <f aca="false">FALSE()</f>
        <v>0</v>
      </c>
      <c r="I595" s="37" t="n">
        <v>4</v>
      </c>
      <c r="J595" s="35" t="str">
        <f aca="false">INDEX(Lookups_Metadata!$E$4:$E$10, MATCH(I595, Lookups_Metadata!$D$4:$D$10, 0))</f>
        <v>Thursday</v>
      </c>
      <c r="K595" s="35" t="str">
        <f aca="false">IF(H595=TRUE(), "Holiday", IF(OR(I595=0, I595=6), "Weekend", "Weekday"))</f>
        <v>Weekday</v>
      </c>
      <c r="L595" s="35" t="str">
        <f aca="false">IF(AND(K595="Weekday", OR(AND(G595&gt;=7, G595&lt;=9), AND(G595&gt;=17, G595&lt;=19))), "Peak Commute", "Off-Peak")</f>
        <v>Peak Commute</v>
      </c>
      <c r="M595" s="37" t="n">
        <v>1</v>
      </c>
      <c r="N595" s="35" t="str">
        <f aca="false">VLOOKUP(M595, Lookups_Metadata!$G$4:$H$7, 2, FALSE())</f>
        <v>Clear / Few Clouds</v>
      </c>
      <c r="O595" s="40" t="n">
        <v>0.2</v>
      </c>
      <c r="P595" s="40" t="n">
        <v>0.2273</v>
      </c>
      <c r="Q595" s="40" t="n">
        <f aca="false">IF(OR(P595="", ISBLANK(P595)), ROUND(0.9367*O595+0.0175, 4), P595)</f>
        <v>0.2273</v>
      </c>
      <c r="R595" s="35" t="str">
        <f aca="false">IF(OR(P595="", ISBLANK(P595)), "Imputed (Regression/Trend)", "Original")</f>
        <v>Original</v>
      </c>
      <c r="S595" s="40" t="n">
        <v>0.69</v>
      </c>
      <c r="T595" s="40" t="n">
        <v>0.0896</v>
      </c>
      <c r="U595" s="41" t="n">
        <v>3</v>
      </c>
      <c r="V595" s="41" t="n">
        <v>76</v>
      </c>
      <c r="W595" s="41" t="n">
        <f aca="false">U595+V595</f>
        <v>79</v>
      </c>
      <c r="X595" s="42" t="n">
        <f aca="false">U595/W595</f>
        <v>0.0379746835443038</v>
      </c>
      <c r="Y595" s="42" t="n">
        <f aca="false">V595/W595</f>
        <v>0.962025316455696</v>
      </c>
      <c r="Z595" s="35" t="str">
        <f aca="false">IF(W595&gt;=150, "High Demand", IF(W595&gt;=50, "Moderate Demand", "Low Demand"))</f>
        <v>Moderate Demand</v>
      </c>
      <c r="AA595" s="39" t="str">
        <f aca="false">TEXT(G595, "00") &amp; ":00"</f>
        <v>19:00</v>
      </c>
      <c r="AB595" s="37" t="n">
        <f aca="false">YEAR(B595)</f>
        <v>2011</v>
      </c>
      <c r="AC595" s="35" t="str">
        <f aca="false">TEXT(B595, "mmmm")</f>
        <v>January</v>
      </c>
      <c r="AD595" s="37" t="n">
        <f aca="false">LEN(TEXT(B595, "YYYY-MM-DD"))</f>
        <v>10</v>
      </c>
      <c r="AE595" s="39" t="str">
        <f aca="false">LEFT(TEXT(B595, "YYYY-MM-DD"), 4)</f>
        <v>2011</v>
      </c>
      <c r="AF595" s="39" t="str">
        <f aca="false">RIGHT(TEXT(B595, "YYYY-MM-DD"), 2)</f>
        <v>27</v>
      </c>
    </row>
    <row r="596" customFormat="false" ht="15" hidden="false" customHeight="false" outlineLevel="0" collapsed="false">
      <c r="A596" s="43" t="n">
        <v>592</v>
      </c>
      <c r="B596" s="44" t="s">
        <v>103</v>
      </c>
      <c r="C596" s="43" t="n">
        <v>1</v>
      </c>
      <c r="D596" s="33" t="str">
        <f aca="false">VLOOKUP(C596, Lookups_Metadata!$A$4:$B$7, 2, FALSE())</f>
        <v>Spring</v>
      </c>
      <c r="E596" s="43" t="n">
        <v>0</v>
      </c>
      <c r="F596" s="43" t="n">
        <v>1</v>
      </c>
      <c r="G596" s="43" t="n">
        <v>20</v>
      </c>
      <c r="H596" s="45" t="b">
        <f aca="false">FALSE()</f>
        <v>0</v>
      </c>
      <c r="I596" s="43" t="n">
        <v>4</v>
      </c>
      <c r="J596" s="33" t="str">
        <f aca="false">INDEX(Lookups_Metadata!$E$4:$E$10, MATCH(I596, Lookups_Metadata!$D$4:$D$10, 0))</f>
        <v>Thursday</v>
      </c>
      <c r="K596" s="33" t="str">
        <f aca="false">IF(H596=TRUE(), "Holiday", IF(OR(I596=0, I596=6), "Weekend", "Weekday"))</f>
        <v>Weekday</v>
      </c>
      <c r="L596" s="33" t="str">
        <f aca="false">IF(AND(K596="Weekday", OR(AND(G596&gt;=7, G596&lt;=9), AND(G596&gt;=17, G596&lt;=19))), "Peak Commute", "Off-Peak")</f>
        <v>Off-Peak</v>
      </c>
      <c r="M596" s="43" t="n">
        <v>1</v>
      </c>
      <c r="N596" s="33" t="str">
        <f aca="false">VLOOKUP(M596, Lookups_Metadata!$G$4:$H$7, 2, FALSE())</f>
        <v>Clear / Few Clouds</v>
      </c>
      <c r="O596" s="46" t="n">
        <v>0.18</v>
      </c>
      <c r="P596" s="46" t="n">
        <v>0.2121</v>
      </c>
      <c r="Q596" s="46" t="n">
        <f aca="false">IF(OR(P596="", ISBLANK(P596)), ROUND(0.9367*O596+0.0175, 4), P596)</f>
        <v>0.2121</v>
      </c>
      <c r="R596" s="33" t="str">
        <f aca="false">IF(OR(P596="", ISBLANK(P596)), "Imputed (Regression/Trend)", "Original")</f>
        <v>Original</v>
      </c>
      <c r="S596" s="46" t="n">
        <v>0.74</v>
      </c>
      <c r="T596" s="46" t="n">
        <v>0.0896</v>
      </c>
      <c r="U596" s="18" t="n">
        <v>4</v>
      </c>
      <c r="V596" s="18" t="n">
        <v>55</v>
      </c>
      <c r="W596" s="18" t="n">
        <f aca="false">U596+V596</f>
        <v>59</v>
      </c>
      <c r="X596" s="47" t="n">
        <f aca="false">U596/W596</f>
        <v>0.0677966101694915</v>
      </c>
      <c r="Y596" s="47" t="n">
        <f aca="false">V596/W596</f>
        <v>0.932203389830508</v>
      </c>
      <c r="Z596" s="33" t="str">
        <f aca="false">IF(W596&gt;=150, "High Demand", IF(W596&gt;=50, "Moderate Demand", "Low Demand"))</f>
        <v>Moderate Demand</v>
      </c>
      <c r="AA596" s="45" t="str">
        <f aca="false">TEXT(G596, "00") &amp; ":00"</f>
        <v>20:00</v>
      </c>
      <c r="AB596" s="43" t="n">
        <f aca="false">YEAR(B596)</f>
        <v>2011</v>
      </c>
      <c r="AC596" s="33" t="str">
        <f aca="false">TEXT(B596, "mmmm")</f>
        <v>January</v>
      </c>
      <c r="AD596" s="43" t="n">
        <f aca="false">LEN(TEXT(B596, "YYYY-MM-DD"))</f>
        <v>10</v>
      </c>
      <c r="AE596" s="45" t="str">
        <f aca="false">LEFT(TEXT(B596, "YYYY-MM-DD"), 4)</f>
        <v>2011</v>
      </c>
      <c r="AF596" s="45" t="str">
        <f aca="false">RIGHT(TEXT(B596, "YYYY-MM-DD"), 2)</f>
        <v>27</v>
      </c>
    </row>
    <row r="597" customFormat="false" ht="15" hidden="false" customHeight="false" outlineLevel="0" collapsed="false">
      <c r="A597" s="37" t="n">
        <v>593</v>
      </c>
      <c r="B597" s="38" t="s">
        <v>103</v>
      </c>
      <c r="C597" s="37" t="n">
        <v>1</v>
      </c>
      <c r="D597" s="35" t="str">
        <f aca="false">VLOOKUP(C597, Lookups_Metadata!$A$4:$B$7, 2, FALSE())</f>
        <v>Spring</v>
      </c>
      <c r="E597" s="37" t="n">
        <v>0</v>
      </c>
      <c r="F597" s="37" t="n">
        <v>1</v>
      </c>
      <c r="G597" s="37" t="n">
        <v>21</v>
      </c>
      <c r="H597" s="39" t="b">
        <f aca="false">FALSE()</f>
        <v>0</v>
      </c>
      <c r="I597" s="37" t="n">
        <v>4</v>
      </c>
      <c r="J597" s="35" t="str">
        <f aca="false">INDEX(Lookups_Metadata!$E$4:$E$10, MATCH(I597, Lookups_Metadata!$D$4:$D$10, 0))</f>
        <v>Thursday</v>
      </c>
      <c r="K597" s="35" t="str">
        <f aca="false">IF(H597=TRUE(), "Holiday", IF(OR(I597=0, I597=6), "Weekend", "Weekday"))</f>
        <v>Weekday</v>
      </c>
      <c r="L597" s="35" t="str">
        <f aca="false">IF(AND(K597="Weekday", OR(AND(G597&gt;=7, G597&lt;=9), AND(G597&gt;=17, G597&lt;=19))), "Peak Commute", "Off-Peak")</f>
        <v>Off-Peak</v>
      </c>
      <c r="M597" s="37" t="n">
        <v>1</v>
      </c>
      <c r="N597" s="35" t="str">
        <f aca="false">VLOOKUP(M597, Lookups_Metadata!$G$4:$H$7, 2, FALSE())</f>
        <v>Clear / Few Clouds</v>
      </c>
      <c r="O597" s="40" t="n">
        <v>0.18</v>
      </c>
      <c r="P597" s="40" t="n">
        <v>0.2121</v>
      </c>
      <c r="Q597" s="40" t="n">
        <f aca="false">IF(OR(P597="", ISBLANK(P597)), ROUND(0.9367*O597+0.0175, 4), P597)</f>
        <v>0.2121</v>
      </c>
      <c r="R597" s="35" t="str">
        <f aca="false">IF(OR(P597="", ISBLANK(P597)), "Imputed (Regression/Trend)", "Original")</f>
        <v>Original</v>
      </c>
      <c r="S597" s="40" t="n">
        <v>0.74</v>
      </c>
      <c r="T597" s="40" t="n">
        <v>0.0896</v>
      </c>
      <c r="U597" s="41" t="n">
        <v>2</v>
      </c>
      <c r="V597" s="41" t="n">
        <v>36</v>
      </c>
      <c r="W597" s="41" t="n">
        <f aca="false">U597+V597</f>
        <v>38</v>
      </c>
      <c r="X597" s="42" t="n">
        <f aca="false">U597/W597</f>
        <v>0.0526315789473684</v>
      </c>
      <c r="Y597" s="42" t="n">
        <f aca="false">V597/W597</f>
        <v>0.947368421052632</v>
      </c>
      <c r="Z597" s="35" t="str">
        <f aca="false">IF(W597&gt;=150, "High Demand", IF(W597&gt;=50, "Moderate Demand", "Low Demand"))</f>
        <v>Low Demand</v>
      </c>
      <c r="AA597" s="39" t="str">
        <f aca="false">TEXT(G597, "00") &amp; ":00"</f>
        <v>21:00</v>
      </c>
      <c r="AB597" s="37" t="n">
        <f aca="false">YEAR(B597)</f>
        <v>2011</v>
      </c>
      <c r="AC597" s="35" t="str">
        <f aca="false">TEXT(B597, "mmmm")</f>
        <v>January</v>
      </c>
      <c r="AD597" s="37" t="n">
        <f aca="false">LEN(TEXT(B597, "YYYY-MM-DD"))</f>
        <v>10</v>
      </c>
      <c r="AE597" s="39" t="str">
        <f aca="false">LEFT(TEXT(B597, "YYYY-MM-DD"), 4)</f>
        <v>2011</v>
      </c>
      <c r="AF597" s="39" t="str">
        <f aca="false">RIGHT(TEXT(B597, "YYYY-MM-DD"), 2)</f>
        <v>27</v>
      </c>
    </row>
    <row r="598" customFormat="false" ht="15" hidden="false" customHeight="false" outlineLevel="0" collapsed="false">
      <c r="A598" s="43" t="n">
        <v>594</v>
      </c>
      <c r="B598" s="44" t="s">
        <v>103</v>
      </c>
      <c r="C598" s="43" t="n">
        <v>1</v>
      </c>
      <c r="D598" s="33" t="str">
        <f aca="false">VLOOKUP(C598, Lookups_Metadata!$A$4:$B$7, 2, FALSE())</f>
        <v>Spring</v>
      </c>
      <c r="E598" s="43" t="n">
        <v>0</v>
      </c>
      <c r="F598" s="43" t="n">
        <v>1</v>
      </c>
      <c r="G598" s="43" t="n">
        <v>22</v>
      </c>
      <c r="H598" s="45" t="b">
        <f aca="false">FALSE()</f>
        <v>0</v>
      </c>
      <c r="I598" s="43" t="n">
        <v>4</v>
      </c>
      <c r="J598" s="33" t="str">
        <f aca="false">INDEX(Lookups_Metadata!$E$4:$E$10, MATCH(I598, Lookups_Metadata!$D$4:$D$10, 0))</f>
        <v>Thursday</v>
      </c>
      <c r="K598" s="33" t="str">
        <f aca="false">IF(H598=TRUE(), "Holiday", IF(OR(I598=0, I598=6), "Weekend", "Weekday"))</f>
        <v>Weekday</v>
      </c>
      <c r="L598" s="33" t="str">
        <f aca="false">IF(AND(K598="Weekday", OR(AND(G598&gt;=7, G598&lt;=9), AND(G598&gt;=17, G598&lt;=19))), "Peak Commute", "Off-Peak")</f>
        <v>Off-Peak</v>
      </c>
      <c r="M598" s="43" t="n">
        <v>1</v>
      </c>
      <c r="N598" s="33" t="str">
        <f aca="false">VLOOKUP(M598, Lookups_Metadata!$G$4:$H$7, 2, FALSE())</f>
        <v>Clear / Few Clouds</v>
      </c>
      <c r="O598" s="46" t="n">
        <v>0.18</v>
      </c>
      <c r="P598" s="46" t="n">
        <v>0.2121</v>
      </c>
      <c r="Q598" s="46" t="n">
        <f aca="false">IF(OR(P598="", ISBLANK(P598)), ROUND(0.9367*O598+0.0175, 4), P598)</f>
        <v>0.2121</v>
      </c>
      <c r="R598" s="33" t="str">
        <f aca="false">IF(OR(P598="", ISBLANK(P598)), "Imputed (Regression/Trend)", "Original")</f>
        <v>Original</v>
      </c>
      <c r="S598" s="46" t="n">
        <v>0.74</v>
      </c>
      <c r="T598" s="46" t="n">
        <v>0.0896</v>
      </c>
      <c r="U598" s="18" t="n">
        <v>0</v>
      </c>
      <c r="V598" s="18" t="n">
        <v>27</v>
      </c>
      <c r="W598" s="18" t="n">
        <f aca="false">U598+V598</f>
        <v>27</v>
      </c>
      <c r="X598" s="47" t="n">
        <f aca="false">U598/W598</f>
        <v>0</v>
      </c>
      <c r="Y598" s="47" t="n">
        <f aca="false">V598/W598</f>
        <v>1</v>
      </c>
      <c r="Z598" s="33" t="str">
        <f aca="false">IF(W598&gt;=150, "High Demand", IF(W598&gt;=50, "Moderate Demand", "Low Demand"))</f>
        <v>Low Demand</v>
      </c>
      <c r="AA598" s="45" t="str">
        <f aca="false">TEXT(G598, "00") &amp; ":00"</f>
        <v>22:00</v>
      </c>
      <c r="AB598" s="43" t="n">
        <f aca="false">YEAR(B598)</f>
        <v>2011</v>
      </c>
      <c r="AC598" s="33" t="str">
        <f aca="false">TEXT(B598, "mmmm")</f>
        <v>January</v>
      </c>
      <c r="AD598" s="43" t="n">
        <f aca="false">LEN(TEXT(B598, "YYYY-MM-DD"))</f>
        <v>10</v>
      </c>
      <c r="AE598" s="45" t="str">
        <f aca="false">LEFT(TEXT(B598, "YYYY-MM-DD"), 4)</f>
        <v>2011</v>
      </c>
      <c r="AF598" s="45" t="str">
        <f aca="false">RIGHT(TEXT(B598, "YYYY-MM-DD"), 2)</f>
        <v>27</v>
      </c>
    </row>
    <row r="599" customFormat="false" ht="15" hidden="false" customHeight="false" outlineLevel="0" collapsed="false">
      <c r="A599" s="37" t="n">
        <v>595</v>
      </c>
      <c r="B599" s="38" t="s">
        <v>103</v>
      </c>
      <c r="C599" s="37" t="n">
        <v>1</v>
      </c>
      <c r="D599" s="35" t="str">
        <f aca="false">VLOOKUP(C599, Lookups_Metadata!$A$4:$B$7, 2, FALSE())</f>
        <v>Spring</v>
      </c>
      <c r="E599" s="37" t="n">
        <v>0</v>
      </c>
      <c r="F599" s="37" t="n">
        <v>1</v>
      </c>
      <c r="G599" s="37" t="n">
        <v>23</v>
      </c>
      <c r="H599" s="39" t="b">
        <f aca="false">FALSE()</f>
        <v>0</v>
      </c>
      <c r="I599" s="37" t="n">
        <v>4</v>
      </c>
      <c r="J599" s="35" t="str">
        <f aca="false">INDEX(Lookups_Metadata!$E$4:$E$10, MATCH(I599, Lookups_Metadata!$D$4:$D$10, 0))</f>
        <v>Thursday</v>
      </c>
      <c r="K599" s="35" t="str">
        <f aca="false">IF(H599=TRUE(), "Holiday", IF(OR(I599=0, I599=6), "Weekend", "Weekday"))</f>
        <v>Weekday</v>
      </c>
      <c r="L599" s="35" t="str">
        <f aca="false">IF(AND(K599="Weekday", OR(AND(G599&gt;=7, G599&lt;=9), AND(G599&gt;=17, G599&lt;=19))), "Peak Commute", "Off-Peak")</f>
        <v>Off-Peak</v>
      </c>
      <c r="M599" s="37" t="n">
        <v>1</v>
      </c>
      <c r="N599" s="35" t="str">
        <f aca="false">VLOOKUP(M599, Lookups_Metadata!$G$4:$H$7, 2, FALSE())</f>
        <v>Clear / Few Clouds</v>
      </c>
      <c r="O599" s="40" t="n">
        <v>0.18</v>
      </c>
      <c r="P599" s="40" t="n">
        <v>0.197</v>
      </c>
      <c r="Q599" s="40" t="n">
        <f aca="false">IF(OR(P599="", ISBLANK(P599)), ROUND(0.9367*O599+0.0175, 4), P599)</f>
        <v>0.197</v>
      </c>
      <c r="R599" s="35" t="str">
        <f aca="false">IF(OR(P599="", ISBLANK(P599)), "Imputed (Regression/Trend)", "Original")</f>
        <v>Original</v>
      </c>
      <c r="S599" s="40" t="n">
        <v>0.8</v>
      </c>
      <c r="T599" s="40" t="n">
        <v>0.1642</v>
      </c>
      <c r="U599" s="41" t="n">
        <v>0</v>
      </c>
      <c r="V599" s="41" t="n">
        <v>16</v>
      </c>
      <c r="W599" s="41" t="n">
        <f aca="false">U599+V599</f>
        <v>16</v>
      </c>
      <c r="X599" s="42" t="n">
        <f aca="false">U599/W599</f>
        <v>0</v>
      </c>
      <c r="Y599" s="42" t="n">
        <f aca="false">V599/W599</f>
        <v>1</v>
      </c>
      <c r="Z599" s="35" t="str">
        <f aca="false">IF(W599&gt;=150, "High Demand", IF(W599&gt;=50, "Moderate Demand", "Low Demand"))</f>
        <v>Low Demand</v>
      </c>
      <c r="AA599" s="39" t="str">
        <f aca="false">TEXT(G599, "00") &amp; ":00"</f>
        <v>23:00</v>
      </c>
      <c r="AB599" s="37" t="n">
        <f aca="false">YEAR(B599)</f>
        <v>2011</v>
      </c>
      <c r="AC599" s="35" t="str">
        <f aca="false">TEXT(B599, "mmmm")</f>
        <v>January</v>
      </c>
      <c r="AD599" s="37" t="n">
        <f aca="false">LEN(TEXT(B599, "YYYY-MM-DD"))</f>
        <v>10</v>
      </c>
      <c r="AE599" s="39" t="str">
        <f aca="false">LEFT(TEXT(B599, "YYYY-MM-DD"), 4)</f>
        <v>2011</v>
      </c>
      <c r="AF599" s="39" t="str">
        <f aca="false">RIGHT(TEXT(B599, "YYYY-MM-DD"), 2)</f>
        <v>27</v>
      </c>
    </row>
    <row r="600" customFormat="false" ht="15" hidden="false" customHeight="false" outlineLevel="0" collapsed="false">
      <c r="A600" s="43" t="n">
        <v>596</v>
      </c>
      <c r="B600" s="44" t="s">
        <v>104</v>
      </c>
      <c r="C600" s="43" t="n">
        <v>1</v>
      </c>
      <c r="D600" s="33" t="str">
        <f aca="false">VLOOKUP(C600, Lookups_Metadata!$A$4:$B$7, 2, FALSE())</f>
        <v>Spring</v>
      </c>
      <c r="E600" s="43" t="n">
        <v>0</v>
      </c>
      <c r="F600" s="43" t="n">
        <v>1</v>
      </c>
      <c r="G600" s="43" t="n">
        <v>0</v>
      </c>
      <c r="H600" s="45" t="b">
        <f aca="false">FALSE()</f>
        <v>0</v>
      </c>
      <c r="I600" s="43" t="n">
        <v>5</v>
      </c>
      <c r="J600" s="33" t="str">
        <f aca="false">INDEX(Lookups_Metadata!$E$4:$E$10, MATCH(I600, Lookups_Metadata!$D$4:$D$10, 0))</f>
        <v>Friday</v>
      </c>
      <c r="K600" s="33" t="str">
        <f aca="false">IF(H600=TRUE(), "Holiday", IF(OR(I600=0, I600=6), "Weekend", "Weekday"))</f>
        <v>Weekday</v>
      </c>
      <c r="L600" s="33" t="str">
        <f aca="false">IF(AND(K600="Weekday", OR(AND(G600&gt;=7, G600&lt;=9), AND(G600&gt;=17, G600&lt;=19))), "Peak Commute", "Off-Peak")</f>
        <v>Off-Peak</v>
      </c>
      <c r="M600" s="43" t="n">
        <v>2</v>
      </c>
      <c r="N600" s="33" t="str">
        <f aca="false">VLOOKUP(M600, Lookups_Metadata!$G$4:$H$7, 2, FALSE())</f>
        <v>Mist / Cloudy</v>
      </c>
      <c r="O600" s="46" t="n">
        <v>0.2</v>
      </c>
      <c r="P600" s="46" t="n">
        <v>0.2121</v>
      </c>
      <c r="Q600" s="46" t="n">
        <f aca="false">IF(OR(P600="", ISBLANK(P600)), ROUND(0.9367*O600+0.0175, 4), P600)</f>
        <v>0.2121</v>
      </c>
      <c r="R600" s="33" t="str">
        <f aca="false">IF(OR(P600="", ISBLANK(P600)), "Imputed (Regression/Trend)", "Original")</f>
        <v>Original</v>
      </c>
      <c r="S600" s="46" t="n">
        <v>0.75</v>
      </c>
      <c r="T600" s="46" t="n">
        <v>0.1343</v>
      </c>
      <c r="U600" s="18" t="n">
        <v>0</v>
      </c>
      <c r="V600" s="18" t="n">
        <v>9</v>
      </c>
      <c r="W600" s="18" t="n">
        <f aca="false">U600+V600</f>
        <v>9</v>
      </c>
      <c r="X600" s="47" t="n">
        <f aca="false">U600/W600</f>
        <v>0</v>
      </c>
      <c r="Y600" s="47" t="n">
        <f aca="false">V600/W600</f>
        <v>1</v>
      </c>
      <c r="Z600" s="33" t="str">
        <f aca="false">IF(W600&gt;=150, "High Demand", IF(W600&gt;=50, "Moderate Demand", "Low Demand"))</f>
        <v>Low Demand</v>
      </c>
      <c r="AA600" s="45" t="str">
        <f aca="false">TEXT(G600, "00") &amp; ":00"</f>
        <v>00:00</v>
      </c>
      <c r="AB600" s="43" t="n">
        <f aca="false">YEAR(B600)</f>
        <v>2011</v>
      </c>
      <c r="AC600" s="33" t="str">
        <f aca="false">TEXT(B600, "mmmm")</f>
        <v>January</v>
      </c>
      <c r="AD600" s="43" t="n">
        <f aca="false">LEN(TEXT(B600, "YYYY-MM-DD"))</f>
        <v>10</v>
      </c>
      <c r="AE600" s="45" t="str">
        <f aca="false">LEFT(TEXT(B600, "YYYY-MM-DD"), 4)</f>
        <v>2011</v>
      </c>
      <c r="AF600" s="45" t="str">
        <f aca="false">RIGHT(TEXT(B600, "YYYY-MM-DD"), 2)</f>
        <v>28</v>
      </c>
    </row>
    <row r="601" customFormat="false" ht="15" hidden="false" customHeight="false" outlineLevel="0" collapsed="false">
      <c r="A601" s="37" t="n">
        <v>597</v>
      </c>
      <c r="B601" s="38" t="s">
        <v>104</v>
      </c>
      <c r="C601" s="37" t="n">
        <v>1</v>
      </c>
      <c r="D601" s="35" t="str">
        <f aca="false">VLOOKUP(C601, Lookups_Metadata!$A$4:$B$7, 2, FALSE())</f>
        <v>Spring</v>
      </c>
      <c r="E601" s="37" t="n">
        <v>0</v>
      </c>
      <c r="F601" s="37" t="n">
        <v>1</v>
      </c>
      <c r="G601" s="37" t="n">
        <v>1</v>
      </c>
      <c r="H601" s="39" t="b">
        <f aca="false">FALSE()</f>
        <v>0</v>
      </c>
      <c r="I601" s="37" t="n">
        <v>5</v>
      </c>
      <c r="J601" s="35" t="str">
        <f aca="false">INDEX(Lookups_Metadata!$E$4:$E$10, MATCH(I601, Lookups_Metadata!$D$4:$D$10, 0))</f>
        <v>Friday</v>
      </c>
      <c r="K601" s="35" t="str">
        <f aca="false">IF(H601=TRUE(), "Holiday", IF(OR(I601=0, I601=6), "Weekend", "Weekday"))</f>
        <v>Weekday</v>
      </c>
      <c r="L601" s="35" t="str">
        <f aca="false">IF(AND(K601="Weekday", OR(AND(G601&gt;=7, G601&lt;=9), AND(G601&gt;=17, G601&lt;=19))), "Peak Commute", "Off-Peak")</f>
        <v>Off-Peak</v>
      </c>
      <c r="M601" s="37" t="n">
        <v>2</v>
      </c>
      <c r="N601" s="35" t="str">
        <f aca="false">VLOOKUP(M601, Lookups_Metadata!$G$4:$H$7, 2, FALSE())</f>
        <v>Mist / Cloudy</v>
      </c>
      <c r="O601" s="40" t="n">
        <v>0.2</v>
      </c>
      <c r="P601" s="40" t="n">
        <v>0.2121</v>
      </c>
      <c r="Q601" s="40" t="n">
        <f aca="false">IF(OR(P601="", ISBLANK(P601)), ROUND(0.9367*O601+0.0175, 4), P601)</f>
        <v>0.2121</v>
      </c>
      <c r="R601" s="35" t="str">
        <f aca="false">IF(OR(P601="", ISBLANK(P601)), "Imputed (Regression/Trend)", "Original")</f>
        <v>Original</v>
      </c>
      <c r="S601" s="40" t="n">
        <v>0.75</v>
      </c>
      <c r="T601" s="40" t="n">
        <v>0.1343</v>
      </c>
      <c r="U601" s="41" t="n">
        <v>1</v>
      </c>
      <c r="V601" s="41" t="n">
        <v>2</v>
      </c>
      <c r="W601" s="41" t="n">
        <f aca="false">U601+V601</f>
        <v>3</v>
      </c>
      <c r="X601" s="42" t="n">
        <f aca="false">U601/W601</f>
        <v>0.333333333333333</v>
      </c>
      <c r="Y601" s="42" t="n">
        <f aca="false">V601/W601</f>
        <v>0.666666666666667</v>
      </c>
      <c r="Z601" s="35" t="str">
        <f aca="false">IF(W601&gt;=150, "High Demand", IF(W601&gt;=50, "Moderate Demand", "Low Demand"))</f>
        <v>Low Demand</v>
      </c>
      <c r="AA601" s="39" t="str">
        <f aca="false">TEXT(G601, "00") &amp; ":00"</f>
        <v>01:00</v>
      </c>
      <c r="AB601" s="37" t="n">
        <f aca="false">YEAR(B601)</f>
        <v>2011</v>
      </c>
      <c r="AC601" s="35" t="str">
        <f aca="false">TEXT(B601, "mmmm")</f>
        <v>January</v>
      </c>
      <c r="AD601" s="37" t="n">
        <f aca="false">LEN(TEXT(B601, "YYYY-MM-DD"))</f>
        <v>10</v>
      </c>
      <c r="AE601" s="39" t="str">
        <f aca="false">LEFT(TEXT(B601, "YYYY-MM-DD"), 4)</f>
        <v>2011</v>
      </c>
      <c r="AF601" s="39" t="str">
        <f aca="false">RIGHT(TEXT(B601, "YYYY-MM-DD"), 2)</f>
        <v>28</v>
      </c>
    </row>
    <row r="602" customFormat="false" ht="15" hidden="false" customHeight="false" outlineLevel="0" collapsed="false">
      <c r="A602" s="43" t="n">
        <v>598</v>
      </c>
      <c r="B602" s="44" t="s">
        <v>104</v>
      </c>
      <c r="C602" s="43" t="n">
        <v>1</v>
      </c>
      <c r="D602" s="33" t="str">
        <f aca="false">VLOOKUP(C602, Lookups_Metadata!$A$4:$B$7, 2, FALSE())</f>
        <v>Spring</v>
      </c>
      <c r="E602" s="43" t="n">
        <v>0</v>
      </c>
      <c r="F602" s="43" t="n">
        <v>1</v>
      </c>
      <c r="G602" s="43" t="n">
        <v>2</v>
      </c>
      <c r="H602" s="45" t="b">
        <f aca="false">FALSE()</f>
        <v>0</v>
      </c>
      <c r="I602" s="43" t="n">
        <v>5</v>
      </c>
      <c r="J602" s="33" t="str">
        <f aca="false">INDEX(Lookups_Metadata!$E$4:$E$10, MATCH(I602, Lookups_Metadata!$D$4:$D$10, 0))</f>
        <v>Friday</v>
      </c>
      <c r="K602" s="33" t="str">
        <f aca="false">IF(H602=TRUE(), "Holiday", IF(OR(I602=0, I602=6), "Weekend", "Weekday"))</f>
        <v>Weekday</v>
      </c>
      <c r="L602" s="33" t="str">
        <f aca="false">IF(AND(K602="Weekday", OR(AND(G602&gt;=7, G602&lt;=9), AND(G602&gt;=17, G602&lt;=19))), "Peak Commute", "Off-Peak")</f>
        <v>Off-Peak</v>
      </c>
      <c r="M602" s="43" t="n">
        <v>2</v>
      </c>
      <c r="N602" s="33" t="str">
        <f aca="false">VLOOKUP(M602, Lookups_Metadata!$G$4:$H$7, 2, FALSE())</f>
        <v>Mist / Cloudy</v>
      </c>
      <c r="O602" s="46" t="n">
        <v>0.2</v>
      </c>
      <c r="P602" s="46" t="n">
        <v>0.2121</v>
      </c>
      <c r="Q602" s="46" t="n">
        <f aca="false">IF(OR(P602="", ISBLANK(P602)), ROUND(0.9367*O602+0.0175, 4), P602)</f>
        <v>0.2121</v>
      </c>
      <c r="R602" s="33" t="str">
        <f aca="false">IF(OR(P602="", ISBLANK(P602)), "Imputed (Regression/Trend)", "Original")</f>
        <v>Original</v>
      </c>
      <c r="S602" s="46" t="n">
        <v>0.75</v>
      </c>
      <c r="T602" s="46" t="n">
        <v>0.1642</v>
      </c>
      <c r="U602" s="18" t="n">
        <v>0</v>
      </c>
      <c r="V602" s="18" t="n">
        <v>2</v>
      </c>
      <c r="W602" s="18" t="n">
        <f aca="false">U602+V602</f>
        <v>2</v>
      </c>
      <c r="X602" s="47" t="n">
        <f aca="false">U602/W602</f>
        <v>0</v>
      </c>
      <c r="Y602" s="47" t="n">
        <f aca="false">V602/W602</f>
        <v>1</v>
      </c>
      <c r="Z602" s="33" t="str">
        <f aca="false">IF(W602&gt;=150, "High Demand", IF(W602&gt;=50, "Moderate Demand", "Low Demand"))</f>
        <v>Low Demand</v>
      </c>
      <c r="AA602" s="45" t="str">
        <f aca="false">TEXT(G602, "00") &amp; ":00"</f>
        <v>02:00</v>
      </c>
      <c r="AB602" s="43" t="n">
        <f aca="false">YEAR(B602)</f>
        <v>2011</v>
      </c>
      <c r="AC602" s="33" t="str">
        <f aca="false">TEXT(B602, "mmmm")</f>
        <v>January</v>
      </c>
      <c r="AD602" s="43" t="n">
        <f aca="false">LEN(TEXT(B602, "YYYY-MM-DD"))</f>
        <v>10</v>
      </c>
      <c r="AE602" s="45" t="str">
        <f aca="false">LEFT(TEXT(B602, "YYYY-MM-DD"), 4)</f>
        <v>2011</v>
      </c>
      <c r="AF602" s="45" t="str">
        <f aca="false">RIGHT(TEXT(B602, "YYYY-MM-DD"), 2)</f>
        <v>28</v>
      </c>
    </row>
    <row r="603" customFormat="false" ht="15" hidden="false" customHeight="false" outlineLevel="0" collapsed="false">
      <c r="A603" s="37" t="n">
        <v>599</v>
      </c>
      <c r="B603" s="38" t="s">
        <v>104</v>
      </c>
      <c r="C603" s="37" t="n">
        <v>1</v>
      </c>
      <c r="D603" s="35" t="str">
        <f aca="false">VLOOKUP(C603, Lookups_Metadata!$A$4:$B$7, 2, FALSE())</f>
        <v>Spring</v>
      </c>
      <c r="E603" s="37" t="n">
        <v>0</v>
      </c>
      <c r="F603" s="37" t="n">
        <v>1</v>
      </c>
      <c r="G603" s="37" t="n">
        <v>3</v>
      </c>
      <c r="H603" s="39" t="b">
        <f aca="false">FALSE()</f>
        <v>0</v>
      </c>
      <c r="I603" s="37" t="n">
        <v>5</v>
      </c>
      <c r="J603" s="35" t="str">
        <f aca="false">INDEX(Lookups_Metadata!$E$4:$E$10, MATCH(I603, Lookups_Metadata!$D$4:$D$10, 0))</f>
        <v>Friday</v>
      </c>
      <c r="K603" s="35" t="str">
        <f aca="false">IF(H603=TRUE(), "Holiday", IF(OR(I603=0, I603=6), "Weekend", "Weekday"))</f>
        <v>Weekday</v>
      </c>
      <c r="L603" s="35" t="str">
        <f aca="false">IF(AND(K603="Weekday", OR(AND(G603&gt;=7, G603&lt;=9), AND(G603&gt;=17, G603&lt;=19))), "Peak Commute", "Off-Peak")</f>
        <v>Off-Peak</v>
      </c>
      <c r="M603" s="37" t="n">
        <v>2</v>
      </c>
      <c r="N603" s="35" t="str">
        <f aca="false">VLOOKUP(M603, Lookups_Metadata!$G$4:$H$7, 2, FALSE())</f>
        <v>Mist / Cloudy</v>
      </c>
      <c r="O603" s="40" t="n">
        <v>0.2</v>
      </c>
      <c r="P603" s="40" t="n">
        <v>0.2273</v>
      </c>
      <c r="Q603" s="40" t="n">
        <f aca="false">IF(OR(P603="", ISBLANK(P603)), ROUND(0.9367*O603+0.0175, 4), P603)</f>
        <v>0.2273</v>
      </c>
      <c r="R603" s="35" t="str">
        <f aca="false">IF(OR(P603="", ISBLANK(P603)), "Imputed (Regression/Trend)", "Original")</f>
        <v>Original</v>
      </c>
      <c r="S603" s="40" t="n">
        <v>0.75</v>
      </c>
      <c r="T603" s="40" t="n">
        <v>0.1045</v>
      </c>
      <c r="U603" s="41" t="n">
        <v>1</v>
      </c>
      <c r="V603" s="41" t="n">
        <v>0</v>
      </c>
      <c r="W603" s="41" t="n">
        <f aca="false">U603+V603</f>
        <v>1</v>
      </c>
      <c r="X603" s="42" t="n">
        <f aca="false">U603/W603</f>
        <v>1</v>
      </c>
      <c r="Y603" s="42" t="n">
        <f aca="false">V603/W603</f>
        <v>0</v>
      </c>
      <c r="Z603" s="35" t="str">
        <f aca="false">IF(W603&gt;=150, "High Demand", IF(W603&gt;=50, "Moderate Demand", "Low Demand"))</f>
        <v>Low Demand</v>
      </c>
      <c r="AA603" s="39" t="str">
        <f aca="false">TEXT(G603, "00") &amp; ":00"</f>
        <v>03:00</v>
      </c>
      <c r="AB603" s="37" t="n">
        <f aca="false">YEAR(B603)</f>
        <v>2011</v>
      </c>
      <c r="AC603" s="35" t="str">
        <f aca="false">TEXT(B603, "mmmm")</f>
        <v>January</v>
      </c>
      <c r="AD603" s="37" t="n">
        <f aca="false">LEN(TEXT(B603, "YYYY-MM-DD"))</f>
        <v>10</v>
      </c>
      <c r="AE603" s="39" t="str">
        <f aca="false">LEFT(TEXT(B603, "YYYY-MM-DD"), 4)</f>
        <v>2011</v>
      </c>
      <c r="AF603" s="39" t="str">
        <f aca="false">RIGHT(TEXT(B603, "YYYY-MM-DD"), 2)</f>
        <v>28</v>
      </c>
    </row>
    <row r="604" customFormat="false" ht="15" hidden="false" customHeight="false" outlineLevel="0" collapsed="false">
      <c r="A604" s="43" t="n">
        <v>600</v>
      </c>
      <c r="B604" s="44" t="s">
        <v>104</v>
      </c>
      <c r="C604" s="43" t="n">
        <v>1</v>
      </c>
      <c r="D604" s="33" t="str">
        <f aca="false">VLOOKUP(C604, Lookups_Metadata!$A$4:$B$7, 2, FALSE())</f>
        <v>Spring</v>
      </c>
      <c r="E604" s="43" t="n">
        <v>0</v>
      </c>
      <c r="F604" s="43" t="n">
        <v>1</v>
      </c>
      <c r="G604" s="43" t="n">
        <v>5</v>
      </c>
      <c r="H604" s="45" t="b">
        <f aca="false">FALSE()</f>
        <v>0</v>
      </c>
      <c r="I604" s="43" t="n">
        <v>5</v>
      </c>
      <c r="J604" s="33" t="str">
        <f aca="false">INDEX(Lookups_Metadata!$E$4:$E$10, MATCH(I604, Lookups_Metadata!$D$4:$D$10, 0))</f>
        <v>Friday</v>
      </c>
      <c r="K604" s="33" t="str">
        <f aca="false">IF(H604=TRUE(), "Holiday", IF(OR(I604=0, I604=6), "Weekend", "Weekday"))</f>
        <v>Weekday</v>
      </c>
      <c r="L604" s="33" t="str">
        <f aca="false">IF(AND(K604="Weekday", OR(AND(G604&gt;=7, G604&lt;=9), AND(G604&gt;=17, G604&lt;=19))), "Peak Commute", "Off-Peak")</f>
        <v>Off-Peak</v>
      </c>
      <c r="M604" s="43" t="n">
        <v>2</v>
      </c>
      <c r="N604" s="33" t="str">
        <f aca="false">VLOOKUP(M604, Lookups_Metadata!$G$4:$H$7, 2, FALSE())</f>
        <v>Mist / Cloudy</v>
      </c>
      <c r="O604" s="46" t="n">
        <v>0.18</v>
      </c>
      <c r="P604" s="46" t="n">
        <v>0.2121</v>
      </c>
      <c r="Q604" s="46" t="n">
        <f aca="false">IF(OR(P604="", ISBLANK(P604)), ROUND(0.9367*O604+0.0175, 4), P604)</f>
        <v>0.2121</v>
      </c>
      <c r="R604" s="33" t="str">
        <f aca="false">IF(OR(P604="", ISBLANK(P604)), "Imputed (Regression/Trend)", "Original")</f>
        <v>Original</v>
      </c>
      <c r="S604" s="46" t="n">
        <v>0.8</v>
      </c>
      <c r="T604" s="46" t="n">
        <v>0.1045</v>
      </c>
      <c r="U604" s="18" t="n">
        <v>0</v>
      </c>
      <c r="V604" s="18" t="n">
        <v>4</v>
      </c>
      <c r="W604" s="18" t="n">
        <f aca="false">U604+V604</f>
        <v>4</v>
      </c>
      <c r="X604" s="47" t="n">
        <f aca="false">U604/W604</f>
        <v>0</v>
      </c>
      <c r="Y604" s="47" t="n">
        <f aca="false">V604/W604</f>
        <v>1</v>
      </c>
      <c r="Z604" s="33" t="str">
        <f aca="false">IF(W604&gt;=150, "High Demand", IF(W604&gt;=50, "Moderate Demand", "Low Demand"))</f>
        <v>Low Demand</v>
      </c>
      <c r="AA604" s="45" t="str">
        <f aca="false">TEXT(G604, "00") &amp; ":00"</f>
        <v>05:00</v>
      </c>
      <c r="AB604" s="43" t="n">
        <f aca="false">YEAR(B604)</f>
        <v>2011</v>
      </c>
      <c r="AC604" s="33" t="str">
        <f aca="false">TEXT(B604, "mmmm")</f>
        <v>January</v>
      </c>
      <c r="AD604" s="43" t="n">
        <f aca="false">LEN(TEXT(B604, "YYYY-MM-DD"))</f>
        <v>10</v>
      </c>
      <c r="AE604" s="45" t="str">
        <f aca="false">LEFT(TEXT(B604, "YYYY-MM-DD"), 4)</f>
        <v>2011</v>
      </c>
      <c r="AF604" s="45" t="str">
        <f aca="false">RIGHT(TEXT(B604, "YYYY-MM-DD"), 2)</f>
        <v>28</v>
      </c>
    </row>
    <row r="605" customFormat="false" ht="15" hidden="false" customHeight="false" outlineLevel="0" collapsed="false">
      <c r="A605" s="37" t="n">
        <v>601</v>
      </c>
      <c r="B605" s="38" t="s">
        <v>104</v>
      </c>
      <c r="C605" s="37" t="n">
        <v>1</v>
      </c>
      <c r="D605" s="35" t="str">
        <f aca="false">VLOOKUP(C605, Lookups_Metadata!$A$4:$B$7, 2, FALSE())</f>
        <v>Spring</v>
      </c>
      <c r="E605" s="37" t="n">
        <v>0</v>
      </c>
      <c r="F605" s="37" t="n">
        <v>1</v>
      </c>
      <c r="G605" s="37" t="n">
        <v>6</v>
      </c>
      <c r="H605" s="39" t="b">
        <f aca="false">FALSE()</f>
        <v>0</v>
      </c>
      <c r="I605" s="37" t="n">
        <v>5</v>
      </c>
      <c r="J605" s="35" t="str">
        <f aca="false">INDEX(Lookups_Metadata!$E$4:$E$10, MATCH(I605, Lookups_Metadata!$D$4:$D$10, 0))</f>
        <v>Friday</v>
      </c>
      <c r="K605" s="35" t="str">
        <f aca="false">IF(H605=TRUE(), "Holiday", IF(OR(I605=0, I605=6), "Weekend", "Weekday"))</f>
        <v>Weekday</v>
      </c>
      <c r="L605" s="35" t="str">
        <f aca="false">IF(AND(K605="Weekday", OR(AND(G605&gt;=7, G605&lt;=9), AND(G605&gt;=17, G605&lt;=19))), "Peak Commute", "Off-Peak")</f>
        <v>Off-Peak</v>
      </c>
      <c r="M605" s="37" t="n">
        <v>2</v>
      </c>
      <c r="N605" s="35" t="str">
        <f aca="false">VLOOKUP(M605, Lookups_Metadata!$G$4:$H$7, 2, FALSE())</f>
        <v>Mist / Cloudy</v>
      </c>
      <c r="O605" s="40" t="n">
        <v>0.18</v>
      </c>
      <c r="P605" s="40" t="n">
        <v>0.197</v>
      </c>
      <c r="Q605" s="40" t="n">
        <f aca="false">IF(OR(P605="", ISBLANK(P605)), ROUND(0.9367*O605+0.0175, 4), P605)</f>
        <v>0.197</v>
      </c>
      <c r="R605" s="35" t="str">
        <f aca="false">IF(OR(P605="", ISBLANK(P605)), "Imputed (Regression/Trend)", "Original")</f>
        <v>Original</v>
      </c>
      <c r="S605" s="40" t="n">
        <v>0.8</v>
      </c>
      <c r="T605" s="40" t="n">
        <v>0.1343</v>
      </c>
      <c r="U605" s="41" t="n">
        <v>0</v>
      </c>
      <c r="V605" s="41" t="n">
        <v>16</v>
      </c>
      <c r="W605" s="41" t="n">
        <f aca="false">U605+V605</f>
        <v>16</v>
      </c>
      <c r="X605" s="42" t="n">
        <f aca="false">U605/W605</f>
        <v>0</v>
      </c>
      <c r="Y605" s="42" t="n">
        <f aca="false">V605/W605</f>
        <v>1</v>
      </c>
      <c r="Z605" s="35" t="str">
        <f aca="false">IF(W605&gt;=150, "High Demand", IF(W605&gt;=50, "Moderate Demand", "Low Demand"))</f>
        <v>Low Demand</v>
      </c>
      <c r="AA605" s="39" t="str">
        <f aca="false">TEXT(G605, "00") &amp; ":00"</f>
        <v>06:00</v>
      </c>
      <c r="AB605" s="37" t="n">
        <f aca="false">YEAR(B605)</f>
        <v>2011</v>
      </c>
      <c r="AC605" s="35" t="str">
        <f aca="false">TEXT(B605, "mmmm")</f>
        <v>January</v>
      </c>
      <c r="AD605" s="37" t="n">
        <f aca="false">LEN(TEXT(B605, "YYYY-MM-DD"))</f>
        <v>10</v>
      </c>
      <c r="AE605" s="39" t="str">
        <f aca="false">LEFT(TEXT(B605, "YYYY-MM-DD"), 4)</f>
        <v>2011</v>
      </c>
      <c r="AF605" s="39" t="str">
        <f aca="false">RIGHT(TEXT(B605, "YYYY-MM-DD"), 2)</f>
        <v>28</v>
      </c>
    </row>
    <row r="606" customFormat="false" ht="15" hidden="false" customHeight="false" outlineLevel="0" collapsed="false">
      <c r="A606" s="43" t="n">
        <v>602</v>
      </c>
      <c r="B606" s="44" t="s">
        <v>104</v>
      </c>
      <c r="C606" s="43" t="n">
        <v>1</v>
      </c>
      <c r="D606" s="33" t="str">
        <f aca="false">VLOOKUP(C606, Lookups_Metadata!$A$4:$B$7, 2, FALSE())</f>
        <v>Spring</v>
      </c>
      <c r="E606" s="43" t="n">
        <v>0</v>
      </c>
      <c r="F606" s="43" t="n">
        <v>1</v>
      </c>
      <c r="G606" s="43" t="n">
        <v>7</v>
      </c>
      <c r="H606" s="45" t="b">
        <f aca="false">FALSE()</f>
        <v>0</v>
      </c>
      <c r="I606" s="43" t="n">
        <v>5</v>
      </c>
      <c r="J606" s="33" t="str">
        <f aca="false">INDEX(Lookups_Metadata!$E$4:$E$10, MATCH(I606, Lookups_Metadata!$D$4:$D$10, 0))</f>
        <v>Friday</v>
      </c>
      <c r="K606" s="33" t="str">
        <f aca="false">IF(H606=TRUE(), "Holiday", IF(OR(I606=0, I606=6), "Weekend", "Weekday"))</f>
        <v>Weekday</v>
      </c>
      <c r="L606" s="33" t="str">
        <f aca="false">IF(AND(K606="Weekday", OR(AND(G606&gt;=7, G606&lt;=9), AND(G606&gt;=17, G606&lt;=19))), "Peak Commute", "Off-Peak")</f>
        <v>Peak Commute</v>
      </c>
      <c r="M606" s="43" t="n">
        <v>2</v>
      </c>
      <c r="N606" s="33" t="str">
        <f aca="false">VLOOKUP(M606, Lookups_Metadata!$G$4:$H$7, 2, FALSE())</f>
        <v>Mist / Cloudy</v>
      </c>
      <c r="O606" s="46" t="n">
        <v>0.16</v>
      </c>
      <c r="P606" s="46" t="n">
        <v>0.197</v>
      </c>
      <c r="Q606" s="46" t="n">
        <f aca="false">IF(OR(P606="", ISBLANK(P606)), ROUND(0.9367*O606+0.0175, 4), P606)</f>
        <v>0.197</v>
      </c>
      <c r="R606" s="33" t="str">
        <f aca="false">IF(OR(P606="", ISBLANK(P606)), "Imputed (Regression/Trend)", "Original")</f>
        <v>Original</v>
      </c>
      <c r="S606" s="46" t="n">
        <v>0.86</v>
      </c>
      <c r="T606" s="46" t="n">
        <v>0.0896</v>
      </c>
      <c r="U606" s="18" t="n">
        <v>2</v>
      </c>
      <c r="V606" s="18" t="n">
        <v>58</v>
      </c>
      <c r="W606" s="18" t="n">
        <f aca="false">U606+V606</f>
        <v>60</v>
      </c>
      <c r="X606" s="47" t="n">
        <f aca="false">U606/W606</f>
        <v>0.0333333333333333</v>
      </c>
      <c r="Y606" s="47" t="n">
        <f aca="false">V606/W606</f>
        <v>0.966666666666667</v>
      </c>
      <c r="Z606" s="33" t="str">
        <f aca="false">IF(W606&gt;=150, "High Demand", IF(W606&gt;=50, "Moderate Demand", "Low Demand"))</f>
        <v>Moderate Demand</v>
      </c>
      <c r="AA606" s="45" t="str">
        <f aca="false">TEXT(G606, "00") &amp; ":00"</f>
        <v>07:00</v>
      </c>
      <c r="AB606" s="43" t="n">
        <f aca="false">YEAR(B606)</f>
        <v>2011</v>
      </c>
      <c r="AC606" s="33" t="str">
        <f aca="false">TEXT(B606, "mmmm")</f>
        <v>January</v>
      </c>
      <c r="AD606" s="43" t="n">
        <f aca="false">LEN(TEXT(B606, "YYYY-MM-DD"))</f>
        <v>10</v>
      </c>
      <c r="AE606" s="45" t="str">
        <f aca="false">LEFT(TEXT(B606, "YYYY-MM-DD"), 4)</f>
        <v>2011</v>
      </c>
      <c r="AF606" s="45" t="str">
        <f aca="false">RIGHT(TEXT(B606, "YYYY-MM-DD"), 2)</f>
        <v>28</v>
      </c>
    </row>
    <row r="607" customFormat="false" ht="15" hidden="false" customHeight="false" outlineLevel="0" collapsed="false">
      <c r="A607" s="37" t="n">
        <v>603</v>
      </c>
      <c r="B607" s="38" t="s">
        <v>104</v>
      </c>
      <c r="C607" s="37" t="n">
        <v>1</v>
      </c>
      <c r="D607" s="35" t="str">
        <f aca="false">VLOOKUP(C607, Lookups_Metadata!$A$4:$B$7, 2, FALSE())</f>
        <v>Spring</v>
      </c>
      <c r="E607" s="37" t="n">
        <v>0</v>
      </c>
      <c r="F607" s="37" t="n">
        <v>1</v>
      </c>
      <c r="G607" s="37" t="n">
        <v>8</v>
      </c>
      <c r="H607" s="39" t="b">
        <f aca="false">FALSE()</f>
        <v>0</v>
      </c>
      <c r="I607" s="37" t="n">
        <v>5</v>
      </c>
      <c r="J607" s="35" t="str">
        <f aca="false">INDEX(Lookups_Metadata!$E$4:$E$10, MATCH(I607, Lookups_Metadata!$D$4:$D$10, 0))</f>
        <v>Friday</v>
      </c>
      <c r="K607" s="35" t="str">
        <f aca="false">IF(H607=TRUE(), "Holiday", IF(OR(I607=0, I607=6), "Weekend", "Weekday"))</f>
        <v>Weekday</v>
      </c>
      <c r="L607" s="35" t="str">
        <f aca="false">IF(AND(K607="Weekday", OR(AND(G607&gt;=7, G607&lt;=9), AND(G607&gt;=17, G607&lt;=19))), "Peak Commute", "Off-Peak")</f>
        <v>Peak Commute</v>
      </c>
      <c r="M607" s="37" t="n">
        <v>2</v>
      </c>
      <c r="N607" s="35" t="str">
        <f aca="false">VLOOKUP(M607, Lookups_Metadata!$G$4:$H$7, 2, FALSE())</f>
        <v>Mist / Cloudy</v>
      </c>
      <c r="O607" s="40" t="n">
        <v>0.16</v>
      </c>
      <c r="P607" s="40" t="n">
        <v>0.197</v>
      </c>
      <c r="Q607" s="40" t="n">
        <f aca="false">IF(OR(P607="", ISBLANK(P607)), ROUND(0.9367*O607+0.0175, 4), P607)</f>
        <v>0.197</v>
      </c>
      <c r="R607" s="35" t="str">
        <f aca="false">IF(OR(P607="", ISBLANK(P607)), "Imputed (Regression/Trend)", "Original")</f>
        <v>Original</v>
      </c>
      <c r="S607" s="40" t="n">
        <v>0.86</v>
      </c>
      <c r="T607" s="40" t="n">
        <v>0.0896</v>
      </c>
      <c r="U607" s="41" t="n">
        <v>2</v>
      </c>
      <c r="V607" s="41" t="n">
        <v>155</v>
      </c>
      <c r="W607" s="41" t="n">
        <f aca="false">U607+V607</f>
        <v>157</v>
      </c>
      <c r="X607" s="42" t="n">
        <f aca="false">U607/W607</f>
        <v>0.0127388535031847</v>
      </c>
      <c r="Y607" s="42" t="n">
        <f aca="false">V607/W607</f>
        <v>0.987261146496815</v>
      </c>
      <c r="Z607" s="35" t="str">
        <f aca="false">IF(W607&gt;=150, "High Demand", IF(W607&gt;=50, "Moderate Demand", "Low Demand"))</f>
        <v>High Demand</v>
      </c>
      <c r="AA607" s="39" t="str">
        <f aca="false">TEXT(G607, "00") &amp; ":00"</f>
        <v>08:00</v>
      </c>
      <c r="AB607" s="37" t="n">
        <f aca="false">YEAR(B607)</f>
        <v>2011</v>
      </c>
      <c r="AC607" s="35" t="str">
        <f aca="false">TEXT(B607, "mmmm")</f>
        <v>January</v>
      </c>
      <c r="AD607" s="37" t="n">
        <f aca="false">LEN(TEXT(B607, "YYYY-MM-DD"))</f>
        <v>10</v>
      </c>
      <c r="AE607" s="39" t="str">
        <f aca="false">LEFT(TEXT(B607, "YYYY-MM-DD"), 4)</f>
        <v>2011</v>
      </c>
      <c r="AF607" s="39" t="str">
        <f aca="false">RIGHT(TEXT(B607, "YYYY-MM-DD"), 2)</f>
        <v>28</v>
      </c>
    </row>
    <row r="608" customFormat="false" ht="15" hidden="false" customHeight="false" outlineLevel="0" collapsed="false">
      <c r="A608" s="43" t="n">
        <v>604</v>
      </c>
      <c r="B608" s="44" t="s">
        <v>104</v>
      </c>
      <c r="C608" s="43" t="n">
        <v>1</v>
      </c>
      <c r="D608" s="33" t="str">
        <f aca="false">VLOOKUP(C608, Lookups_Metadata!$A$4:$B$7, 2, FALSE())</f>
        <v>Spring</v>
      </c>
      <c r="E608" s="43" t="n">
        <v>0</v>
      </c>
      <c r="F608" s="43" t="n">
        <v>1</v>
      </c>
      <c r="G608" s="43" t="n">
        <v>9</v>
      </c>
      <c r="H608" s="45" t="b">
        <f aca="false">FALSE()</f>
        <v>0</v>
      </c>
      <c r="I608" s="43" t="n">
        <v>5</v>
      </c>
      <c r="J608" s="33" t="str">
        <f aca="false">INDEX(Lookups_Metadata!$E$4:$E$10, MATCH(I608, Lookups_Metadata!$D$4:$D$10, 0))</f>
        <v>Friday</v>
      </c>
      <c r="K608" s="33" t="str">
        <f aca="false">IF(H608=TRUE(), "Holiday", IF(OR(I608=0, I608=6), "Weekend", "Weekday"))</f>
        <v>Weekday</v>
      </c>
      <c r="L608" s="33" t="str">
        <f aca="false">IF(AND(K608="Weekday", OR(AND(G608&gt;=7, G608&lt;=9), AND(G608&gt;=17, G608&lt;=19))), "Peak Commute", "Off-Peak")</f>
        <v>Peak Commute</v>
      </c>
      <c r="M608" s="43" t="n">
        <v>3</v>
      </c>
      <c r="N608" s="33" t="str">
        <f aca="false">VLOOKUP(M608, Lookups_Metadata!$G$4:$H$7, 2, FALSE())</f>
        <v>Light Snow / Light Rain</v>
      </c>
      <c r="O608" s="46" t="n">
        <v>0.18</v>
      </c>
      <c r="P608" s="46" t="n">
        <v>0.2121</v>
      </c>
      <c r="Q608" s="46" t="n">
        <f aca="false">IF(OR(P608="", ISBLANK(P608)), ROUND(0.9367*O608+0.0175, 4), P608)</f>
        <v>0.2121</v>
      </c>
      <c r="R608" s="33" t="str">
        <f aca="false">IF(OR(P608="", ISBLANK(P608)), "Imputed (Regression/Trend)", "Original")</f>
        <v>Original</v>
      </c>
      <c r="S608" s="46" t="n">
        <v>0.86</v>
      </c>
      <c r="T608" s="46" t="n">
        <v>0.0896</v>
      </c>
      <c r="U608" s="18" t="n">
        <v>6</v>
      </c>
      <c r="V608" s="18" t="n">
        <v>95</v>
      </c>
      <c r="W608" s="18" t="n">
        <f aca="false">U608+V608</f>
        <v>101</v>
      </c>
      <c r="X608" s="47" t="n">
        <f aca="false">U608/W608</f>
        <v>0.0594059405940594</v>
      </c>
      <c r="Y608" s="47" t="n">
        <f aca="false">V608/W608</f>
        <v>0.940594059405941</v>
      </c>
      <c r="Z608" s="33" t="str">
        <f aca="false">IF(W608&gt;=150, "High Demand", IF(W608&gt;=50, "Moderate Demand", "Low Demand"))</f>
        <v>Moderate Demand</v>
      </c>
      <c r="AA608" s="45" t="str">
        <f aca="false">TEXT(G608, "00") &amp; ":00"</f>
        <v>09:00</v>
      </c>
      <c r="AB608" s="43" t="n">
        <f aca="false">YEAR(B608)</f>
        <v>2011</v>
      </c>
      <c r="AC608" s="33" t="str">
        <f aca="false">TEXT(B608, "mmmm")</f>
        <v>January</v>
      </c>
      <c r="AD608" s="43" t="n">
        <f aca="false">LEN(TEXT(B608, "YYYY-MM-DD"))</f>
        <v>10</v>
      </c>
      <c r="AE608" s="45" t="str">
        <f aca="false">LEFT(TEXT(B608, "YYYY-MM-DD"), 4)</f>
        <v>2011</v>
      </c>
      <c r="AF608" s="45" t="str">
        <f aca="false">RIGHT(TEXT(B608, "YYYY-MM-DD"), 2)</f>
        <v>28</v>
      </c>
    </row>
    <row r="609" customFormat="false" ht="15" hidden="false" customHeight="false" outlineLevel="0" collapsed="false">
      <c r="A609" s="37" t="n">
        <v>605</v>
      </c>
      <c r="B609" s="38" t="s">
        <v>104</v>
      </c>
      <c r="C609" s="37" t="n">
        <v>1</v>
      </c>
      <c r="D609" s="35" t="str">
        <f aca="false">VLOOKUP(C609, Lookups_Metadata!$A$4:$B$7, 2, FALSE())</f>
        <v>Spring</v>
      </c>
      <c r="E609" s="37" t="n">
        <v>0</v>
      </c>
      <c r="F609" s="37" t="n">
        <v>1</v>
      </c>
      <c r="G609" s="37" t="n">
        <v>10</v>
      </c>
      <c r="H609" s="39" t="b">
        <f aca="false">FALSE()</f>
        <v>0</v>
      </c>
      <c r="I609" s="37" t="n">
        <v>5</v>
      </c>
      <c r="J609" s="35" t="str">
        <f aca="false">INDEX(Lookups_Metadata!$E$4:$E$10, MATCH(I609, Lookups_Metadata!$D$4:$D$10, 0))</f>
        <v>Friday</v>
      </c>
      <c r="K609" s="35" t="str">
        <f aca="false">IF(H609=TRUE(), "Holiday", IF(OR(I609=0, I609=6), "Weekend", "Weekday"))</f>
        <v>Weekday</v>
      </c>
      <c r="L609" s="35" t="str">
        <f aca="false">IF(AND(K609="Weekday", OR(AND(G609&gt;=7, G609&lt;=9), AND(G609&gt;=17, G609&lt;=19))), "Peak Commute", "Off-Peak")</f>
        <v>Off-Peak</v>
      </c>
      <c r="M609" s="37" t="n">
        <v>3</v>
      </c>
      <c r="N609" s="35" t="str">
        <f aca="false">VLOOKUP(M609, Lookups_Metadata!$G$4:$H$7, 2, FALSE())</f>
        <v>Light Snow / Light Rain</v>
      </c>
      <c r="O609" s="40" t="n">
        <v>0.18</v>
      </c>
      <c r="P609" s="40" t="n">
        <v>0.2121</v>
      </c>
      <c r="Q609" s="40" t="n">
        <f aca="false">IF(OR(P609="", ISBLANK(P609)), ROUND(0.9367*O609+0.0175, 4), P609)</f>
        <v>0.2121</v>
      </c>
      <c r="R609" s="35" t="str">
        <f aca="false">IF(OR(P609="", ISBLANK(P609)), "Imputed (Regression/Trend)", "Original")</f>
        <v>Original</v>
      </c>
      <c r="S609" s="40" t="n">
        <v>0.86</v>
      </c>
      <c r="T609" s="40" t="n">
        <v>0.1045</v>
      </c>
      <c r="U609" s="41" t="n">
        <v>0</v>
      </c>
      <c r="V609" s="41" t="n">
        <v>49</v>
      </c>
      <c r="W609" s="41" t="n">
        <f aca="false">U609+V609</f>
        <v>49</v>
      </c>
      <c r="X609" s="42" t="n">
        <f aca="false">U609/W609</f>
        <v>0</v>
      </c>
      <c r="Y609" s="42" t="n">
        <f aca="false">V609/W609</f>
        <v>1</v>
      </c>
      <c r="Z609" s="35" t="str">
        <f aca="false">IF(W609&gt;=150, "High Demand", IF(W609&gt;=50, "Moderate Demand", "Low Demand"))</f>
        <v>Low Demand</v>
      </c>
      <c r="AA609" s="39" t="str">
        <f aca="false">TEXT(G609, "00") &amp; ":00"</f>
        <v>10:00</v>
      </c>
      <c r="AB609" s="37" t="n">
        <f aca="false">YEAR(B609)</f>
        <v>2011</v>
      </c>
      <c r="AC609" s="35" t="str">
        <f aca="false">TEXT(B609, "mmmm")</f>
        <v>January</v>
      </c>
      <c r="AD609" s="37" t="n">
        <f aca="false">LEN(TEXT(B609, "YYYY-MM-DD"))</f>
        <v>10</v>
      </c>
      <c r="AE609" s="39" t="str">
        <f aca="false">LEFT(TEXT(B609, "YYYY-MM-DD"), 4)</f>
        <v>2011</v>
      </c>
      <c r="AF609" s="39" t="str">
        <f aca="false">RIGHT(TEXT(B609, "YYYY-MM-DD"), 2)</f>
        <v>28</v>
      </c>
    </row>
    <row r="610" customFormat="false" ht="15" hidden="false" customHeight="false" outlineLevel="0" collapsed="false">
      <c r="A610" s="43" t="n">
        <v>606</v>
      </c>
      <c r="B610" s="44" t="s">
        <v>104</v>
      </c>
      <c r="C610" s="43" t="n">
        <v>1</v>
      </c>
      <c r="D610" s="33" t="str">
        <f aca="false">VLOOKUP(C610, Lookups_Metadata!$A$4:$B$7, 2, FALSE())</f>
        <v>Spring</v>
      </c>
      <c r="E610" s="43" t="n">
        <v>0</v>
      </c>
      <c r="F610" s="43" t="n">
        <v>1</v>
      </c>
      <c r="G610" s="43" t="n">
        <v>11</v>
      </c>
      <c r="H610" s="45" t="b">
        <f aca="false">FALSE()</f>
        <v>0</v>
      </c>
      <c r="I610" s="43" t="n">
        <v>5</v>
      </c>
      <c r="J610" s="33" t="str">
        <f aca="false">INDEX(Lookups_Metadata!$E$4:$E$10, MATCH(I610, Lookups_Metadata!$D$4:$D$10, 0))</f>
        <v>Friday</v>
      </c>
      <c r="K610" s="33" t="str">
        <f aca="false">IF(H610=TRUE(), "Holiday", IF(OR(I610=0, I610=6), "Weekend", "Weekday"))</f>
        <v>Weekday</v>
      </c>
      <c r="L610" s="33" t="str">
        <f aca="false">IF(AND(K610="Weekday", OR(AND(G610&gt;=7, G610&lt;=9), AND(G610&gt;=17, G610&lt;=19))), "Peak Commute", "Off-Peak")</f>
        <v>Off-Peak</v>
      </c>
      <c r="M610" s="43" t="n">
        <v>3</v>
      </c>
      <c r="N610" s="33" t="str">
        <f aca="false">VLOOKUP(M610, Lookups_Metadata!$G$4:$H$7, 2, FALSE())</f>
        <v>Light Snow / Light Rain</v>
      </c>
      <c r="O610" s="46" t="n">
        <v>0.18</v>
      </c>
      <c r="P610" s="46" t="n">
        <v>0.2121</v>
      </c>
      <c r="Q610" s="46" t="n">
        <f aca="false">IF(OR(P610="", ISBLANK(P610)), ROUND(0.9367*O610+0.0175, 4), P610)</f>
        <v>0.2121</v>
      </c>
      <c r="R610" s="33" t="str">
        <f aca="false">IF(OR(P610="", ISBLANK(P610)), "Imputed (Regression/Trend)", "Original")</f>
        <v>Original</v>
      </c>
      <c r="S610" s="46" t="n">
        <v>0.93</v>
      </c>
      <c r="T610" s="46" t="n">
        <v>0.1045</v>
      </c>
      <c r="U610" s="18" t="n">
        <v>0</v>
      </c>
      <c r="V610" s="18" t="n">
        <v>30</v>
      </c>
      <c r="W610" s="18" t="n">
        <f aca="false">U610+V610</f>
        <v>30</v>
      </c>
      <c r="X610" s="47" t="n">
        <f aca="false">U610/W610</f>
        <v>0</v>
      </c>
      <c r="Y610" s="47" t="n">
        <f aca="false">V610/W610</f>
        <v>1</v>
      </c>
      <c r="Z610" s="33" t="str">
        <f aca="false">IF(W610&gt;=150, "High Demand", IF(W610&gt;=50, "Moderate Demand", "Low Demand"))</f>
        <v>Low Demand</v>
      </c>
      <c r="AA610" s="45" t="str">
        <f aca="false">TEXT(G610, "00") &amp; ":00"</f>
        <v>11:00</v>
      </c>
      <c r="AB610" s="43" t="n">
        <f aca="false">YEAR(B610)</f>
        <v>2011</v>
      </c>
      <c r="AC610" s="33" t="str">
        <f aca="false">TEXT(B610, "mmmm")</f>
        <v>January</v>
      </c>
      <c r="AD610" s="43" t="n">
        <f aca="false">LEN(TEXT(B610, "YYYY-MM-DD"))</f>
        <v>10</v>
      </c>
      <c r="AE610" s="45" t="str">
        <f aca="false">LEFT(TEXT(B610, "YYYY-MM-DD"), 4)</f>
        <v>2011</v>
      </c>
      <c r="AF610" s="45" t="str">
        <f aca="false">RIGHT(TEXT(B610, "YYYY-MM-DD"), 2)</f>
        <v>28</v>
      </c>
    </row>
    <row r="611" customFormat="false" ht="15" hidden="false" customHeight="false" outlineLevel="0" collapsed="false">
      <c r="A611" s="37" t="n">
        <v>607</v>
      </c>
      <c r="B611" s="38" t="s">
        <v>104</v>
      </c>
      <c r="C611" s="37" t="n">
        <v>1</v>
      </c>
      <c r="D611" s="35" t="str">
        <f aca="false">VLOOKUP(C611, Lookups_Metadata!$A$4:$B$7, 2, FALSE())</f>
        <v>Spring</v>
      </c>
      <c r="E611" s="37" t="n">
        <v>0</v>
      </c>
      <c r="F611" s="37" t="n">
        <v>1</v>
      </c>
      <c r="G611" s="37" t="n">
        <v>12</v>
      </c>
      <c r="H611" s="39" t="b">
        <f aca="false">FALSE()</f>
        <v>0</v>
      </c>
      <c r="I611" s="37" t="n">
        <v>5</v>
      </c>
      <c r="J611" s="35" t="str">
        <f aca="false">INDEX(Lookups_Metadata!$E$4:$E$10, MATCH(I611, Lookups_Metadata!$D$4:$D$10, 0))</f>
        <v>Friday</v>
      </c>
      <c r="K611" s="35" t="str">
        <f aca="false">IF(H611=TRUE(), "Holiday", IF(OR(I611=0, I611=6), "Weekend", "Weekday"))</f>
        <v>Weekday</v>
      </c>
      <c r="L611" s="35" t="str">
        <f aca="false">IF(AND(K611="Weekday", OR(AND(G611&gt;=7, G611&lt;=9), AND(G611&gt;=17, G611&lt;=19))), "Peak Commute", "Off-Peak")</f>
        <v>Off-Peak</v>
      </c>
      <c r="M611" s="37" t="n">
        <v>3</v>
      </c>
      <c r="N611" s="35" t="str">
        <f aca="false">VLOOKUP(M611, Lookups_Metadata!$G$4:$H$7, 2, FALSE())</f>
        <v>Light Snow / Light Rain</v>
      </c>
      <c r="O611" s="40" t="n">
        <v>0.18</v>
      </c>
      <c r="P611" s="40" t="n">
        <v>0.2121</v>
      </c>
      <c r="Q611" s="40" t="n">
        <f aca="false">IF(OR(P611="", ISBLANK(P611)), ROUND(0.9367*O611+0.0175, 4), P611)</f>
        <v>0.2121</v>
      </c>
      <c r="R611" s="35" t="str">
        <f aca="false">IF(OR(P611="", ISBLANK(P611)), "Imputed (Regression/Trend)", "Original")</f>
        <v>Original</v>
      </c>
      <c r="S611" s="40" t="n">
        <v>0.93</v>
      </c>
      <c r="T611" s="40" t="n">
        <v>0.1045</v>
      </c>
      <c r="U611" s="41" t="n">
        <v>1</v>
      </c>
      <c r="V611" s="41" t="n">
        <v>28</v>
      </c>
      <c r="W611" s="41" t="n">
        <f aca="false">U611+V611</f>
        <v>29</v>
      </c>
      <c r="X611" s="42" t="n">
        <f aca="false">U611/W611</f>
        <v>0.0344827586206897</v>
      </c>
      <c r="Y611" s="42" t="n">
        <f aca="false">V611/W611</f>
        <v>0.96551724137931</v>
      </c>
      <c r="Z611" s="35" t="str">
        <f aca="false">IF(W611&gt;=150, "High Demand", IF(W611&gt;=50, "Moderate Demand", "Low Demand"))</f>
        <v>Low Demand</v>
      </c>
      <c r="AA611" s="39" t="str">
        <f aca="false">TEXT(G611, "00") &amp; ":00"</f>
        <v>12:00</v>
      </c>
      <c r="AB611" s="37" t="n">
        <f aca="false">YEAR(B611)</f>
        <v>2011</v>
      </c>
      <c r="AC611" s="35" t="str">
        <f aca="false">TEXT(B611, "mmmm")</f>
        <v>January</v>
      </c>
      <c r="AD611" s="37" t="n">
        <f aca="false">LEN(TEXT(B611, "YYYY-MM-DD"))</f>
        <v>10</v>
      </c>
      <c r="AE611" s="39" t="str">
        <f aca="false">LEFT(TEXT(B611, "YYYY-MM-DD"), 4)</f>
        <v>2011</v>
      </c>
      <c r="AF611" s="39" t="str">
        <f aca="false">RIGHT(TEXT(B611, "YYYY-MM-DD"), 2)</f>
        <v>28</v>
      </c>
    </row>
    <row r="612" customFormat="false" ht="15" hidden="false" customHeight="false" outlineLevel="0" collapsed="false">
      <c r="A612" s="43" t="n">
        <v>608</v>
      </c>
      <c r="B612" s="44" t="s">
        <v>104</v>
      </c>
      <c r="C612" s="43" t="n">
        <v>1</v>
      </c>
      <c r="D612" s="33" t="str">
        <f aca="false">VLOOKUP(C612, Lookups_Metadata!$A$4:$B$7, 2, FALSE())</f>
        <v>Spring</v>
      </c>
      <c r="E612" s="43" t="n">
        <v>0</v>
      </c>
      <c r="F612" s="43" t="n">
        <v>1</v>
      </c>
      <c r="G612" s="43" t="n">
        <v>13</v>
      </c>
      <c r="H612" s="45" t="b">
        <f aca="false">FALSE()</f>
        <v>0</v>
      </c>
      <c r="I612" s="43" t="n">
        <v>5</v>
      </c>
      <c r="J612" s="33" t="str">
        <f aca="false">INDEX(Lookups_Metadata!$E$4:$E$10, MATCH(I612, Lookups_Metadata!$D$4:$D$10, 0))</f>
        <v>Friday</v>
      </c>
      <c r="K612" s="33" t="str">
        <f aca="false">IF(H612=TRUE(), "Holiday", IF(OR(I612=0, I612=6), "Weekend", "Weekday"))</f>
        <v>Weekday</v>
      </c>
      <c r="L612" s="33" t="str">
        <f aca="false">IF(AND(K612="Weekday", OR(AND(G612&gt;=7, G612&lt;=9), AND(G612&gt;=17, G612&lt;=19))), "Peak Commute", "Off-Peak")</f>
        <v>Off-Peak</v>
      </c>
      <c r="M612" s="43" t="n">
        <v>3</v>
      </c>
      <c r="N612" s="33" t="str">
        <f aca="false">VLOOKUP(M612, Lookups_Metadata!$G$4:$H$7, 2, FALSE())</f>
        <v>Light Snow / Light Rain</v>
      </c>
      <c r="O612" s="46" t="n">
        <v>0.18</v>
      </c>
      <c r="P612" s="46" t="n">
        <v>0.2121</v>
      </c>
      <c r="Q612" s="46" t="n">
        <f aca="false">IF(OR(P612="", ISBLANK(P612)), ROUND(0.9367*O612+0.0175, 4), P612)</f>
        <v>0.2121</v>
      </c>
      <c r="R612" s="33" t="str">
        <f aca="false">IF(OR(P612="", ISBLANK(P612)), "Imputed (Regression/Trend)", "Original")</f>
        <v>Original</v>
      </c>
      <c r="S612" s="46" t="n">
        <v>0.93</v>
      </c>
      <c r="T612" s="46" t="n">
        <v>0.1045</v>
      </c>
      <c r="U612" s="18" t="n">
        <v>0</v>
      </c>
      <c r="V612" s="18" t="n">
        <v>31</v>
      </c>
      <c r="W612" s="18" t="n">
        <f aca="false">U612+V612</f>
        <v>31</v>
      </c>
      <c r="X612" s="47" t="n">
        <f aca="false">U612/W612</f>
        <v>0</v>
      </c>
      <c r="Y612" s="47" t="n">
        <f aca="false">V612/W612</f>
        <v>1</v>
      </c>
      <c r="Z612" s="33" t="str">
        <f aca="false">IF(W612&gt;=150, "High Demand", IF(W612&gt;=50, "Moderate Demand", "Low Demand"))</f>
        <v>Low Demand</v>
      </c>
      <c r="AA612" s="45" t="str">
        <f aca="false">TEXT(G612, "00") &amp; ":00"</f>
        <v>13:00</v>
      </c>
      <c r="AB612" s="43" t="n">
        <f aca="false">YEAR(B612)</f>
        <v>2011</v>
      </c>
      <c r="AC612" s="33" t="str">
        <f aca="false">TEXT(B612, "mmmm")</f>
        <v>January</v>
      </c>
      <c r="AD612" s="43" t="n">
        <f aca="false">LEN(TEXT(B612, "YYYY-MM-DD"))</f>
        <v>10</v>
      </c>
      <c r="AE612" s="45" t="str">
        <f aca="false">LEFT(TEXT(B612, "YYYY-MM-DD"), 4)</f>
        <v>2011</v>
      </c>
      <c r="AF612" s="45" t="str">
        <f aca="false">RIGHT(TEXT(B612, "YYYY-MM-DD"), 2)</f>
        <v>28</v>
      </c>
    </row>
    <row r="613" customFormat="false" ht="15" hidden="false" customHeight="false" outlineLevel="0" collapsed="false">
      <c r="A613" s="37" t="n">
        <v>609</v>
      </c>
      <c r="B613" s="38" t="s">
        <v>104</v>
      </c>
      <c r="C613" s="37" t="n">
        <v>1</v>
      </c>
      <c r="D613" s="35" t="str">
        <f aca="false">VLOOKUP(C613, Lookups_Metadata!$A$4:$B$7, 2, FALSE())</f>
        <v>Spring</v>
      </c>
      <c r="E613" s="37" t="n">
        <v>0</v>
      </c>
      <c r="F613" s="37" t="n">
        <v>1</v>
      </c>
      <c r="G613" s="37" t="n">
        <v>14</v>
      </c>
      <c r="H613" s="39" t="b">
        <f aca="false">FALSE()</f>
        <v>0</v>
      </c>
      <c r="I613" s="37" t="n">
        <v>5</v>
      </c>
      <c r="J613" s="35" t="str">
        <f aca="false">INDEX(Lookups_Metadata!$E$4:$E$10, MATCH(I613, Lookups_Metadata!$D$4:$D$10, 0))</f>
        <v>Friday</v>
      </c>
      <c r="K613" s="35" t="str">
        <f aca="false">IF(H613=TRUE(), "Holiday", IF(OR(I613=0, I613=6), "Weekend", "Weekday"))</f>
        <v>Weekday</v>
      </c>
      <c r="L613" s="35" t="str">
        <f aca="false">IF(AND(K613="Weekday", OR(AND(G613&gt;=7, G613&lt;=9), AND(G613&gt;=17, G613&lt;=19))), "Peak Commute", "Off-Peak")</f>
        <v>Off-Peak</v>
      </c>
      <c r="M613" s="37" t="n">
        <v>3</v>
      </c>
      <c r="N613" s="35" t="str">
        <f aca="false">VLOOKUP(M613, Lookups_Metadata!$G$4:$H$7, 2, FALSE())</f>
        <v>Light Snow / Light Rain</v>
      </c>
      <c r="O613" s="40" t="n">
        <v>0.22</v>
      </c>
      <c r="P613" s="40" t="n">
        <v>0.2727</v>
      </c>
      <c r="Q613" s="40" t="n">
        <f aca="false">IF(OR(P613="", ISBLANK(P613)), ROUND(0.9367*O613+0.0175, 4), P613)</f>
        <v>0.2727</v>
      </c>
      <c r="R613" s="35" t="str">
        <f aca="false">IF(OR(P613="", ISBLANK(P613)), "Imputed (Regression/Trend)", "Original")</f>
        <v>Original</v>
      </c>
      <c r="S613" s="40" t="n">
        <v>0.8</v>
      </c>
      <c r="T613" s="40" t="n">
        <v>0</v>
      </c>
      <c r="U613" s="41" t="n">
        <v>2</v>
      </c>
      <c r="V613" s="41" t="n">
        <v>36</v>
      </c>
      <c r="W613" s="41" t="n">
        <f aca="false">U613+V613</f>
        <v>38</v>
      </c>
      <c r="X613" s="42" t="n">
        <f aca="false">U613/W613</f>
        <v>0.0526315789473684</v>
      </c>
      <c r="Y613" s="42" t="n">
        <f aca="false">V613/W613</f>
        <v>0.947368421052632</v>
      </c>
      <c r="Z613" s="35" t="str">
        <f aca="false">IF(W613&gt;=150, "High Demand", IF(W613&gt;=50, "Moderate Demand", "Low Demand"))</f>
        <v>Low Demand</v>
      </c>
      <c r="AA613" s="39" t="str">
        <f aca="false">TEXT(G613, "00") &amp; ":00"</f>
        <v>14:00</v>
      </c>
      <c r="AB613" s="37" t="n">
        <f aca="false">YEAR(B613)</f>
        <v>2011</v>
      </c>
      <c r="AC613" s="35" t="str">
        <f aca="false">TEXT(B613, "mmmm")</f>
        <v>January</v>
      </c>
      <c r="AD613" s="37" t="n">
        <f aca="false">LEN(TEXT(B613, "YYYY-MM-DD"))</f>
        <v>10</v>
      </c>
      <c r="AE613" s="39" t="str">
        <f aca="false">LEFT(TEXT(B613, "YYYY-MM-DD"), 4)</f>
        <v>2011</v>
      </c>
      <c r="AF613" s="39" t="str">
        <f aca="false">RIGHT(TEXT(B613, "YYYY-MM-DD"), 2)</f>
        <v>28</v>
      </c>
    </row>
    <row r="614" customFormat="false" ht="15" hidden="false" customHeight="false" outlineLevel="0" collapsed="false">
      <c r="A614" s="43" t="n">
        <v>610</v>
      </c>
      <c r="B614" s="44" t="s">
        <v>104</v>
      </c>
      <c r="C614" s="43" t="n">
        <v>1</v>
      </c>
      <c r="D614" s="33" t="str">
        <f aca="false">VLOOKUP(C614, Lookups_Metadata!$A$4:$B$7, 2, FALSE())</f>
        <v>Spring</v>
      </c>
      <c r="E614" s="43" t="n">
        <v>0</v>
      </c>
      <c r="F614" s="43" t="n">
        <v>1</v>
      </c>
      <c r="G614" s="43" t="n">
        <v>15</v>
      </c>
      <c r="H614" s="45" t="b">
        <f aca="false">FALSE()</f>
        <v>0</v>
      </c>
      <c r="I614" s="43" t="n">
        <v>5</v>
      </c>
      <c r="J614" s="33" t="str">
        <f aca="false">INDEX(Lookups_Metadata!$E$4:$E$10, MATCH(I614, Lookups_Metadata!$D$4:$D$10, 0))</f>
        <v>Friday</v>
      </c>
      <c r="K614" s="33" t="str">
        <f aca="false">IF(H614=TRUE(), "Holiday", IF(OR(I614=0, I614=6), "Weekend", "Weekday"))</f>
        <v>Weekday</v>
      </c>
      <c r="L614" s="33" t="str">
        <f aca="false">IF(AND(K614="Weekday", OR(AND(G614&gt;=7, G614&lt;=9), AND(G614&gt;=17, G614&lt;=19))), "Peak Commute", "Off-Peak")</f>
        <v>Off-Peak</v>
      </c>
      <c r="M614" s="43" t="n">
        <v>2</v>
      </c>
      <c r="N614" s="33" t="str">
        <f aca="false">VLOOKUP(M614, Lookups_Metadata!$G$4:$H$7, 2, FALSE())</f>
        <v>Mist / Cloudy</v>
      </c>
      <c r="O614" s="46" t="n">
        <v>0.2</v>
      </c>
      <c r="P614" s="46" t="n">
        <v>0.2576</v>
      </c>
      <c r="Q614" s="46" t="n">
        <f aca="false">IF(OR(P614="", ISBLANK(P614)), ROUND(0.9367*O614+0.0175, 4), P614)</f>
        <v>0.2576</v>
      </c>
      <c r="R614" s="33" t="str">
        <f aca="false">IF(OR(P614="", ISBLANK(P614)), "Imputed (Regression/Trend)", "Original")</f>
        <v>Original</v>
      </c>
      <c r="S614" s="46" t="n">
        <v>0.86</v>
      </c>
      <c r="T614" s="46" t="n">
        <v>0</v>
      </c>
      <c r="U614" s="18" t="n">
        <v>1</v>
      </c>
      <c r="V614" s="18" t="n">
        <v>40</v>
      </c>
      <c r="W614" s="18" t="n">
        <f aca="false">U614+V614</f>
        <v>41</v>
      </c>
      <c r="X614" s="47" t="n">
        <f aca="false">U614/W614</f>
        <v>0.024390243902439</v>
      </c>
      <c r="Y614" s="47" t="n">
        <f aca="false">V614/W614</f>
        <v>0.975609756097561</v>
      </c>
      <c r="Z614" s="33" t="str">
        <f aca="false">IF(W614&gt;=150, "High Demand", IF(W614&gt;=50, "Moderate Demand", "Low Demand"))</f>
        <v>Low Demand</v>
      </c>
      <c r="AA614" s="45" t="str">
        <f aca="false">TEXT(G614, "00") &amp; ":00"</f>
        <v>15:00</v>
      </c>
      <c r="AB614" s="43" t="n">
        <f aca="false">YEAR(B614)</f>
        <v>2011</v>
      </c>
      <c r="AC614" s="33" t="str">
        <f aca="false">TEXT(B614, "mmmm")</f>
        <v>January</v>
      </c>
      <c r="AD614" s="43" t="n">
        <f aca="false">LEN(TEXT(B614, "YYYY-MM-DD"))</f>
        <v>10</v>
      </c>
      <c r="AE614" s="45" t="str">
        <f aca="false">LEFT(TEXT(B614, "YYYY-MM-DD"), 4)</f>
        <v>2011</v>
      </c>
      <c r="AF614" s="45" t="str">
        <f aca="false">RIGHT(TEXT(B614, "YYYY-MM-DD"), 2)</f>
        <v>28</v>
      </c>
    </row>
    <row r="615" customFormat="false" ht="15" hidden="false" customHeight="false" outlineLevel="0" collapsed="false">
      <c r="A615" s="37" t="n">
        <v>611</v>
      </c>
      <c r="B615" s="38" t="s">
        <v>104</v>
      </c>
      <c r="C615" s="37" t="n">
        <v>1</v>
      </c>
      <c r="D615" s="35" t="str">
        <f aca="false">VLOOKUP(C615, Lookups_Metadata!$A$4:$B$7, 2, FALSE())</f>
        <v>Spring</v>
      </c>
      <c r="E615" s="37" t="n">
        <v>0</v>
      </c>
      <c r="F615" s="37" t="n">
        <v>1</v>
      </c>
      <c r="G615" s="37" t="n">
        <v>16</v>
      </c>
      <c r="H615" s="39" t="b">
        <f aca="false">FALSE()</f>
        <v>0</v>
      </c>
      <c r="I615" s="37" t="n">
        <v>5</v>
      </c>
      <c r="J615" s="35" t="str">
        <f aca="false">INDEX(Lookups_Metadata!$E$4:$E$10, MATCH(I615, Lookups_Metadata!$D$4:$D$10, 0))</f>
        <v>Friday</v>
      </c>
      <c r="K615" s="35" t="str">
        <f aca="false">IF(H615=TRUE(), "Holiday", IF(OR(I615=0, I615=6), "Weekend", "Weekday"))</f>
        <v>Weekday</v>
      </c>
      <c r="L615" s="35" t="str">
        <f aca="false">IF(AND(K615="Weekday", OR(AND(G615&gt;=7, G615&lt;=9), AND(G615&gt;=17, G615&lt;=19))), "Peak Commute", "Off-Peak")</f>
        <v>Off-Peak</v>
      </c>
      <c r="M615" s="37" t="n">
        <v>1</v>
      </c>
      <c r="N615" s="35" t="str">
        <f aca="false">VLOOKUP(M615, Lookups_Metadata!$G$4:$H$7, 2, FALSE())</f>
        <v>Clear / Few Clouds</v>
      </c>
      <c r="O615" s="40" t="n">
        <v>0.22</v>
      </c>
      <c r="P615" s="40" t="n">
        <v>0.2727</v>
      </c>
      <c r="Q615" s="40" t="n">
        <f aca="false">IF(OR(P615="", ISBLANK(P615)), ROUND(0.9367*O615+0.0175, 4), P615)</f>
        <v>0.2727</v>
      </c>
      <c r="R615" s="35" t="str">
        <f aca="false">IF(OR(P615="", ISBLANK(P615)), "Imputed (Regression/Trend)", "Original")</f>
        <v>Original</v>
      </c>
      <c r="S615" s="40" t="n">
        <v>0.8</v>
      </c>
      <c r="T615" s="40" t="n">
        <v>0</v>
      </c>
      <c r="U615" s="41" t="n">
        <v>10</v>
      </c>
      <c r="V615" s="41" t="n">
        <v>70</v>
      </c>
      <c r="W615" s="41" t="n">
        <f aca="false">U615+V615</f>
        <v>80</v>
      </c>
      <c r="X615" s="42" t="n">
        <f aca="false">U615/W615</f>
        <v>0.125</v>
      </c>
      <c r="Y615" s="42" t="n">
        <f aca="false">V615/W615</f>
        <v>0.875</v>
      </c>
      <c r="Z615" s="35" t="str">
        <f aca="false">IF(W615&gt;=150, "High Demand", IF(W615&gt;=50, "Moderate Demand", "Low Demand"))</f>
        <v>Moderate Demand</v>
      </c>
      <c r="AA615" s="39" t="str">
        <f aca="false">TEXT(G615, "00") &amp; ":00"</f>
        <v>16:00</v>
      </c>
      <c r="AB615" s="37" t="n">
        <f aca="false">YEAR(B615)</f>
        <v>2011</v>
      </c>
      <c r="AC615" s="35" t="str">
        <f aca="false">TEXT(B615, "mmmm")</f>
        <v>January</v>
      </c>
      <c r="AD615" s="37" t="n">
        <f aca="false">LEN(TEXT(B615, "YYYY-MM-DD"))</f>
        <v>10</v>
      </c>
      <c r="AE615" s="39" t="str">
        <f aca="false">LEFT(TEXT(B615, "YYYY-MM-DD"), 4)</f>
        <v>2011</v>
      </c>
      <c r="AF615" s="39" t="str">
        <f aca="false">RIGHT(TEXT(B615, "YYYY-MM-DD"), 2)</f>
        <v>28</v>
      </c>
    </row>
    <row r="616" customFormat="false" ht="15" hidden="false" customHeight="false" outlineLevel="0" collapsed="false">
      <c r="A616" s="43" t="n">
        <v>612</v>
      </c>
      <c r="B616" s="44" t="s">
        <v>104</v>
      </c>
      <c r="C616" s="43" t="n">
        <v>1</v>
      </c>
      <c r="D616" s="33" t="str">
        <f aca="false">VLOOKUP(C616, Lookups_Metadata!$A$4:$B$7, 2, FALSE())</f>
        <v>Spring</v>
      </c>
      <c r="E616" s="43" t="n">
        <v>0</v>
      </c>
      <c r="F616" s="43" t="n">
        <v>1</v>
      </c>
      <c r="G616" s="43" t="n">
        <v>17</v>
      </c>
      <c r="H616" s="45" t="b">
        <f aca="false">FALSE()</f>
        <v>0</v>
      </c>
      <c r="I616" s="43" t="n">
        <v>5</v>
      </c>
      <c r="J616" s="33" t="str">
        <f aca="false">INDEX(Lookups_Metadata!$E$4:$E$10, MATCH(I616, Lookups_Metadata!$D$4:$D$10, 0))</f>
        <v>Friday</v>
      </c>
      <c r="K616" s="33" t="str">
        <f aca="false">IF(H616=TRUE(), "Holiday", IF(OR(I616=0, I616=6), "Weekend", "Weekday"))</f>
        <v>Weekday</v>
      </c>
      <c r="L616" s="33" t="str">
        <f aca="false">IF(AND(K616="Weekday", OR(AND(G616&gt;=7, G616&lt;=9), AND(G616&gt;=17, G616&lt;=19))), "Peak Commute", "Off-Peak")</f>
        <v>Peak Commute</v>
      </c>
      <c r="M616" s="43" t="n">
        <v>1</v>
      </c>
      <c r="N616" s="33" t="str">
        <f aca="false">VLOOKUP(M616, Lookups_Metadata!$G$4:$H$7, 2, FALSE())</f>
        <v>Clear / Few Clouds</v>
      </c>
      <c r="O616" s="46" t="n">
        <v>0.24</v>
      </c>
      <c r="P616" s="46" t="n">
        <v>0.2424</v>
      </c>
      <c r="Q616" s="46" t="n">
        <f aca="false">IF(OR(P616="", ISBLANK(P616)), ROUND(0.9367*O616+0.0175, 4), P616)</f>
        <v>0.2424</v>
      </c>
      <c r="R616" s="33" t="str">
        <f aca="false">IF(OR(P616="", ISBLANK(P616)), "Imputed (Regression/Trend)", "Original")</f>
        <v>Original</v>
      </c>
      <c r="S616" s="46" t="n">
        <v>0.75</v>
      </c>
      <c r="T616" s="46" t="n">
        <v>0.1343</v>
      </c>
      <c r="U616" s="18" t="n">
        <v>2</v>
      </c>
      <c r="V616" s="18" t="n">
        <v>147</v>
      </c>
      <c r="W616" s="18" t="n">
        <f aca="false">U616+V616</f>
        <v>149</v>
      </c>
      <c r="X616" s="47" t="n">
        <f aca="false">U616/W616</f>
        <v>0.0134228187919463</v>
      </c>
      <c r="Y616" s="47" t="n">
        <f aca="false">V616/W616</f>
        <v>0.986577181208054</v>
      </c>
      <c r="Z616" s="33" t="str">
        <f aca="false">IF(W616&gt;=150, "High Demand", IF(W616&gt;=50, "Moderate Demand", "Low Demand"))</f>
        <v>Moderate Demand</v>
      </c>
      <c r="AA616" s="45" t="str">
        <f aca="false">TEXT(G616, "00") &amp; ":00"</f>
        <v>17:00</v>
      </c>
      <c r="AB616" s="43" t="n">
        <f aca="false">YEAR(B616)</f>
        <v>2011</v>
      </c>
      <c r="AC616" s="33" t="str">
        <f aca="false">TEXT(B616, "mmmm")</f>
        <v>January</v>
      </c>
      <c r="AD616" s="43" t="n">
        <f aca="false">LEN(TEXT(B616, "YYYY-MM-DD"))</f>
        <v>10</v>
      </c>
      <c r="AE616" s="45" t="str">
        <f aca="false">LEFT(TEXT(B616, "YYYY-MM-DD"), 4)</f>
        <v>2011</v>
      </c>
      <c r="AF616" s="45" t="str">
        <f aca="false">RIGHT(TEXT(B616, "YYYY-MM-DD"), 2)</f>
        <v>28</v>
      </c>
    </row>
    <row r="617" customFormat="false" ht="15" hidden="false" customHeight="false" outlineLevel="0" collapsed="false">
      <c r="A617" s="37" t="n">
        <v>613</v>
      </c>
      <c r="B617" s="38" t="s">
        <v>104</v>
      </c>
      <c r="C617" s="37" t="n">
        <v>1</v>
      </c>
      <c r="D617" s="35" t="str">
        <f aca="false">VLOOKUP(C617, Lookups_Metadata!$A$4:$B$7, 2, FALSE())</f>
        <v>Spring</v>
      </c>
      <c r="E617" s="37" t="n">
        <v>0</v>
      </c>
      <c r="F617" s="37" t="n">
        <v>1</v>
      </c>
      <c r="G617" s="37" t="n">
        <v>18</v>
      </c>
      <c r="H617" s="39" t="b">
        <f aca="false">FALSE()</f>
        <v>0</v>
      </c>
      <c r="I617" s="37" t="n">
        <v>5</v>
      </c>
      <c r="J617" s="35" t="str">
        <f aca="false">INDEX(Lookups_Metadata!$E$4:$E$10, MATCH(I617, Lookups_Metadata!$D$4:$D$10, 0))</f>
        <v>Friday</v>
      </c>
      <c r="K617" s="35" t="str">
        <f aca="false">IF(H617=TRUE(), "Holiday", IF(OR(I617=0, I617=6), "Weekend", "Weekday"))</f>
        <v>Weekday</v>
      </c>
      <c r="L617" s="35" t="str">
        <f aca="false">IF(AND(K617="Weekday", OR(AND(G617&gt;=7, G617&lt;=9), AND(G617&gt;=17, G617&lt;=19))), "Peak Commute", "Off-Peak")</f>
        <v>Peak Commute</v>
      </c>
      <c r="M617" s="37" t="n">
        <v>1</v>
      </c>
      <c r="N617" s="35" t="str">
        <f aca="false">VLOOKUP(M617, Lookups_Metadata!$G$4:$H$7, 2, FALSE())</f>
        <v>Clear / Few Clouds</v>
      </c>
      <c r="O617" s="40" t="n">
        <v>0.24</v>
      </c>
      <c r="P617" s="40" t="n">
        <v>0.2273</v>
      </c>
      <c r="Q617" s="40" t="n">
        <f aca="false">IF(OR(P617="", ISBLANK(P617)), ROUND(0.9367*O617+0.0175, 4), P617)</f>
        <v>0.2273</v>
      </c>
      <c r="R617" s="35" t="str">
        <f aca="false">IF(OR(P617="", ISBLANK(P617)), "Imputed (Regression/Trend)", "Original")</f>
        <v>Original</v>
      </c>
      <c r="S617" s="40" t="n">
        <v>0.75</v>
      </c>
      <c r="T617" s="40" t="n">
        <v>0.194</v>
      </c>
      <c r="U617" s="41" t="n">
        <v>2</v>
      </c>
      <c r="V617" s="41" t="n">
        <v>107</v>
      </c>
      <c r="W617" s="41" t="n">
        <f aca="false">U617+V617</f>
        <v>109</v>
      </c>
      <c r="X617" s="42" t="n">
        <f aca="false">U617/W617</f>
        <v>0.018348623853211</v>
      </c>
      <c r="Y617" s="42" t="n">
        <f aca="false">V617/W617</f>
        <v>0.981651376146789</v>
      </c>
      <c r="Z617" s="35" t="str">
        <f aca="false">IF(W617&gt;=150, "High Demand", IF(W617&gt;=50, "Moderate Demand", "Low Demand"))</f>
        <v>Moderate Demand</v>
      </c>
      <c r="AA617" s="39" t="str">
        <f aca="false">TEXT(G617, "00") &amp; ":00"</f>
        <v>18:00</v>
      </c>
      <c r="AB617" s="37" t="n">
        <f aca="false">YEAR(B617)</f>
        <v>2011</v>
      </c>
      <c r="AC617" s="35" t="str">
        <f aca="false">TEXT(B617, "mmmm")</f>
        <v>January</v>
      </c>
      <c r="AD617" s="37" t="n">
        <f aca="false">LEN(TEXT(B617, "YYYY-MM-DD"))</f>
        <v>10</v>
      </c>
      <c r="AE617" s="39" t="str">
        <f aca="false">LEFT(TEXT(B617, "YYYY-MM-DD"), 4)</f>
        <v>2011</v>
      </c>
      <c r="AF617" s="39" t="str">
        <f aca="false">RIGHT(TEXT(B617, "YYYY-MM-DD"), 2)</f>
        <v>28</v>
      </c>
    </row>
    <row r="618" customFormat="false" ht="15" hidden="false" customHeight="false" outlineLevel="0" collapsed="false">
      <c r="A618" s="43" t="n">
        <v>614</v>
      </c>
      <c r="B618" s="44" t="s">
        <v>104</v>
      </c>
      <c r="C618" s="43" t="n">
        <v>1</v>
      </c>
      <c r="D618" s="33" t="str">
        <f aca="false">VLOOKUP(C618, Lookups_Metadata!$A$4:$B$7, 2, FALSE())</f>
        <v>Spring</v>
      </c>
      <c r="E618" s="43" t="n">
        <v>0</v>
      </c>
      <c r="F618" s="43" t="n">
        <v>1</v>
      </c>
      <c r="G618" s="43" t="n">
        <v>19</v>
      </c>
      <c r="H618" s="45" t="b">
        <f aca="false">FALSE()</f>
        <v>0</v>
      </c>
      <c r="I618" s="43" t="n">
        <v>5</v>
      </c>
      <c r="J618" s="33" t="str">
        <f aca="false">INDEX(Lookups_Metadata!$E$4:$E$10, MATCH(I618, Lookups_Metadata!$D$4:$D$10, 0))</f>
        <v>Friday</v>
      </c>
      <c r="K618" s="33" t="str">
        <f aca="false">IF(H618=TRUE(), "Holiday", IF(OR(I618=0, I618=6), "Weekend", "Weekday"))</f>
        <v>Weekday</v>
      </c>
      <c r="L618" s="33" t="str">
        <f aca="false">IF(AND(K618="Weekday", OR(AND(G618&gt;=7, G618&lt;=9), AND(G618&gt;=17, G618&lt;=19))), "Peak Commute", "Off-Peak")</f>
        <v>Peak Commute</v>
      </c>
      <c r="M618" s="43" t="n">
        <v>2</v>
      </c>
      <c r="N618" s="33" t="str">
        <f aca="false">VLOOKUP(M618, Lookups_Metadata!$G$4:$H$7, 2, FALSE())</f>
        <v>Mist / Cloudy</v>
      </c>
      <c r="O618" s="46" t="n">
        <v>0.24</v>
      </c>
      <c r="P618" s="46" t="n">
        <v>0.2424</v>
      </c>
      <c r="Q618" s="46" t="n">
        <f aca="false">IF(OR(P618="", ISBLANK(P618)), ROUND(0.9367*O618+0.0175, 4), P618)</f>
        <v>0.2424</v>
      </c>
      <c r="R618" s="33" t="str">
        <f aca="false">IF(OR(P618="", ISBLANK(P618)), "Imputed (Regression/Trend)", "Original")</f>
        <v>Original</v>
      </c>
      <c r="S618" s="46" t="n">
        <v>0.75</v>
      </c>
      <c r="T618" s="46" t="n">
        <v>0.1343</v>
      </c>
      <c r="U618" s="18" t="n">
        <v>5</v>
      </c>
      <c r="V618" s="18" t="n">
        <v>84</v>
      </c>
      <c r="W618" s="18" t="n">
        <f aca="false">U618+V618</f>
        <v>89</v>
      </c>
      <c r="X618" s="47" t="n">
        <f aca="false">U618/W618</f>
        <v>0.0561797752808989</v>
      </c>
      <c r="Y618" s="47" t="n">
        <f aca="false">V618/W618</f>
        <v>0.943820224719101</v>
      </c>
      <c r="Z618" s="33" t="str">
        <f aca="false">IF(W618&gt;=150, "High Demand", IF(W618&gt;=50, "Moderate Demand", "Low Demand"))</f>
        <v>Moderate Demand</v>
      </c>
      <c r="AA618" s="45" t="str">
        <f aca="false">TEXT(G618, "00") &amp; ":00"</f>
        <v>19:00</v>
      </c>
      <c r="AB618" s="43" t="n">
        <f aca="false">YEAR(B618)</f>
        <v>2011</v>
      </c>
      <c r="AC618" s="33" t="str">
        <f aca="false">TEXT(B618, "mmmm")</f>
        <v>January</v>
      </c>
      <c r="AD618" s="43" t="n">
        <f aca="false">LEN(TEXT(B618, "YYYY-MM-DD"))</f>
        <v>10</v>
      </c>
      <c r="AE618" s="45" t="str">
        <f aca="false">LEFT(TEXT(B618, "YYYY-MM-DD"), 4)</f>
        <v>2011</v>
      </c>
      <c r="AF618" s="45" t="str">
        <f aca="false">RIGHT(TEXT(B618, "YYYY-MM-DD"), 2)</f>
        <v>28</v>
      </c>
    </row>
    <row r="619" customFormat="false" ht="15" hidden="false" customHeight="false" outlineLevel="0" collapsed="false">
      <c r="A619" s="37" t="n">
        <v>615</v>
      </c>
      <c r="B619" s="38" t="s">
        <v>104</v>
      </c>
      <c r="C619" s="37" t="n">
        <v>1</v>
      </c>
      <c r="D619" s="35" t="str">
        <f aca="false">VLOOKUP(C619, Lookups_Metadata!$A$4:$B$7, 2, FALSE())</f>
        <v>Spring</v>
      </c>
      <c r="E619" s="37" t="n">
        <v>0</v>
      </c>
      <c r="F619" s="37" t="n">
        <v>1</v>
      </c>
      <c r="G619" s="37" t="n">
        <v>20</v>
      </c>
      <c r="H619" s="39" t="b">
        <f aca="false">FALSE()</f>
        <v>0</v>
      </c>
      <c r="I619" s="37" t="n">
        <v>5</v>
      </c>
      <c r="J619" s="35" t="str">
        <f aca="false">INDEX(Lookups_Metadata!$E$4:$E$10, MATCH(I619, Lookups_Metadata!$D$4:$D$10, 0))</f>
        <v>Friday</v>
      </c>
      <c r="K619" s="35" t="str">
        <f aca="false">IF(H619=TRUE(), "Holiday", IF(OR(I619=0, I619=6), "Weekend", "Weekday"))</f>
        <v>Weekday</v>
      </c>
      <c r="L619" s="35" t="str">
        <f aca="false">IF(AND(K619="Weekday", OR(AND(G619&gt;=7, G619&lt;=9), AND(G619&gt;=17, G619&lt;=19))), "Peak Commute", "Off-Peak")</f>
        <v>Off-Peak</v>
      </c>
      <c r="M619" s="37" t="n">
        <v>2</v>
      </c>
      <c r="N619" s="35" t="str">
        <f aca="false">VLOOKUP(M619, Lookups_Metadata!$G$4:$H$7, 2, FALSE())</f>
        <v>Mist / Cloudy</v>
      </c>
      <c r="O619" s="40" t="n">
        <v>0.24</v>
      </c>
      <c r="P619" s="40" t="n">
        <v>0.2273</v>
      </c>
      <c r="Q619" s="40" t="n">
        <f aca="false">IF(OR(P619="", ISBLANK(P619)), ROUND(0.9367*O619+0.0175, 4), P619)</f>
        <v>0.2273</v>
      </c>
      <c r="R619" s="35" t="str">
        <f aca="false">IF(OR(P619="", ISBLANK(P619)), "Imputed (Regression/Trend)", "Original")</f>
        <v>Original</v>
      </c>
      <c r="S619" s="40" t="n">
        <v>0.7</v>
      </c>
      <c r="T619" s="40" t="n">
        <v>0.194</v>
      </c>
      <c r="U619" s="41" t="n">
        <v>1</v>
      </c>
      <c r="V619" s="41" t="n">
        <v>61</v>
      </c>
      <c r="W619" s="41" t="n">
        <f aca="false">U619+V619</f>
        <v>62</v>
      </c>
      <c r="X619" s="42" t="n">
        <f aca="false">U619/W619</f>
        <v>0.0161290322580645</v>
      </c>
      <c r="Y619" s="42" t="n">
        <f aca="false">V619/W619</f>
        <v>0.983870967741936</v>
      </c>
      <c r="Z619" s="35" t="str">
        <f aca="false">IF(W619&gt;=150, "High Demand", IF(W619&gt;=50, "Moderate Demand", "Low Demand"))</f>
        <v>Moderate Demand</v>
      </c>
      <c r="AA619" s="39" t="str">
        <f aca="false">TEXT(G619, "00") &amp; ":00"</f>
        <v>20:00</v>
      </c>
      <c r="AB619" s="37" t="n">
        <f aca="false">YEAR(B619)</f>
        <v>2011</v>
      </c>
      <c r="AC619" s="35" t="str">
        <f aca="false">TEXT(B619, "mmmm")</f>
        <v>January</v>
      </c>
      <c r="AD619" s="37" t="n">
        <f aca="false">LEN(TEXT(B619, "YYYY-MM-DD"))</f>
        <v>10</v>
      </c>
      <c r="AE619" s="39" t="str">
        <f aca="false">LEFT(TEXT(B619, "YYYY-MM-DD"), 4)</f>
        <v>2011</v>
      </c>
      <c r="AF619" s="39" t="str">
        <f aca="false">RIGHT(TEXT(B619, "YYYY-MM-DD"), 2)</f>
        <v>28</v>
      </c>
    </row>
    <row r="620" customFormat="false" ht="15" hidden="false" customHeight="false" outlineLevel="0" collapsed="false">
      <c r="A620" s="43" t="n">
        <v>616</v>
      </c>
      <c r="B620" s="44" t="s">
        <v>104</v>
      </c>
      <c r="C620" s="43" t="n">
        <v>1</v>
      </c>
      <c r="D620" s="33" t="str">
        <f aca="false">VLOOKUP(C620, Lookups_Metadata!$A$4:$B$7, 2, FALSE())</f>
        <v>Spring</v>
      </c>
      <c r="E620" s="43" t="n">
        <v>0</v>
      </c>
      <c r="F620" s="43" t="n">
        <v>1</v>
      </c>
      <c r="G620" s="43" t="n">
        <v>21</v>
      </c>
      <c r="H620" s="45" t="b">
        <f aca="false">FALSE()</f>
        <v>0</v>
      </c>
      <c r="I620" s="43" t="n">
        <v>5</v>
      </c>
      <c r="J620" s="33" t="str">
        <f aca="false">INDEX(Lookups_Metadata!$E$4:$E$10, MATCH(I620, Lookups_Metadata!$D$4:$D$10, 0))</f>
        <v>Friday</v>
      </c>
      <c r="K620" s="33" t="str">
        <f aca="false">IF(H620=TRUE(), "Holiday", IF(OR(I620=0, I620=6), "Weekend", "Weekday"))</f>
        <v>Weekday</v>
      </c>
      <c r="L620" s="33" t="str">
        <f aca="false">IF(AND(K620="Weekday", OR(AND(G620&gt;=7, G620&lt;=9), AND(G620&gt;=17, G620&lt;=19))), "Peak Commute", "Off-Peak")</f>
        <v>Off-Peak</v>
      </c>
      <c r="M620" s="43" t="n">
        <v>2</v>
      </c>
      <c r="N620" s="33" t="str">
        <f aca="false">VLOOKUP(M620, Lookups_Metadata!$G$4:$H$7, 2, FALSE())</f>
        <v>Mist / Cloudy</v>
      </c>
      <c r="O620" s="46" t="n">
        <v>0.22</v>
      </c>
      <c r="P620" s="46" t="n">
        <v>0.2273</v>
      </c>
      <c r="Q620" s="46" t="n">
        <f aca="false">IF(OR(P620="", ISBLANK(P620)), ROUND(0.9367*O620+0.0175, 4), P620)</f>
        <v>0.2273</v>
      </c>
      <c r="R620" s="33" t="str">
        <f aca="false">IF(OR(P620="", ISBLANK(P620)), "Imputed (Regression/Trend)", "Original")</f>
        <v>Original</v>
      </c>
      <c r="S620" s="46" t="n">
        <v>0.75</v>
      </c>
      <c r="T620" s="46" t="n">
        <v>0.1343</v>
      </c>
      <c r="U620" s="18" t="n">
        <v>1</v>
      </c>
      <c r="V620" s="18" t="n">
        <v>57</v>
      </c>
      <c r="W620" s="18" t="n">
        <f aca="false">U620+V620</f>
        <v>58</v>
      </c>
      <c r="X620" s="47" t="n">
        <f aca="false">U620/W620</f>
        <v>0.0172413793103448</v>
      </c>
      <c r="Y620" s="47" t="n">
        <f aca="false">V620/W620</f>
        <v>0.982758620689655</v>
      </c>
      <c r="Z620" s="33" t="str">
        <f aca="false">IF(W620&gt;=150, "High Demand", IF(W620&gt;=50, "Moderate Demand", "Low Demand"))</f>
        <v>Moderate Demand</v>
      </c>
      <c r="AA620" s="45" t="str">
        <f aca="false">TEXT(G620, "00") &amp; ":00"</f>
        <v>21:00</v>
      </c>
      <c r="AB620" s="43" t="n">
        <f aca="false">YEAR(B620)</f>
        <v>2011</v>
      </c>
      <c r="AC620" s="33" t="str">
        <f aca="false">TEXT(B620, "mmmm")</f>
        <v>January</v>
      </c>
      <c r="AD620" s="43" t="n">
        <f aca="false">LEN(TEXT(B620, "YYYY-MM-DD"))</f>
        <v>10</v>
      </c>
      <c r="AE620" s="45" t="str">
        <f aca="false">LEFT(TEXT(B620, "YYYY-MM-DD"), 4)</f>
        <v>2011</v>
      </c>
      <c r="AF620" s="45" t="str">
        <f aca="false">RIGHT(TEXT(B620, "YYYY-MM-DD"), 2)</f>
        <v>28</v>
      </c>
    </row>
    <row r="621" customFormat="false" ht="15" hidden="false" customHeight="false" outlineLevel="0" collapsed="false">
      <c r="A621" s="37" t="n">
        <v>617</v>
      </c>
      <c r="B621" s="38" t="s">
        <v>104</v>
      </c>
      <c r="C621" s="37" t="n">
        <v>1</v>
      </c>
      <c r="D621" s="35" t="str">
        <f aca="false">VLOOKUP(C621, Lookups_Metadata!$A$4:$B$7, 2, FALSE())</f>
        <v>Spring</v>
      </c>
      <c r="E621" s="37" t="n">
        <v>0</v>
      </c>
      <c r="F621" s="37" t="n">
        <v>1</v>
      </c>
      <c r="G621" s="37" t="n">
        <v>22</v>
      </c>
      <c r="H621" s="39" t="b">
        <f aca="false">FALSE()</f>
        <v>0</v>
      </c>
      <c r="I621" s="37" t="n">
        <v>5</v>
      </c>
      <c r="J621" s="35" t="str">
        <f aca="false">INDEX(Lookups_Metadata!$E$4:$E$10, MATCH(I621, Lookups_Metadata!$D$4:$D$10, 0))</f>
        <v>Friday</v>
      </c>
      <c r="K621" s="35" t="str">
        <f aca="false">IF(H621=TRUE(), "Holiday", IF(OR(I621=0, I621=6), "Weekend", "Weekday"))</f>
        <v>Weekday</v>
      </c>
      <c r="L621" s="35" t="str">
        <f aca="false">IF(AND(K621="Weekday", OR(AND(G621&gt;=7, G621&lt;=9), AND(G621&gt;=17, G621&lt;=19))), "Peak Commute", "Off-Peak")</f>
        <v>Off-Peak</v>
      </c>
      <c r="M621" s="37" t="n">
        <v>1</v>
      </c>
      <c r="N621" s="35" t="str">
        <f aca="false">VLOOKUP(M621, Lookups_Metadata!$G$4:$H$7, 2, FALSE())</f>
        <v>Clear / Few Clouds</v>
      </c>
      <c r="O621" s="40" t="n">
        <v>0.24</v>
      </c>
      <c r="P621" s="40" t="n">
        <v>0.2121</v>
      </c>
      <c r="Q621" s="40" t="n">
        <f aca="false">IF(OR(P621="", ISBLANK(P621)), ROUND(0.9367*O621+0.0175, 4), P621)</f>
        <v>0.2121</v>
      </c>
      <c r="R621" s="35" t="str">
        <f aca="false">IF(OR(P621="", ISBLANK(P621)), "Imputed (Regression/Trend)", "Original")</f>
        <v>Original</v>
      </c>
      <c r="S621" s="40" t="n">
        <v>0.65</v>
      </c>
      <c r="T621" s="40" t="n">
        <v>0.3582</v>
      </c>
      <c r="U621" s="41" t="n">
        <v>0</v>
      </c>
      <c r="V621" s="41" t="n">
        <v>26</v>
      </c>
      <c r="W621" s="41" t="n">
        <f aca="false">U621+V621</f>
        <v>26</v>
      </c>
      <c r="X621" s="42" t="n">
        <f aca="false">U621/W621</f>
        <v>0</v>
      </c>
      <c r="Y621" s="42" t="n">
        <f aca="false">V621/W621</f>
        <v>1</v>
      </c>
      <c r="Z621" s="35" t="str">
        <f aca="false">IF(W621&gt;=150, "High Demand", IF(W621&gt;=50, "Moderate Demand", "Low Demand"))</f>
        <v>Low Demand</v>
      </c>
      <c r="AA621" s="39" t="str">
        <f aca="false">TEXT(G621, "00") &amp; ":00"</f>
        <v>22:00</v>
      </c>
      <c r="AB621" s="37" t="n">
        <f aca="false">YEAR(B621)</f>
        <v>2011</v>
      </c>
      <c r="AC621" s="35" t="str">
        <f aca="false">TEXT(B621, "mmmm")</f>
        <v>January</v>
      </c>
      <c r="AD621" s="37" t="n">
        <f aca="false">LEN(TEXT(B621, "YYYY-MM-DD"))</f>
        <v>10</v>
      </c>
      <c r="AE621" s="39" t="str">
        <f aca="false">LEFT(TEXT(B621, "YYYY-MM-DD"), 4)</f>
        <v>2011</v>
      </c>
      <c r="AF621" s="39" t="str">
        <f aca="false">RIGHT(TEXT(B621, "YYYY-MM-DD"), 2)</f>
        <v>28</v>
      </c>
    </row>
    <row r="622" customFormat="false" ht="15" hidden="false" customHeight="false" outlineLevel="0" collapsed="false">
      <c r="A622" s="43" t="n">
        <v>618</v>
      </c>
      <c r="B622" s="44" t="s">
        <v>104</v>
      </c>
      <c r="C622" s="43" t="n">
        <v>1</v>
      </c>
      <c r="D622" s="33" t="str">
        <f aca="false">VLOOKUP(C622, Lookups_Metadata!$A$4:$B$7, 2, FALSE())</f>
        <v>Spring</v>
      </c>
      <c r="E622" s="43" t="n">
        <v>0</v>
      </c>
      <c r="F622" s="43" t="n">
        <v>1</v>
      </c>
      <c r="G622" s="43" t="n">
        <v>23</v>
      </c>
      <c r="H622" s="45" t="b">
        <f aca="false">FALSE()</f>
        <v>0</v>
      </c>
      <c r="I622" s="43" t="n">
        <v>5</v>
      </c>
      <c r="J622" s="33" t="str">
        <f aca="false">INDEX(Lookups_Metadata!$E$4:$E$10, MATCH(I622, Lookups_Metadata!$D$4:$D$10, 0))</f>
        <v>Friday</v>
      </c>
      <c r="K622" s="33" t="str">
        <f aca="false">IF(H622=TRUE(), "Holiday", IF(OR(I622=0, I622=6), "Weekend", "Weekday"))</f>
        <v>Weekday</v>
      </c>
      <c r="L622" s="33" t="str">
        <f aca="false">IF(AND(K622="Weekday", OR(AND(G622&gt;=7, G622&lt;=9), AND(G622&gt;=17, G622&lt;=19))), "Peak Commute", "Off-Peak")</f>
        <v>Off-Peak</v>
      </c>
      <c r="M622" s="43" t="n">
        <v>1</v>
      </c>
      <c r="N622" s="33" t="str">
        <f aca="false">VLOOKUP(M622, Lookups_Metadata!$G$4:$H$7, 2, FALSE())</f>
        <v>Clear / Few Clouds</v>
      </c>
      <c r="O622" s="46" t="n">
        <v>0.24</v>
      </c>
      <c r="P622" s="46" t="n">
        <v>0.2273</v>
      </c>
      <c r="Q622" s="46" t="n">
        <f aca="false">IF(OR(P622="", ISBLANK(P622)), ROUND(0.9367*O622+0.0175, 4), P622)</f>
        <v>0.2273</v>
      </c>
      <c r="R622" s="33" t="str">
        <f aca="false">IF(OR(P622="", ISBLANK(P622)), "Imputed (Regression/Trend)", "Original")</f>
        <v>Original</v>
      </c>
      <c r="S622" s="46" t="n">
        <v>0.6</v>
      </c>
      <c r="T622" s="46" t="n">
        <v>0.2239</v>
      </c>
      <c r="U622" s="18" t="n">
        <v>1</v>
      </c>
      <c r="V622" s="18" t="n">
        <v>22</v>
      </c>
      <c r="W622" s="18" t="n">
        <f aca="false">U622+V622</f>
        <v>23</v>
      </c>
      <c r="X622" s="47" t="n">
        <f aca="false">U622/W622</f>
        <v>0.0434782608695652</v>
      </c>
      <c r="Y622" s="47" t="n">
        <f aca="false">V622/W622</f>
        <v>0.956521739130435</v>
      </c>
      <c r="Z622" s="33" t="str">
        <f aca="false">IF(W622&gt;=150, "High Demand", IF(W622&gt;=50, "Moderate Demand", "Low Demand"))</f>
        <v>Low Demand</v>
      </c>
      <c r="AA622" s="45" t="str">
        <f aca="false">TEXT(G622, "00") &amp; ":00"</f>
        <v>23:00</v>
      </c>
      <c r="AB622" s="43" t="n">
        <f aca="false">YEAR(B622)</f>
        <v>2011</v>
      </c>
      <c r="AC622" s="33" t="str">
        <f aca="false">TEXT(B622, "mmmm")</f>
        <v>January</v>
      </c>
      <c r="AD622" s="43" t="n">
        <f aca="false">LEN(TEXT(B622, "YYYY-MM-DD"))</f>
        <v>10</v>
      </c>
      <c r="AE622" s="45" t="str">
        <f aca="false">LEFT(TEXT(B622, "YYYY-MM-DD"), 4)</f>
        <v>2011</v>
      </c>
      <c r="AF622" s="45" t="str">
        <f aca="false">RIGHT(TEXT(B622, "YYYY-MM-DD"), 2)</f>
        <v>28</v>
      </c>
    </row>
    <row r="623" customFormat="false" ht="15" hidden="false" customHeight="false" outlineLevel="0" collapsed="false">
      <c r="A623" s="37" t="n">
        <v>619</v>
      </c>
      <c r="B623" s="38" t="s">
        <v>112</v>
      </c>
      <c r="C623" s="37" t="n">
        <v>1</v>
      </c>
      <c r="D623" s="35" t="str">
        <f aca="false">VLOOKUP(C623, Lookups_Metadata!$A$4:$B$7, 2, FALSE())</f>
        <v>Spring</v>
      </c>
      <c r="E623" s="37" t="n">
        <v>0</v>
      </c>
      <c r="F623" s="37" t="n">
        <v>1</v>
      </c>
      <c r="G623" s="37" t="n">
        <v>0</v>
      </c>
      <c r="H623" s="39" t="b">
        <f aca="false">FALSE()</f>
        <v>0</v>
      </c>
      <c r="I623" s="37" t="n">
        <v>6</v>
      </c>
      <c r="J623" s="35" t="str">
        <f aca="false">INDEX(Lookups_Metadata!$E$4:$E$10, MATCH(I623, Lookups_Metadata!$D$4:$D$10, 0))</f>
        <v>Saturday</v>
      </c>
      <c r="K623" s="35" t="str">
        <f aca="false">IF(H623=TRUE(), "Holiday", IF(OR(I623=0, I623=6), "Weekend", "Weekday"))</f>
        <v>Weekend</v>
      </c>
      <c r="L623" s="35" t="str">
        <f aca="false">IF(AND(K623="Weekday", OR(AND(G623&gt;=7, G623&lt;=9), AND(G623&gt;=17, G623&lt;=19))), "Peak Commute", "Off-Peak")</f>
        <v>Off-Peak</v>
      </c>
      <c r="M623" s="37" t="n">
        <v>1</v>
      </c>
      <c r="N623" s="35" t="str">
        <f aca="false">VLOOKUP(M623, Lookups_Metadata!$G$4:$H$7, 2, FALSE())</f>
        <v>Clear / Few Clouds</v>
      </c>
      <c r="O623" s="40" t="n">
        <v>0.22</v>
      </c>
      <c r="P623" s="40" t="n">
        <v>0.197</v>
      </c>
      <c r="Q623" s="40" t="n">
        <f aca="false">IF(OR(P623="", ISBLANK(P623)), ROUND(0.9367*O623+0.0175, 4), P623)</f>
        <v>0.197</v>
      </c>
      <c r="R623" s="35" t="str">
        <f aca="false">IF(OR(P623="", ISBLANK(P623)), "Imputed (Regression/Trend)", "Original")</f>
        <v>Original</v>
      </c>
      <c r="S623" s="40" t="n">
        <v>0.64</v>
      </c>
      <c r="T623" s="40" t="n">
        <v>0.3582</v>
      </c>
      <c r="U623" s="41" t="n">
        <v>2</v>
      </c>
      <c r="V623" s="41" t="n">
        <v>26</v>
      </c>
      <c r="W623" s="41" t="n">
        <f aca="false">U623+V623</f>
        <v>28</v>
      </c>
      <c r="X623" s="42" t="n">
        <f aca="false">U623/W623</f>
        <v>0.0714285714285714</v>
      </c>
      <c r="Y623" s="42" t="n">
        <f aca="false">V623/W623</f>
        <v>0.928571428571429</v>
      </c>
      <c r="Z623" s="35" t="str">
        <f aca="false">IF(W623&gt;=150, "High Demand", IF(W623&gt;=50, "Moderate Demand", "Low Demand"))</f>
        <v>Low Demand</v>
      </c>
      <c r="AA623" s="39" t="str">
        <f aca="false">TEXT(G623, "00") &amp; ":00"</f>
        <v>00:00</v>
      </c>
      <c r="AB623" s="37" t="n">
        <f aca="false">YEAR(B623)</f>
        <v>2011</v>
      </c>
      <c r="AC623" s="35" t="str">
        <f aca="false">TEXT(B623, "mmmm")</f>
        <v>January</v>
      </c>
      <c r="AD623" s="37" t="n">
        <f aca="false">LEN(TEXT(B623, "YYYY-MM-DD"))</f>
        <v>10</v>
      </c>
      <c r="AE623" s="39" t="str">
        <f aca="false">LEFT(TEXT(B623, "YYYY-MM-DD"), 4)</f>
        <v>2011</v>
      </c>
      <c r="AF623" s="39" t="str">
        <f aca="false">RIGHT(TEXT(B623, "YYYY-MM-DD"), 2)</f>
        <v>29</v>
      </c>
    </row>
    <row r="624" customFormat="false" ht="15" hidden="false" customHeight="false" outlineLevel="0" collapsed="false">
      <c r="A624" s="43" t="n">
        <v>620</v>
      </c>
      <c r="B624" s="44" t="s">
        <v>112</v>
      </c>
      <c r="C624" s="43" t="n">
        <v>1</v>
      </c>
      <c r="D624" s="33" t="str">
        <f aca="false">VLOOKUP(C624, Lookups_Metadata!$A$4:$B$7, 2, FALSE())</f>
        <v>Spring</v>
      </c>
      <c r="E624" s="43" t="n">
        <v>0</v>
      </c>
      <c r="F624" s="43" t="n">
        <v>1</v>
      </c>
      <c r="G624" s="43" t="n">
        <v>1</v>
      </c>
      <c r="H624" s="45" t="b">
        <f aca="false">FALSE()</f>
        <v>0</v>
      </c>
      <c r="I624" s="43" t="n">
        <v>6</v>
      </c>
      <c r="J624" s="33" t="str">
        <f aca="false">INDEX(Lookups_Metadata!$E$4:$E$10, MATCH(I624, Lookups_Metadata!$D$4:$D$10, 0))</f>
        <v>Saturday</v>
      </c>
      <c r="K624" s="33" t="str">
        <f aca="false">IF(H624=TRUE(), "Holiday", IF(OR(I624=0, I624=6), "Weekend", "Weekday"))</f>
        <v>Weekend</v>
      </c>
      <c r="L624" s="33" t="str">
        <f aca="false">IF(AND(K624="Weekday", OR(AND(G624&gt;=7, G624&lt;=9), AND(G624&gt;=17, G624&lt;=19))), "Peak Commute", "Off-Peak")</f>
        <v>Off-Peak</v>
      </c>
      <c r="M624" s="43" t="n">
        <v>1</v>
      </c>
      <c r="N624" s="33" t="str">
        <f aca="false">VLOOKUP(M624, Lookups_Metadata!$G$4:$H$7, 2, FALSE())</f>
        <v>Clear / Few Clouds</v>
      </c>
      <c r="O624" s="46" t="n">
        <v>0.22</v>
      </c>
      <c r="P624" s="46" t="n">
        <v>0.2273</v>
      </c>
      <c r="Q624" s="46" t="n">
        <f aca="false">IF(OR(P624="", ISBLANK(P624)), ROUND(0.9367*O624+0.0175, 4), P624)</f>
        <v>0.2273</v>
      </c>
      <c r="R624" s="33" t="str">
        <f aca="false">IF(OR(P624="", ISBLANK(P624)), "Imputed (Regression/Trend)", "Original")</f>
        <v>Original</v>
      </c>
      <c r="S624" s="46" t="n">
        <v>0.64</v>
      </c>
      <c r="T624" s="46" t="n">
        <v>0.194</v>
      </c>
      <c r="U624" s="18" t="n">
        <v>0</v>
      </c>
      <c r="V624" s="18" t="n">
        <v>20</v>
      </c>
      <c r="W624" s="18" t="n">
        <f aca="false">U624+V624</f>
        <v>20</v>
      </c>
      <c r="X624" s="47" t="n">
        <f aca="false">U624/W624</f>
        <v>0</v>
      </c>
      <c r="Y624" s="47" t="n">
        <f aca="false">V624/W624</f>
        <v>1</v>
      </c>
      <c r="Z624" s="33" t="str">
        <f aca="false">IF(W624&gt;=150, "High Demand", IF(W624&gt;=50, "Moderate Demand", "Low Demand"))</f>
        <v>Low Demand</v>
      </c>
      <c r="AA624" s="45" t="str">
        <f aca="false">TEXT(G624, "00") &amp; ":00"</f>
        <v>01:00</v>
      </c>
      <c r="AB624" s="43" t="n">
        <f aca="false">YEAR(B624)</f>
        <v>2011</v>
      </c>
      <c r="AC624" s="33" t="str">
        <f aca="false">TEXT(B624, "mmmm")</f>
        <v>January</v>
      </c>
      <c r="AD624" s="43" t="n">
        <f aca="false">LEN(TEXT(B624, "YYYY-MM-DD"))</f>
        <v>10</v>
      </c>
      <c r="AE624" s="45" t="str">
        <f aca="false">LEFT(TEXT(B624, "YYYY-MM-DD"), 4)</f>
        <v>2011</v>
      </c>
      <c r="AF624" s="45" t="str">
        <f aca="false">RIGHT(TEXT(B624, "YYYY-MM-DD"), 2)</f>
        <v>29</v>
      </c>
    </row>
    <row r="625" customFormat="false" ht="15" hidden="false" customHeight="false" outlineLevel="0" collapsed="false">
      <c r="A625" s="37" t="n">
        <v>621</v>
      </c>
      <c r="B625" s="38" t="s">
        <v>112</v>
      </c>
      <c r="C625" s="37" t="n">
        <v>1</v>
      </c>
      <c r="D625" s="35" t="str">
        <f aca="false">VLOOKUP(C625, Lookups_Metadata!$A$4:$B$7, 2, FALSE())</f>
        <v>Spring</v>
      </c>
      <c r="E625" s="37" t="n">
        <v>0</v>
      </c>
      <c r="F625" s="37" t="n">
        <v>1</v>
      </c>
      <c r="G625" s="37" t="n">
        <v>2</v>
      </c>
      <c r="H625" s="39" t="b">
        <f aca="false">FALSE()</f>
        <v>0</v>
      </c>
      <c r="I625" s="37" t="n">
        <v>6</v>
      </c>
      <c r="J625" s="35" t="str">
        <f aca="false">INDEX(Lookups_Metadata!$E$4:$E$10, MATCH(I625, Lookups_Metadata!$D$4:$D$10, 0))</f>
        <v>Saturday</v>
      </c>
      <c r="K625" s="35" t="str">
        <f aca="false">IF(H625=TRUE(), "Holiday", IF(OR(I625=0, I625=6), "Weekend", "Weekday"))</f>
        <v>Weekend</v>
      </c>
      <c r="L625" s="35" t="str">
        <f aca="false">IF(AND(K625="Weekday", OR(AND(G625&gt;=7, G625&lt;=9), AND(G625&gt;=17, G625&lt;=19))), "Peak Commute", "Off-Peak")</f>
        <v>Off-Peak</v>
      </c>
      <c r="M625" s="37" t="n">
        <v>1</v>
      </c>
      <c r="N625" s="35" t="str">
        <f aca="false">VLOOKUP(M625, Lookups_Metadata!$G$4:$H$7, 2, FALSE())</f>
        <v>Clear / Few Clouds</v>
      </c>
      <c r="O625" s="40" t="n">
        <v>0.22</v>
      </c>
      <c r="P625" s="40" t="n">
        <v>0.2273</v>
      </c>
      <c r="Q625" s="40" t="n">
        <f aca="false">IF(OR(P625="", ISBLANK(P625)), ROUND(0.9367*O625+0.0175, 4), P625)</f>
        <v>0.2273</v>
      </c>
      <c r="R625" s="35" t="str">
        <f aca="false">IF(OR(P625="", ISBLANK(P625)), "Imputed (Regression/Trend)", "Original")</f>
        <v>Original</v>
      </c>
      <c r="S625" s="40" t="n">
        <v>0.64</v>
      </c>
      <c r="T625" s="40" t="n">
        <v>0.1642</v>
      </c>
      <c r="U625" s="41" t="n">
        <v>0</v>
      </c>
      <c r="V625" s="41" t="n">
        <v>15</v>
      </c>
      <c r="W625" s="41" t="n">
        <f aca="false">U625+V625</f>
        <v>15</v>
      </c>
      <c r="X625" s="42" t="n">
        <f aca="false">U625/W625</f>
        <v>0</v>
      </c>
      <c r="Y625" s="42" t="n">
        <f aca="false">V625/W625</f>
        <v>1</v>
      </c>
      <c r="Z625" s="35" t="str">
        <f aca="false">IF(W625&gt;=150, "High Demand", IF(W625&gt;=50, "Moderate Demand", "Low Demand"))</f>
        <v>Low Demand</v>
      </c>
      <c r="AA625" s="39" t="str">
        <f aca="false">TEXT(G625, "00") &amp; ":00"</f>
        <v>02:00</v>
      </c>
      <c r="AB625" s="37" t="n">
        <f aca="false">YEAR(B625)</f>
        <v>2011</v>
      </c>
      <c r="AC625" s="35" t="str">
        <f aca="false">TEXT(B625, "mmmm")</f>
        <v>January</v>
      </c>
      <c r="AD625" s="37" t="n">
        <f aca="false">LEN(TEXT(B625, "YYYY-MM-DD"))</f>
        <v>10</v>
      </c>
      <c r="AE625" s="39" t="str">
        <f aca="false">LEFT(TEXT(B625, "YYYY-MM-DD"), 4)</f>
        <v>2011</v>
      </c>
      <c r="AF625" s="39" t="str">
        <f aca="false">RIGHT(TEXT(B625, "YYYY-MM-DD"), 2)</f>
        <v>29</v>
      </c>
    </row>
    <row r="626" customFormat="false" ht="15" hidden="false" customHeight="false" outlineLevel="0" collapsed="false">
      <c r="A626" s="43" t="n">
        <v>622</v>
      </c>
      <c r="B626" s="44" t="s">
        <v>112</v>
      </c>
      <c r="C626" s="43" t="n">
        <v>1</v>
      </c>
      <c r="D626" s="33" t="str">
        <f aca="false">VLOOKUP(C626, Lookups_Metadata!$A$4:$B$7, 2, FALSE())</f>
        <v>Spring</v>
      </c>
      <c r="E626" s="43" t="n">
        <v>0</v>
      </c>
      <c r="F626" s="43" t="n">
        <v>1</v>
      </c>
      <c r="G626" s="43" t="n">
        <v>3</v>
      </c>
      <c r="H626" s="45" t="b">
        <f aca="false">FALSE()</f>
        <v>0</v>
      </c>
      <c r="I626" s="43" t="n">
        <v>6</v>
      </c>
      <c r="J626" s="33" t="str">
        <f aca="false">INDEX(Lookups_Metadata!$E$4:$E$10, MATCH(I626, Lookups_Metadata!$D$4:$D$10, 0))</f>
        <v>Saturday</v>
      </c>
      <c r="K626" s="33" t="str">
        <f aca="false">IF(H626=TRUE(), "Holiday", IF(OR(I626=0, I626=6), "Weekend", "Weekday"))</f>
        <v>Weekend</v>
      </c>
      <c r="L626" s="33" t="str">
        <f aca="false">IF(AND(K626="Weekday", OR(AND(G626&gt;=7, G626&lt;=9), AND(G626&gt;=17, G626&lt;=19))), "Peak Commute", "Off-Peak")</f>
        <v>Off-Peak</v>
      </c>
      <c r="M626" s="43" t="n">
        <v>1</v>
      </c>
      <c r="N626" s="33" t="str">
        <f aca="false">VLOOKUP(M626, Lookups_Metadata!$G$4:$H$7, 2, FALSE())</f>
        <v>Clear / Few Clouds</v>
      </c>
      <c r="O626" s="46" t="n">
        <v>0.2</v>
      </c>
      <c r="P626" s="46" t="n">
        <v>0.2121</v>
      </c>
      <c r="Q626" s="46" t="n">
        <f aca="false">IF(OR(P626="", ISBLANK(P626)), ROUND(0.9367*O626+0.0175, 4), P626)</f>
        <v>0.2121</v>
      </c>
      <c r="R626" s="33" t="str">
        <f aca="false">IF(OR(P626="", ISBLANK(P626)), "Imputed (Regression/Trend)", "Original")</f>
        <v>Original</v>
      </c>
      <c r="S626" s="46" t="n">
        <v>0.64</v>
      </c>
      <c r="T626" s="46" t="n">
        <v>0.1343</v>
      </c>
      <c r="U626" s="18" t="n">
        <v>3</v>
      </c>
      <c r="V626" s="18" t="n">
        <v>5</v>
      </c>
      <c r="W626" s="18" t="n">
        <f aca="false">U626+V626</f>
        <v>8</v>
      </c>
      <c r="X626" s="47" t="n">
        <f aca="false">U626/W626</f>
        <v>0.375</v>
      </c>
      <c r="Y626" s="47" t="n">
        <f aca="false">V626/W626</f>
        <v>0.625</v>
      </c>
      <c r="Z626" s="33" t="str">
        <f aca="false">IF(W626&gt;=150, "High Demand", IF(W626&gt;=50, "Moderate Demand", "Low Demand"))</f>
        <v>Low Demand</v>
      </c>
      <c r="AA626" s="45" t="str">
        <f aca="false">TEXT(G626, "00") &amp; ":00"</f>
        <v>03:00</v>
      </c>
      <c r="AB626" s="43" t="n">
        <f aca="false">YEAR(B626)</f>
        <v>2011</v>
      </c>
      <c r="AC626" s="33" t="str">
        <f aca="false">TEXT(B626, "mmmm")</f>
        <v>January</v>
      </c>
      <c r="AD626" s="43" t="n">
        <f aca="false">LEN(TEXT(B626, "YYYY-MM-DD"))</f>
        <v>10</v>
      </c>
      <c r="AE626" s="45" t="str">
        <f aca="false">LEFT(TEXT(B626, "YYYY-MM-DD"), 4)</f>
        <v>2011</v>
      </c>
      <c r="AF626" s="45" t="str">
        <f aca="false">RIGHT(TEXT(B626, "YYYY-MM-DD"), 2)</f>
        <v>29</v>
      </c>
    </row>
    <row r="627" customFormat="false" ht="15" hidden="false" customHeight="false" outlineLevel="0" collapsed="false">
      <c r="A627" s="37" t="n">
        <v>623</v>
      </c>
      <c r="B627" s="38" t="s">
        <v>112</v>
      </c>
      <c r="C627" s="37" t="n">
        <v>1</v>
      </c>
      <c r="D627" s="35" t="str">
        <f aca="false">VLOOKUP(C627, Lookups_Metadata!$A$4:$B$7, 2, FALSE())</f>
        <v>Spring</v>
      </c>
      <c r="E627" s="37" t="n">
        <v>0</v>
      </c>
      <c r="F627" s="37" t="n">
        <v>1</v>
      </c>
      <c r="G627" s="37" t="n">
        <v>4</v>
      </c>
      <c r="H627" s="39" t="b">
        <f aca="false">FALSE()</f>
        <v>0</v>
      </c>
      <c r="I627" s="37" t="n">
        <v>6</v>
      </c>
      <c r="J627" s="35" t="str">
        <f aca="false">INDEX(Lookups_Metadata!$E$4:$E$10, MATCH(I627, Lookups_Metadata!$D$4:$D$10, 0))</f>
        <v>Saturday</v>
      </c>
      <c r="K627" s="35" t="str">
        <f aca="false">IF(H627=TRUE(), "Holiday", IF(OR(I627=0, I627=6), "Weekend", "Weekday"))</f>
        <v>Weekend</v>
      </c>
      <c r="L627" s="35" t="str">
        <f aca="false">IF(AND(K627="Weekday", OR(AND(G627&gt;=7, G627&lt;=9), AND(G627&gt;=17, G627&lt;=19))), "Peak Commute", "Off-Peak")</f>
        <v>Off-Peak</v>
      </c>
      <c r="M627" s="37" t="n">
        <v>1</v>
      </c>
      <c r="N627" s="35" t="str">
        <f aca="false">VLOOKUP(M627, Lookups_Metadata!$G$4:$H$7, 2, FALSE())</f>
        <v>Clear / Few Clouds</v>
      </c>
      <c r="O627" s="40" t="n">
        <v>0.16</v>
      </c>
      <c r="P627" s="40" t="n">
        <v>0.1818</v>
      </c>
      <c r="Q627" s="40" t="n">
        <f aca="false">IF(OR(P627="", ISBLANK(P627)), ROUND(0.9367*O627+0.0175, 4), P627)</f>
        <v>0.1818</v>
      </c>
      <c r="R627" s="35" t="str">
        <f aca="false">IF(OR(P627="", ISBLANK(P627)), "Imputed (Regression/Trend)", "Original")</f>
        <v>Original</v>
      </c>
      <c r="S627" s="40" t="n">
        <v>0.69</v>
      </c>
      <c r="T627" s="40" t="n">
        <v>0.1045</v>
      </c>
      <c r="U627" s="41" t="n">
        <v>1</v>
      </c>
      <c r="V627" s="41" t="n">
        <v>2</v>
      </c>
      <c r="W627" s="41" t="n">
        <f aca="false">U627+V627</f>
        <v>3</v>
      </c>
      <c r="X627" s="42" t="n">
        <f aca="false">U627/W627</f>
        <v>0.333333333333333</v>
      </c>
      <c r="Y627" s="42" t="n">
        <f aca="false">V627/W627</f>
        <v>0.666666666666667</v>
      </c>
      <c r="Z627" s="35" t="str">
        <f aca="false">IF(W627&gt;=150, "High Demand", IF(W627&gt;=50, "Moderate Demand", "Low Demand"))</f>
        <v>Low Demand</v>
      </c>
      <c r="AA627" s="39" t="str">
        <f aca="false">TEXT(G627, "00") &amp; ":00"</f>
        <v>04:00</v>
      </c>
      <c r="AB627" s="37" t="n">
        <f aca="false">YEAR(B627)</f>
        <v>2011</v>
      </c>
      <c r="AC627" s="35" t="str">
        <f aca="false">TEXT(B627, "mmmm")</f>
        <v>January</v>
      </c>
      <c r="AD627" s="37" t="n">
        <f aca="false">LEN(TEXT(B627, "YYYY-MM-DD"))</f>
        <v>10</v>
      </c>
      <c r="AE627" s="39" t="str">
        <f aca="false">LEFT(TEXT(B627, "YYYY-MM-DD"), 4)</f>
        <v>2011</v>
      </c>
      <c r="AF627" s="39" t="str">
        <f aca="false">RIGHT(TEXT(B627, "YYYY-MM-DD"), 2)</f>
        <v>29</v>
      </c>
    </row>
    <row r="628" customFormat="false" ht="15" hidden="false" customHeight="false" outlineLevel="0" collapsed="false">
      <c r="A628" s="43" t="n">
        <v>624</v>
      </c>
      <c r="B628" s="44" t="s">
        <v>112</v>
      </c>
      <c r="C628" s="43" t="n">
        <v>1</v>
      </c>
      <c r="D628" s="33" t="str">
        <f aca="false">VLOOKUP(C628, Lookups_Metadata!$A$4:$B$7, 2, FALSE())</f>
        <v>Spring</v>
      </c>
      <c r="E628" s="43" t="n">
        <v>0</v>
      </c>
      <c r="F628" s="43" t="n">
        <v>1</v>
      </c>
      <c r="G628" s="43" t="n">
        <v>6</v>
      </c>
      <c r="H628" s="45" t="b">
        <f aca="false">FALSE()</f>
        <v>0</v>
      </c>
      <c r="I628" s="43" t="n">
        <v>6</v>
      </c>
      <c r="J628" s="33" t="str">
        <f aca="false">INDEX(Lookups_Metadata!$E$4:$E$10, MATCH(I628, Lookups_Metadata!$D$4:$D$10, 0))</f>
        <v>Saturday</v>
      </c>
      <c r="K628" s="33" t="str">
        <f aca="false">IF(H628=TRUE(), "Holiday", IF(OR(I628=0, I628=6), "Weekend", "Weekday"))</f>
        <v>Weekend</v>
      </c>
      <c r="L628" s="33" t="str">
        <f aca="false">IF(AND(K628="Weekday", OR(AND(G628&gt;=7, G628&lt;=9), AND(G628&gt;=17, G628&lt;=19))), "Peak Commute", "Off-Peak")</f>
        <v>Off-Peak</v>
      </c>
      <c r="M628" s="43" t="n">
        <v>1</v>
      </c>
      <c r="N628" s="33" t="str">
        <f aca="false">VLOOKUP(M628, Lookups_Metadata!$G$4:$H$7, 2, FALSE())</f>
        <v>Clear / Few Clouds</v>
      </c>
      <c r="O628" s="46" t="n">
        <v>0.16</v>
      </c>
      <c r="P628" s="46" t="n">
        <v>0.1818</v>
      </c>
      <c r="Q628" s="46" t="n">
        <f aca="false">IF(OR(P628="", ISBLANK(P628)), ROUND(0.9367*O628+0.0175, 4), P628)</f>
        <v>0.1818</v>
      </c>
      <c r="R628" s="33" t="str">
        <f aca="false">IF(OR(P628="", ISBLANK(P628)), "Imputed (Regression/Trend)", "Original")</f>
        <v>Original</v>
      </c>
      <c r="S628" s="46" t="n">
        <v>0.64</v>
      </c>
      <c r="T628" s="46" t="n">
        <v>0.1343</v>
      </c>
      <c r="U628" s="18" t="n">
        <v>0</v>
      </c>
      <c r="V628" s="18" t="n">
        <v>2</v>
      </c>
      <c r="W628" s="18" t="n">
        <f aca="false">U628+V628</f>
        <v>2</v>
      </c>
      <c r="X628" s="47" t="n">
        <f aca="false">U628/W628</f>
        <v>0</v>
      </c>
      <c r="Y628" s="47" t="n">
        <f aca="false">V628/W628</f>
        <v>1</v>
      </c>
      <c r="Z628" s="33" t="str">
        <f aca="false">IF(W628&gt;=150, "High Demand", IF(W628&gt;=50, "Moderate Demand", "Low Demand"))</f>
        <v>Low Demand</v>
      </c>
      <c r="AA628" s="45" t="str">
        <f aca="false">TEXT(G628, "00") &amp; ":00"</f>
        <v>06:00</v>
      </c>
      <c r="AB628" s="43" t="n">
        <f aca="false">YEAR(B628)</f>
        <v>2011</v>
      </c>
      <c r="AC628" s="33" t="str">
        <f aca="false">TEXT(B628, "mmmm")</f>
        <v>January</v>
      </c>
      <c r="AD628" s="43" t="n">
        <f aca="false">LEN(TEXT(B628, "YYYY-MM-DD"))</f>
        <v>10</v>
      </c>
      <c r="AE628" s="45" t="str">
        <f aca="false">LEFT(TEXT(B628, "YYYY-MM-DD"), 4)</f>
        <v>2011</v>
      </c>
      <c r="AF628" s="45" t="str">
        <f aca="false">RIGHT(TEXT(B628, "YYYY-MM-DD"), 2)</f>
        <v>29</v>
      </c>
    </row>
    <row r="629" customFormat="false" ht="15" hidden="false" customHeight="false" outlineLevel="0" collapsed="false">
      <c r="A629" s="37" t="n">
        <v>625</v>
      </c>
      <c r="B629" s="38" t="s">
        <v>112</v>
      </c>
      <c r="C629" s="37" t="n">
        <v>1</v>
      </c>
      <c r="D629" s="35" t="str">
        <f aca="false">VLOOKUP(C629, Lookups_Metadata!$A$4:$B$7, 2, FALSE())</f>
        <v>Spring</v>
      </c>
      <c r="E629" s="37" t="n">
        <v>0</v>
      </c>
      <c r="F629" s="37" t="n">
        <v>1</v>
      </c>
      <c r="G629" s="37" t="n">
        <v>7</v>
      </c>
      <c r="H629" s="39" t="b">
        <f aca="false">FALSE()</f>
        <v>0</v>
      </c>
      <c r="I629" s="37" t="n">
        <v>6</v>
      </c>
      <c r="J629" s="35" t="str">
        <f aca="false">INDEX(Lookups_Metadata!$E$4:$E$10, MATCH(I629, Lookups_Metadata!$D$4:$D$10, 0))</f>
        <v>Saturday</v>
      </c>
      <c r="K629" s="35" t="str">
        <f aca="false">IF(H629=TRUE(), "Holiday", IF(OR(I629=0, I629=6), "Weekend", "Weekday"))</f>
        <v>Weekend</v>
      </c>
      <c r="L629" s="35" t="str">
        <f aca="false">IF(AND(K629="Weekday", OR(AND(G629&gt;=7, G629&lt;=9), AND(G629&gt;=17, G629&lt;=19))), "Peak Commute", "Off-Peak")</f>
        <v>Off-Peak</v>
      </c>
      <c r="M629" s="37" t="n">
        <v>1</v>
      </c>
      <c r="N629" s="35" t="str">
        <f aca="false">VLOOKUP(M629, Lookups_Metadata!$G$4:$H$7, 2, FALSE())</f>
        <v>Clear / Few Clouds</v>
      </c>
      <c r="O629" s="40" t="n">
        <v>0.16</v>
      </c>
      <c r="P629" s="40" t="n">
        <v>0.1818</v>
      </c>
      <c r="Q629" s="40" t="n">
        <f aca="false">IF(OR(P629="", ISBLANK(P629)), ROUND(0.9367*O629+0.0175, 4), P629)</f>
        <v>0.1818</v>
      </c>
      <c r="R629" s="35" t="str">
        <f aca="false">IF(OR(P629="", ISBLANK(P629)), "Imputed (Regression/Trend)", "Original")</f>
        <v>Original</v>
      </c>
      <c r="S629" s="40" t="n">
        <v>0.59</v>
      </c>
      <c r="T629" s="40" t="n">
        <v>0.1045</v>
      </c>
      <c r="U629" s="41" t="n">
        <v>1</v>
      </c>
      <c r="V629" s="41" t="n">
        <v>4</v>
      </c>
      <c r="W629" s="41" t="n">
        <f aca="false">U629+V629</f>
        <v>5</v>
      </c>
      <c r="X629" s="42" t="n">
        <f aca="false">U629/W629</f>
        <v>0.2</v>
      </c>
      <c r="Y629" s="42" t="n">
        <f aca="false">V629/W629</f>
        <v>0.8</v>
      </c>
      <c r="Z629" s="35" t="str">
        <f aca="false">IF(W629&gt;=150, "High Demand", IF(W629&gt;=50, "Moderate Demand", "Low Demand"))</f>
        <v>Low Demand</v>
      </c>
      <c r="AA629" s="39" t="str">
        <f aca="false">TEXT(G629, "00") &amp; ":00"</f>
        <v>07:00</v>
      </c>
      <c r="AB629" s="37" t="n">
        <f aca="false">YEAR(B629)</f>
        <v>2011</v>
      </c>
      <c r="AC629" s="35" t="str">
        <f aca="false">TEXT(B629, "mmmm")</f>
        <v>January</v>
      </c>
      <c r="AD629" s="37" t="n">
        <f aca="false">LEN(TEXT(B629, "YYYY-MM-DD"))</f>
        <v>10</v>
      </c>
      <c r="AE629" s="39" t="str">
        <f aca="false">LEFT(TEXT(B629, "YYYY-MM-DD"), 4)</f>
        <v>2011</v>
      </c>
      <c r="AF629" s="39" t="str">
        <f aca="false">RIGHT(TEXT(B629, "YYYY-MM-DD"), 2)</f>
        <v>29</v>
      </c>
    </row>
    <row r="630" customFormat="false" ht="15" hidden="false" customHeight="false" outlineLevel="0" collapsed="false">
      <c r="A630" s="43" t="n">
        <v>626</v>
      </c>
      <c r="B630" s="44" t="s">
        <v>112</v>
      </c>
      <c r="C630" s="43" t="n">
        <v>1</v>
      </c>
      <c r="D630" s="33" t="str">
        <f aca="false">VLOOKUP(C630, Lookups_Metadata!$A$4:$B$7, 2, FALSE())</f>
        <v>Spring</v>
      </c>
      <c r="E630" s="43" t="n">
        <v>0</v>
      </c>
      <c r="F630" s="43" t="n">
        <v>1</v>
      </c>
      <c r="G630" s="43" t="n">
        <v>8</v>
      </c>
      <c r="H630" s="45" t="b">
        <f aca="false">FALSE()</f>
        <v>0</v>
      </c>
      <c r="I630" s="43" t="n">
        <v>6</v>
      </c>
      <c r="J630" s="33" t="str">
        <f aca="false">INDEX(Lookups_Metadata!$E$4:$E$10, MATCH(I630, Lookups_Metadata!$D$4:$D$10, 0))</f>
        <v>Saturday</v>
      </c>
      <c r="K630" s="33" t="str">
        <f aca="false">IF(H630=TRUE(), "Holiday", IF(OR(I630=0, I630=6), "Weekend", "Weekday"))</f>
        <v>Weekend</v>
      </c>
      <c r="L630" s="33" t="str">
        <f aca="false">IF(AND(K630="Weekday", OR(AND(G630&gt;=7, G630&lt;=9), AND(G630&gt;=17, G630&lt;=19))), "Peak Commute", "Off-Peak")</f>
        <v>Off-Peak</v>
      </c>
      <c r="M630" s="43" t="n">
        <v>1</v>
      </c>
      <c r="N630" s="33" t="str">
        <f aca="false">VLOOKUP(M630, Lookups_Metadata!$G$4:$H$7, 2, FALSE())</f>
        <v>Clear / Few Clouds</v>
      </c>
      <c r="O630" s="46" t="n">
        <v>0.18</v>
      </c>
      <c r="P630" s="46" t="n">
        <v>0.197</v>
      </c>
      <c r="Q630" s="46" t="n">
        <f aca="false">IF(OR(P630="", ISBLANK(P630)), ROUND(0.9367*O630+0.0175, 4), P630)</f>
        <v>0.197</v>
      </c>
      <c r="R630" s="33" t="str">
        <f aca="false">IF(OR(P630="", ISBLANK(P630)), "Imputed (Regression/Trend)", "Original")</f>
        <v>Original</v>
      </c>
      <c r="S630" s="46" t="n">
        <v>0.55</v>
      </c>
      <c r="T630" s="46" t="n">
        <v>0.1642</v>
      </c>
      <c r="U630" s="18" t="n">
        <v>3</v>
      </c>
      <c r="V630" s="18" t="n">
        <v>31</v>
      </c>
      <c r="W630" s="18" t="n">
        <f aca="false">U630+V630</f>
        <v>34</v>
      </c>
      <c r="X630" s="47" t="n">
        <f aca="false">U630/W630</f>
        <v>0.0882352941176471</v>
      </c>
      <c r="Y630" s="47" t="n">
        <f aca="false">V630/W630</f>
        <v>0.911764705882353</v>
      </c>
      <c r="Z630" s="33" t="str">
        <f aca="false">IF(W630&gt;=150, "High Demand", IF(W630&gt;=50, "Moderate Demand", "Low Demand"))</f>
        <v>Low Demand</v>
      </c>
      <c r="AA630" s="45" t="str">
        <f aca="false">TEXT(G630, "00") &amp; ":00"</f>
        <v>08:00</v>
      </c>
      <c r="AB630" s="43" t="n">
        <f aca="false">YEAR(B630)</f>
        <v>2011</v>
      </c>
      <c r="AC630" s="33" t="str">
        <f aca="false">TEXT(B630, "mmmm")</f>
        <v>January</v>
      </c>
      <c r="AD630" s="43" t="n">
        <f aca="false">LEN(TEXT(B630, "YYYY-MM-DD"))</f>
        <v>10</v>
      </c>
      <c r="AE630" s="45" t="str">
        <f aca="false">LEFT(TEXT(B630, "YYYY-MM-DD"), 4)</f>
        <v>2011</v>
      </c>
      <c r="AF630" s="45" t="str">
        <f aca="false">RIGHT(TEXT(B630, "YYYY-MM-DD"), 2)</f>
        <v>29</v>
      </c>
    </row>
    <row r="631" customFormat="false" ht="15" hidden="false" customHeight="false" outlineLevel="0" collapsed="false">
      <c r="A631" s="37" t="n">
        <v>627</v>
      </c>
      <c r="B631" s="38" t="s">
        <v>112</v>
      </c>
      <c r="C631" s="37" t="n">
        <v>1</v>
      </c>
      <c r="D631" s="35" t="str">
        <f aca="false">VLOOKUP(C631, Lookups_Metadata!$A$4:$B$7, 2, FALSE())</f>
        <v>Spring</v>
      </c>
      <c r="E631" s="37" t="n">
        <v>0</v>
      </c>
      <c r="F631" s="37" t="n">
        <v>1</v>
      </c>
      <c r="G631" s="37" t="n">
        <v>9</v>
      </c>
      <c r="H631" s="39" t="b">
        <f aca="false">FALSE()</f>
        <v>0</v>
      </c>
      <c r="I631" s="37" t="n">
        <v>6</v>
      </c>
      <c r="J631" s="35" t="str">
        <f aca="false">INDEX(Lookups_Metadata!$E$4:$E$10, MATCH(I631, Lookups_Metadata!$D$4:$D$10, 0))</f>
        <v>Saturday</v>
      </c>
      <c r="K631" s="35" t="str">
        <f aca="false">IF(H631=TRUE(), "Holiday", IF(OR(I631=0, I631=6), "Weekend", "Weekday"))</f>
        <v>Weekend</v>
      </c>
      <c r="L631" s="35" t="str">
        <f aca="false">IF(AND(K631="Weekday", OR(AND(G631&gt;=7, G631&lt;=9), AND(G631&gt;=17, G631&lt;=19))), "Peak Commute", "Off-Peak")</f>
        <v>Off-Peak</v>
      </c>
      <c r="M631" s="37" t="n">
        <v>1</v>
      </c>
      <c r="N631" s="35" t="str">
        <f aca="false">VLOOKUP(M631, Lookups_Metadata!$G$4:$H$7, 2, FALSE())</f>
        <v>Clear / Few Clouds</v>
      </c>
      <c r="O631" s="40" t="n">
        <v>0.18</v>
      </c>
      <c r="P631" s="40" t="n">
        <v>0.2121</v>
      </c>
      <c r="Q631" s="40" t="n">
        <f aca="false">IF(OR(P631="", ISBLANK(P631)), ROUND(0.9367*O631+0.0175, 4), P631)</f>
        <v>0.2121</v>
      </c>
      <c r="R631" s="35" t="str">
        <f aca="false">IF(OR(P631="", ISBLANK(P631)), "Imputed (Regression/Trend)", "Original")</f>
        <v>Original</v>
      </c>
      <c r="S631" s="40" t="n">
        <v>0.59</v>
      </c>
      <c r="T631" s="40" t="n">
        <v>0.0896</v>
      </c>
      <c r="U631" s="41" t="n">
        <v>0</v>
      </c>
      <c r="V631" s="41" t="n">
        <v>34</v>
      </c>
      <c r="W631" s="41" t="n">
        <f aca="false">U631+V631</f>
        <v>34</v>
      </c>
      <c r="X631" s="42" t="n">
        <f aca="false">U631/W631</f>
        <v>0</v>
      </c>
      <c r="Y631" s="42" t="n">
        <f aca="false">V631/W631</f>
        <v>1</v>
      </c>
      <c r="Z631" s="35" t="str">
        <f aca="false">IF(W631&gt;=150, "High Demand", IF(W631&gt;=50, "Moderate Demand", "Low Demand"))</f>
        <v>Low Demand</v>
      </c>
      <c r="AA631" s="39" t="str">
        <f aca="false">TEXT(G631, "00") &amp; ":00"</f>
        <v>09:00</v>
      </c>
      <c r="AB631" s="37" t="n">
        <f aca="false">YEAR(B631)</f>
        <v>2011</v>
      </c>
      <c r="AC631" s="35" t="str">
        <f aca="false">TEXT(B631, "mmmm")</f>
        <v>January</v>
      </c>
      <c r="AD631" s="37" t="n">
        <f aca="false">LEN(TEXT(B631, "YYYY-MM-DD"))</f>
        <v>10</v>
      </c>
      <c r="AE631" s="39" t="str">
        <f aca="false">LEFT(TEXT(B631, "YYYY-MM-DD"), 4)</f>
        <v>2011</v>
      </c>
      <c r="AF631" s="39" t="str">
        <f aca="false">RIGHT(TEXT(B631, "YYYY-MM-DD"), 2)</f>
        <v>29</v>
      </c>
    </row>
    <row r="632" customFormat="false" ht="15" hidden="false" customHeight="false" outlineLevel="0" collapsed="false">
      <c r="A632" s="43" t="n">
        <v>628</v>
      </c>
      <c r="B632" s="44" t="s">
        <v>112</v>
      </c>
      <c r="C632" s="43" t="n">
        <v>1</v>
      </c>
      <c r="D632" s="33" t="str">
        <f aca="false">VLOOKUP(C632, Lookups_Metadata!$A$4:$B$7, 2, FALSE())</f>
        <v>Spring</v>
      </c>
      <c r="E632" s="43" t="n">
        <v>0</v>
      </c>
      <c r="F632" s="43" t="n">
        <v>1</v>
      </c>
      <c r="G632" s="43" t="n">
        <v>10</v>
      </c>
      <c r="H632" s="45" t="b">
        <f aca="false">FALSE()</f>
        <v>0</v>
      </c>
      <c r="I632" s="43" t="n">
        <v>6</v>
      </c>
      <c r="J632" s="33" t="str">
        <f aca="false">INDEX(Lookups_Metadata!$E$4:$E$10, MATCH(I632, Lookups_Metadata!$D$4:$D$10, 0))</f>
        <v>Saturday</v>
      </c>
      <c r="K632" s="33" t="str">
        <f aca="false">IF(H632=TRUE(), "Holiday", IF(OR(I632=0, I632=6), "Weekend", "Weekday"))</f>
        <v>Weekend</v>
      </c>
      <c r="L632" s="33" t="str">
        <f aca="false">IF(AND(K632="Weekday", OR(AND(G632&gt;=7, G632&lt;=9), AND(G632&gt;=17, G632&lt;=19))), "Peak Commute", "Off-Peak")</f>
        <v>Off-Peak</v>
      </c>
      <c r="M632" s="43" t="n">
        <v>2</v>
      </c>
      <c r="N632" s="33" t="str">
        <f aca="false">VLOOKUP(M632, Lookups_Metadata!$G$4:$H$7, 2, FALSE())</f>
        <v>Mist / Cloudy</v>
      </c>
      <c r="O632" s="46" t="n">
        <v>0.18</v>
      </c>
      <c r="P632" s="46" t="n">
        <v>0.2121</v>
      </c>
      <c r="Q632" s="46" t="n">
        <f aca="false">IF(OR(P632="", ISBLANK(P632)), ROUND(0.9367*O632+0.0175, 4), P632)</f>
        <v>0.2121</v>
      </c>
      <c r="R632" s="33" t="str">
        <f aca="false">IF(OR(P632="", ISBLANK(P632)), "Imputed (Regression/Trend)", "Original")</f>
        <v>Original</v>
      </c>
      <c r="S632" s="46" t="n">
        <v>0.64</v>
      </c>
      <c r="T632" s="46" t="n">
        <v>0.1045</v>
      </c>
      <c r="U632" s="18" t="n">
        <v>4</v>
      </c>
      <c r="V632" s="18" t="n">
        <v>51</v>
      </c>
      <c r="W632" s="18" t="n">
        <f aca="false">U632+V632</f>
        <v>55</v>
      </c>
      <c r="X632" s="47" t="n">
        <f aca="false">U632/W632</f>
        <v>0.0727272727272727</v>
      </c>
      <c r="Y632" s="47" t="n">
        <f aca="false">V632/W632</f>
        <v>0.927272727272727</v>
      </c>
      <c r="Z632" s="33" t="str">
        <f aca="false">IF(W632&gt;=150, "High Demand", IF(W632&gt;=50, "Moderate Demand", "Low Demand"))</f>
        <v>Moderate Demand</v>
      </c>
      <c r="AA632" s="45" t="str">
        <f aca="false">TEXT(G632, "00") &amp; ":00"</f>
        <v>10:00</v>
      </c>
      <c r="AB632" s="43" t="n">
        <f aca="false">YEAR(B632)</f>
        <v>2011</v>
      </c>
      <c r="AC632" s="33" t="str">
        <f aca="false">TEXT(B632, "mmmm")</f>
        <v>January</v>
      </c>
      <c r="AD632" s="43" t="n">
        <f aca="false">LEN(TEXT(B632, "YYYY-MM-DD"))</f>
        <v>10</v>
      </c>
      <c r="AE632" s="45" t="str">
        <f aca="false">LEFT(TEXT(B632, "YYYY-MM-DD"), 4)</f>
        <v>2011</v>
      </c>
      <c r="AF632" s="45" t="str">
        <f aca="false">RIGHT(TEXT(B632, "YYYY-MM-DD"), 2)</f>
        <v>29</v>
      </c>
    </row>
    <row r="633" customFormat="false" ht="15" hidden="false" customHeight="false" outlineLevel="0" collapsed="false">
      <c r="A633" s="37" t="n">
        <v>629</v>
      </c>
      <c r="B633" s="38" t="s">
        <v>112</v>
      </c>
      <c r="C633" s="37" t="n">
        <v>1</v>
      </c>
      <c r="D633" s="35" t="str">
        <f aca="false">VLOOKUP(C633, Lookups_Metadata!$A$4:$B$7, 2, FALSE())</f>
        <v>Spring</v>
      </c>
      <c r="E633" s="37" t="n">
        <v>0</v>
      </c>
      <c r="F633" s="37" t="n">
        <v>1</v>
      </c>
      <c r="G633" s="37" t="n">
        <v>11</v>
      </c>
      <c r="H633" s="39" t="b">
        <f aca="false">FALSE()</f>
        <v>0</v>
      </c>
      <c r="I633" s="37" t="n">
        <v>6</v>
      </c>
      <c r="J633" s="35" t="str">
        <f aca="false">INDEX(Lookups_Metadata!$E$4:$E$10, MATCH(I633, Lookups_Metadata!$D$4:$D$10, 0))</f>
        <v>Saturday</v>
      </c>
      <c r="K633" s="35" t="str">
        <f aca="false">IF(H633=TRUE(), "Holiday", IF(OR(I633=0, I633=6), "Weekend", "Weekday"))</f>
        <v>Weekend</v>
      </c>
      <c r="L633" s="35" t="str">
        <f aca="false">IF(AND(K633="Weekday", OR(AND(G633&gt;=7, G633&lt;=9), AND(G633&gt;=17, G633&lt;=19))), "Peak Commute", "Off-Peak")</f>
        <v>Off-Peak</v>
      </c>
      <c r="M633" s="37" t="n">
        <v>2</v>
      </c>
      <c r="N633" s="35" t="str">
        <f aca="false">VLOOKUP(M633, Lookups_Metadata!$G$4:$H$7, 2, FALSE())</f>
        <v>Mist / Cloudy</v>
      </c>
      <c r="O633" s="40" t="n">
        <v>0.18</v>
      </c>
      <c r="P633" s="40" t="n">
        <v>0.197</v>
      </c>
      <c r="Q633" s="40" t="n">
        <f aca="false">IF(OR(P633="", ISBLANK(P633)), ROUND(0.9367*O633+0.0175, 4), P633)</f>
        <v>0.197</v>
      </c>
      <c r="R633" s="35" t="str">
        <f aca="false">IF(OR(P633="", ISBLANK(P633)), "Imputed (Regression/Trend)", "Original")</f>
        <v>Original</v>
      </c>
      <c r="S633" s="40" t="n">
        <v>0.64</v>
      </c>
      <c r="T633" s="40" t="n">
        <v>0.1343</v>
      </c>
      <c r="U633" s="41" t="n">
        <v>4</v>
      </c>
      <c r="V633" s="41" t="n">
        <v>60</v>
      </c>
      <c r="W633" s="41" t="n">
        <f aca="false">U633+V633</f>
        <v>64</v>
      </c>
      <c r="X633" s="42" t="n">
        <f aca="false">U633/W633</f>
        <v>0.0625</v>
      </c>
      <c r="Y633" s="42" t="n">
        <f aca="false">V633/W633</f>
        <v>0.9375</v>
      </c>
      <c r="Z633" s="35" t="str">
        <f aca="false">IF(W633&gt;=150, "High Demand", IF(W633&gt;=50, "Moderate Demand", "Low Demand"))</f>
        <v>Moderate Demand</v>
      </c>
      <c r="AA633" s="39" t="str">
        <f aca="false">TEXT(G633, "00") &amp; ":00"</f>
        <v>11:00</v>
      </c>
      <c r="AB633" s="37" t="n">
        <f aca="false">YEAR(B633)</f>
        <v>2011</v>
      </c>
      <c r="AC633" s="35" t="str">
        <f aca="false">TEXT(B633, "mmmm")</f>
        <v>January</v>
      </c>
      <c r="AD633" s="37" t="n">
        <f aca="false">LEN(TEXT(B633, "YYYY-MM-DD"))</f>
        <v>10</v>
      </c>
      <c r="AE633" s="39" t="str">
        <f aca="false">LEFT(TEXT(B633, "YYYY-MM-DD"), 4)</f>
        <v>2011</v>
      </c>
      <c r="AF633" s="39" t="str">
        <f aca="false">RIGHT(TEXT(B633, "YYYY-MM-DD"), 2)</f>
        <v>29</v>
      </c>
    </row>
    <row r="634" customFormat="false" ht="15" hidden="false" customHeight="false" outlineLevel="0" collapsed="false">
      <c r="A634" s="43" t="n">
        <v>630</v>
      </c>
      <c r="B634" s="44" t="s">
        <v>112</v>
      </c>
      <c r="C634" s="43" t="n">
        <v>1</v>
      </c>
      <c r="D634" s="33" t="str">
        <f aca="false">VLOOKUP(C634, Lookups_Metadata!$A$4:$B$7, 2, FALSE())</f>
        <v>Spring</v>
      </c>
      <c r="E634" s="43" t="n">
        <v>0</v>
      </c>
      <c r="F634" s="43" t="n">
        <v>1</v>
      </c>
      <c r="G634" s="43" t="n">
        <v>12</v>
      </c>
      <c r="H634" s="45" t="b">
        <f aca="false">FALSE()</f>
        <v>0</v>
      </c>
      <c r="I634" s="43" t="n">
        <v>6</v>
      </c>
      <c r="J634" s="33" t="str">
        <f aca="false">INDEX(Lookups_Metadata!$E$4:$E$10, MATCH(I634, Lookups_Metadata!$D$4:$D$10, 0))</f>
        <v>Saturday</v>
      </c>
      <c r="K634" s="33" t="str">
        <f aca="false">IF(H634=TRUE(), "Holiday", IF(OR(I634=0, I634=6), "Weekend", "Weekday"))</f>
        <v>Weekend</v>
      </c>
      <c r="L634" s="33" t="str">
        <f aca="false">IF(AND(K634="Weekday", OR(AND(G634&gt;=7, G634&lt;=9), AND(G634&gt;=17, G634&lt;=19))), "Peak Commute", "Off-Peak")</f>
        <v>Off-Peak</v>
      </c>
      <c r="M634" s="43" t="n">
        <v>2</v>
      </c>
      <c r="N634" s="33" t="str">
        <f aca="false">VLOOKUP(M634, Lookups_Metadata!$G$4:$H$7, 2, FALSE())</f>
        <v>Mist / Cloudy</v>
      </c>
      <c r="O634" s="46" t="n">
        <v>0.2</v>
      </c>
      <c r="P634" s="46" t="n">
        <v>0.197</v>
      </c>
      <c r="Q634" s="46" t="n">
        <f aca="false">IF(OR(P634="", ISBLANK(P634)), ROUND(0.9367*O634+0.0175, 4), P634)</f>
        <v>0.197</v>
      </c>
      <c r="R634" s="33" t="str">
        <f aca="false">IF(OR(P634="", ISBLANK(P634)), "Imputed (Regression/Trend)", "Original")</f>
        <v>Original</v>
      </c>
      <c r="S634" s="46" t="n">
        <v>0.59</v>
      </c>
      <c r="T634" s="46" t="n">
        <v>0.194</v>
      </c>
      <c r="U634" s="18" t="n">
        <v>12</v>
      </c>
      <c r="V634" s="18" t="n">
        <v>66</v>
      </c>
      <c r="W634" s="18" t="n">
        <f aca="false">U634+V634</f>
        <v>78</v>
      </c>
      <c r="X634" s="47" t="n">
        <f aca="false">U634/W634</f>
        <v>0.153846153846154</v>
      </c>
      <c r="Y634" s="47" t="n">
        <f aca="false">V634/W634</f>
        <v>0.846153846153846</v>
      </c>
      <c r="Z634" s="33" t="str">
        <f aca="false">IF(W634&gt;=150, "High Demand", IF(W634&gt;=50, "Moderate Demand", "Low Demand"))</f>
        <v>Moderate Demand</v>
      </c>
      <c r="AA634" s="45" t="str">
        <f aca="false">TEXT(G634, "00") &amp; ":00"</f>
        <v>12:00</v>
      </c>
      <c r="AB634" s="43" t="n">
        <f aca="false">YEAR(B634)</f>
        <v>2011</v>
      </c>
      <c r="AC634" s="33" t="str">
        <f aca="false">TEXT(B634, "mmmm")</f>
        <v>January</v>
      </c>
      <c r="AD634" s="43" t="n">
        <f aca="false">LEN(TEXT(B634, "YYYY-MM-DD"))</f>
        <v>10</v>
      </c>
      <c r="AE634" s="45" t="str">
        <f aca="false">LEFT(TEXT(B634, "YYYY-MM-DD"), 4)</f>
        <v>2011</v>
      </c>
      <c r="AF634" s="45" t="str">
        <f aca="false">RIGHT(TEXT(B634, "YYYY-MM-DD"), 2)</f>
        <v>29</v>
      </c>
    </row>
    <row r="635" customFormat="false" ht="15" hidden="false" customHeight="false" outlineLevel="0" collapsed="false">
      <c r="A635" s="37" t="n">
        <v>631</v>
      </c>
      <c r="B635" s="38" t="s">
        <v>112</v>
      </c>
      <c r="C635" s="37" t="n">
        <v>1</v>
      </c>
      <c r="D635" s="35" t="str">
        <f aca="false">VLOOKUP(C635, Lookups_Metadata!$A$4:$B$7, 2, FALSE())</f>
        <v>Spring</v>
      </c>
      <c r="E635" s="37" t="n">
        <v>0</v>
      </c>
      <c r="F635" s="37" t="n">
        <v>1</v>
      </c>
      <c r="G635" s="37" t="n">
        <v>13</v>
      </c>
      <c r="H635" s="39" t="b">
        <f aca="false">FALSE()</f>
        <v>0</v>
      </c>
      <c r="I635" s="37" t="n">
        <v>6</v>
      </c>
      <c r="J635" s="35" t="str">
        <f aca="false">INDEX(Lookups_Metadata!$E$4:$E$10, MATCH(I635, Lookups_Metadata!$D$4:$D$10, 0))</f>
        <v>Saturday</v>
      </c>
      <c r="K635" s="35" t="str">
        <f aca="false">IF(H635=TRUE(), "Holiday", IF(OR(I635=0, I635=6), "Weekend", "Weekday"))</f>
        <v>Weekend</v>
      </c>
      <c r="L635" s="35" t="str">
        <f aca="false">IF(AND(K635="Weekday", OR(AND(G635&gt;=7, G635&lt;=9), AND(G635&gt;=17, G635&lt;=19))), "Peak Commute", "Off-Peak")</f>
        <v>Off-Peak</v>
      </c>
      <c r="M635" s="37" t="n">
        <v>2</v>
      </c>
      <c r="N635" s="35" t="str">
        <f aca="false">VLOOKUP(M635, Lookups_Metadata!$G$4:$H$7, 2, FALSE())</f>
        <v>Mist / Cloudy</v>
      </c>
      <c r="O635" s="40" t="n">
        <v>0.22</v>
      </c>
      <c r="P635" s="40" t="n">
        <v>0.2273</v>
      </c>
      <c r="Q635" s="40" t="n">
        <f aca="false">IF(OR(P635="", ISBLANK(P635)), ROUND(0.9367*O635+0.0175, 4), P635)</f>
        <v>0.2273</v>
      </c>
      <c r="R635" s="35" t="str">
        <f aca="false">IF(OR(P635="", ISBLANK(P635)), "Imputed (Regression/Trend)", "Original")</f>
        <v>Original</v>
      </c>
      <c r="S635" s="40" t="n">
        <v>0.55</v>
      </c>
      <c r="T635" s="40" t="n">
        <v>0.1642</v>
      </c>
      <c r="U635" s="41" t="n">
        <v>9</v>
      </c>
      <c r="V635" s="41" t="n">
        <v>56</v>
      </c>
      <c r="W635" s="41" t="n">
        <f aca="false">U635+V635</f>
        <v>65</v>
      </c>
      <c r="X635" s="42" t="n">
        <f aca="false">U635/W635</f>
        <v>0.138461538461538</v>
      </c>
      <c r="Y635" s="42" t="n">
        <f aca="false">V635/W635</f>
        <v>0.861538461538462</v>
      </c>
      <c r="Z635" s="35" t="str">
        <f aca="false">IF(W635&gt;=150, "High Demand", IF(W635&gt;=50, "Moderate Demand", "Low Demand"))</f>
        <v>Moderate Demand</v>
      </c>
      <c r="AA635" s="39" t="str">
        <f aca="false">TEXT(G635, "00") &amp; ":00"</f>
        <v>13:00</v>
      </c>
      <c r="AB635" s="37" t="n">
        <f aca="false">YEAR(B635)</f>
        <v>2011</v>
      </c>
      <c r="AC635" s="35" t="str">
        <f aca="false">TEXT(B635, "mmmm")</f>
        <v>January</v>
      </c>
      <c r="AD635" s="37" t="n">
        <f aca="false">LEN(TEXT(B635, "YYYY-MM-DD"))</f>
        <v>10</v>
      </c>
      <c r="AE635" s="39" t="str">
        <f aca="false">LEFT(TEXT(B635, "YYYY-MM-DD"), 4)</f>
        <v>2011</v>
      </c>
      <c r="AF635" s="39" t="str">
        <f aca="false">RIGHT(TEXT(B635, "YYYY-MM-DD"), 2)</f>
        <v>29</v>
      </c>
    </row>
    <row r="636" customFormat="false" ht="15" hidden="false" customHeight="false" outlineLevel="0" collapsed="false">
      <c r="A636" s="43" t="n">
        <v>632</v>
      </c>
      <c r="B636" s="44" t="s">
        <v>112</v>
      </c>
      <c r="C636" s="43" t="n">
        <v>1</v>
      </c>
      <c r="D636" s="33" t="str">
        <f aca="false">VLOOKUP(C636, Lookups_Metadata!$A$4:$B$7, 2, FALSE())</f>
        <v>Spring</v>
      </c>
      <c r="E636" s="43" t="n">
        <v>0</v>
      </c>
      <c r="F636" s="43" t="n">
        <v>1</v>
      </c>
      <c r="G636" s="43" t="n">
        <v>14</v>
      </c>
      <c r="H636" s="45" t="b">
        <f aca="false">FALSE()</f>
        <v>0</v>
      </c>
      <c r="I636" s="43" t="n">
        <v>6</v>
      </c>
      <c r="J636" s="33" t="str">
        <f aca="false">INDEX(Lookups_Metadata!$E$4:$E$10, MATCH(I636, Lookups_Metadata!$D$4:$D$10, 0))</f>
        <v>Saturday</v>
      </c>
      <c r="K636" s="33" t="str">
        <f aca="false">IF(H636=TRUE(), "Holiday", IF(OR(I636=0, I636=6), "Weekend", "Weekday"))</f>
        <v>Weekend</v>
      </c>
      <c r="L636" s="33" t="str">
        <f aca="false">IF(AND(K636="Weekday", OR(AND(G636&gt;=7, G636&lt;=9), AND(G636&gt;=17, G636&lt;=19))), "Peak Commute", "Off-Peak")</f>
        <v>Off-Peak</v>
      </c>
      <c r="M636" s="43" t="n">
        <v>2</v>
      </c>
      <c r="N636" s="33" t="str">
        <f aca="false">VLOOKUP(M636, Lookups_Metadata!$G$4:$H$7, 2, FALSE())</f>
        <v>Mist / Cloudy</v>
      </c>
      <c r="O636" s="46" t="n">
        <v>0.22</v>
      </c>
      <c r="P636" s="46" t="n">
        <v>0.2273</v>
      </c>
      <c r="Q636" s="46" t="n">
        <f aca="false">IF(OR(P636="", ISBLANK(P636)), ROUND(0.9367*O636+0.0175, 4), P636)</f>
        <v>0.2273</v>
      </c>
      <c r="R636" s="33" t="str">
        <f aca="false">IF(OR(P636="", ISBLANK(P636)), "Imputed (Regression/Trend)", "Original")</f>
        <v>Original</v>
      </c>
      <c r="S636" s="46" t="n">
        <v>0.6</v>
      </c>
      <c r="T636" s="46" t="n">
        <v>0.1343</v>
      </c>
      <c r="U636" s="18" t="n">
        <v>10</v>
      </c>
      <c r="V636" s="18" t="n">
        <v>89</v>
      </c>
      <c r="W636" s="18" t="n">
        <f aca="false">U636+V636</f>
        <v>99</v>
      </c>
      <c r="X636" s="47" t="n">
        <f aca="false">U636/W636</f>
        <v>0.101010101010101</v>
      </c>
      <c r="Y636" s="47" t="n">
        <f aca="false">V636/W636</f>
        <v>0.898989898989899</v>
      </c>
      <c r="Z636" s="33" t="str">
        <f aca="false">IF(W636&gt;=150, "High Demand", IF(W636&gt;=50, "Moderate Demand", "Low Demand"))</f>
        <v>Moderate Demand</v>
      </c>
      <c r="AA636" s="45" t="str">
        <f aca="false">TEXT(G636, "00") &amp; ":00"</f>
        <v>14:00</v>
      </c>
      <c r="AB636" s="43" t="n">
        <f aca="false">YEAR(B636)</f>
        <v>2011</v>
      </c>
      <c r="AC636" s="33" t="str">
        <f aca="false">TEXT(B636, "mmmm")</f>
        <v>January</v>
      </c>
      <c r="AD636" s="43" t="n">
        <f aca="false">LEN(TEXT(B636, "YYYY-MM-DD"))</f>
        <v>10</v>
      </c>
      <c r="AE636" s="45" t="str">
        <f aca="false">LEFT(TEXT(B636, "YYYY-MM-DD"), 4)</f>
        <v>2011</v>
      </c>
      <c r="AF636" s="45" t="str">
        <f aca="false">RIGHT(TEXT(B636, "YYYY-MM-DD"), 2)</f>
        <v>29</v>
      </c>
    </row>
    <row r="637" customFormat="false" ht="15" hidden="false" customHeight="false" outlineLevel="0" collapsed="false">
      <c r="A637" s="37" t="n">
        <v>633</v>
      </c>
      <c r="B637" s="38" t="s">
        <v>112</v>
      </c>
      <c r="C637" s="37" t="n">
        <v>1</v>
      </c>
      <c r="D637" s="35" t="str">
        <f aca="false">VLOOKUP(C637, Lookups_Metadata!$A$4:$B$7, 2, FALSE())</f>
        <v>Spring</v>
      </c>
      <c r="E637" s="37" t="n">
        <v>0</v>
      </c>
      <c r="F637" s="37" t="n">
        <v>1</v>
      </c>
      <c r="G637" s="37" t="n">
        <v>15</v>
      </c>
      <c r="H637" s="39" t="b">
        <f aca="false">FALSE()</f>
        <v>0</v>
      </c>
      <c r="I637" s="37" t="n">
        <v>6</v>
      </c>
      <c r="J637" s="35" t="str">
        <f aca="false">INDEX(Lookups_Metadata!$E$4:$E$10, MATCH(I637, Lookups_Metadata!$D$4:$D$10, 0))</f>
        <v>Saturday</v>
      </c>
      <c r="K637" s="35" t="str">
        <f aca="false">IF(H637=TRUE(), "Holiday", IF(OR(I637=0, I637=6), "Weekend", "Weekday"))</f>
        <v>Weekend</v>
      </c>
      <c r="L637" s="35" t="str">
        <f aca="false">IF(AND(K637="Weekday", OR(AND(G637&gt;=7, G637&lt;=9), AND(G637&gt;=17, G637&lt;=19))), "Peak Commute", "Off-Peak")</f>
        <v>Off-Peak</v>
      </c>
      <c r="M637" s="37" t="n">
        <v>1</v>
      </c>
      <c r="N637" s="35" t="str">
        <f aca="false">VLOOKUP(M637, Lookups_Metadata!$G$4:$H$7, 2, FALSE())</f>
        <v>Clear / Few Clouds</v>
      </c>
      <c r="O637" s="40" t="n">
        <v>0.22</v>
      </c>
      <c r="P637" s="40" t="n">
        <v>0.2121</v>
      </c>
      <c r="Q637" s="40" t="n">
        <f aca="false">IF(OR(P637="", ISBLANK(P637)), ROUND(0.9367*O637+0.0175, 4), P637)</f>
        <v>0.2121</v>
      </c>
      <c r="R637" s="35" t="str">
        <f aca="false">IF(OR(P637="", ISBLANK(P637)), "Imputed (Regression/Trend)", "Original")</f>
        <v>Original</v>
      </c>
      <c r="S637" s="40" t="n">
        <v>0.69</v>
      </c>
      <c r="T637" s="40" t="n">
        <v>0.2537</v>
      </c>
      <c r="U637" s="41" t="n">
        <v>22</v>
      </c>
      <c r="V637" s="41" t="n">
        <v>98</v>
      </c>
      <c r="W637" s="41" t="n">
        <f aca="false">U637+V637</f>
        <v>120</v>
      </c>
      <c r="X637" s="42" t="n">
        <f aca="false">U637/W637</f>
        <v>0.183333333333333</v>
      </c>
      <c r="Y637" s="42" t="n">
        <f aca="false">V637/W637</f>
        <v>0.816666666666667</v>
      </c>
      <c r="Z637" s="35" t="str">
        <f aca="false">IF(W637&gt;=150, "High Demand", IF(W637&gt;=50, "Moderate Demand", "Low Demand"))</f>
        <v>Moderate Demand</v>
      </c>
      <c r="AA637" s="39" t="str">
        <f aca="false">TEXT(G637, "00") &amp; ":00"</f>
        <v>15:00</v>
      </c>
      <c r="AB637" s="37" t="n">
        <f aca="false">YEAR(B637)</f>
        <v>2011</v>
      </c>
      <c r="AC637" s="35" t="str">
        <f aca="false">TEXT(B637, "mmmm")</f>
        <v>January</v>
      </c>
      <c r="AD637" s="37" t="n">
        <f aca="false">LEN(TEXT(B637, "YYYY-MM-DD"))</f>
        <v>10</v>
      </c>
      <c r="AE637" s="39" t="str">
        <f aca="false">LEFT(TEXT(B637, "YYYY-MM-DD"), 4)</f>
        <v>2011</v>
      </c>
      <c r="AF637" s="39" t="str">
        <f aca="false">RIGHT(TEXT(B637, "YYYY-MM-DD"), 2)</f>
        <v>29</v>
      </c>
    </row>
    <row r="638" customFormat="false" ht="15" hidden="false" customHeight="false" outlineLevel="0" collapsed="false">
      <c r="A638" s="43" t="n">
        <v>634</v>
      </c>
      <c r="B638" s="44" t="s">
        <v>112</v>
      </c>
      <c r="C638" s="43" t="n">
        <v>1</v>
      </c>
      <c r="D638" s="33" t="str">
        <f aca="false">VLOOKUP(C638, Lookups_Metadata!$A$4:$B$7, 2, FALSE())</f>
        <v>Spring</v>
      </c>
      <c r="E638" s="43" t="n">
        <v>0</v>
      </c>
      <c r="F638" s="43" t="n">
        <v>1</v>
      </c>
      <c r="G638" s="43" t="n">
        <v>16</v>
      </c>
      <c r="H638" s="45" t="b">
        <f aca="false">FALSE()</f>
        <v>0</v>
      </c>
      <c r="I638" s="43" t="n">
        <v>6</v>
      </c>
      <c r="J638" s="33" t="str">
        <f aca="false">INDEX(Lookups_Metadata!$E$4:$E$10, MATCH(I638, Lookups_Metadata!$D$4:$D$10, 0))</f>
        <v>Saturday</v>
      </c>
      <c r="K638" s="33" t="str">
        <f aca="false">IF(H638=TRUE(), "Holiday", IF(OR(I638=0, I638=6), "Weekend", "Weekday"))</f>
        <v>Weekend</v>
      </c>
      <c r="L638" s="33" t="str">
        <f aca="false">IF(AND(K638="Weekday", OR(AND(G638&gt;=7, G638&lt;=9), AND(G638&gt;=17, G638&lt;=19))), "Peak Commute", "Off-Peak")</f>
        <v>Off-Peak</v>
      </c>
      <c r="M638" s="43" t="n">
        <v>1</v>
      </c>
      <c r="N638" s="33" t="str">
        <f aca="false">VLOOKUP(M638, Lookups_Metadata!$G$4:$H$7, 2, FALSE())</f>
        <v>Clear / Few Clouds</v>
      </c>
      <c r="O638" s="46" t="n">
        <v>0.24</v>
      </c>
      <c r="P638" s="46" t="n">
        <v>0.2424</v>
      </c>
      <c r="Q638" s="46" t="n">
        <f aca="false">IF(OR(P638="", ISBLANK(P638)), ROUND(0.9367*O638+0.0175, 4), P638)</f>
        <v>0.2424</v>
      </c>
      <c r="R638" s="33" t="str">
        <f aca="false">IF(OR(P638="", ISBLANK(P638)), "Imputed (Regression/Trend)", "Original")</f>
        <v>Original</v>
      </c>
      <c r="S638" s="46" t="n">
        <v>0.6</v>
      </c>
      <c r="T638" s="46" t="n">
        <v>0.1642</v>
      </c>
      <c r="U638" s="18" t="n">
        <v>19</v>
      </c>
      <c r="V638" s="18" t="n">
        <v>88</v>
      </c>
      <c r="W638" s="18" t="n">
        <f aca="false">U638+V638</f>
        <v>107</v>
      </c>
      <c r="X638" s="47" t="n">
        <f aca="false">U638/W638</f>
        <v>0.177570093457944</v>
      </c>
      <c r="Y638" s="47" t="n">
        <f aca="false">V638/W638</f>
        <v>0.822429906542056</v>
      </c>
      <c r="Z638" s="33" t="str">
        <f aca="false">IF(W638&gt;=150, "High Demand", IF(W638&gt;=50, "Moderate Demand", "Low Demand"))</f>
        <v>Moderate Demand</v>
      </c>
      <c r="AA638" s="45" t="str">
        <f aca="false">TEXT(G638, "00") &amp; ":00"</f>
        <v>16:00</v>
      </c>
      <c r="AB638" s="43" t="n">
        <f aca="false">YEAR(B638)</f>
        <v>2011</v>
      </c>
      <c r="AC638" s="33" t="str">
        <f aca="false">TEXT(B638, "mmmm")</f>
        <v>January</v>
      </c>
      <c r="AD638" s="43" t="n">
        <f aca="false">LEN(TEXT(B638, "YYYY-MM-DD"))</f>
        <v>10</v>
      </c>
      <c r="AE638" s="45" t="str">
        <f aca="false">LEFT(TEXT(B638, "YYYY-MM-DD"), 4)</f>
        <v>2011</v>
      </c>
      <c r="AF638" s="45" t="str">
        <f aca="false">RIGHT(TEXT(B638, "YYYY-MM-DD"), 2)</f>
        <v>29</v>
      </c>
    </row>
    <row r="639" customFormat="false" ht="15" hidden="false" customHeight="false" outlineLevel="0" collapsed="false">
      <c r="A639" s="37" t="n">
        <v>635</v>
      </c>
      <c r="B639" s="38" t="s">
        <v>112</v>
      </c>
      <c r="C639" s="37" t="n">
        <v>1</v>
      </c>
      <c r="D639" s="35" t="str">
        <f aca="false">VLOOKUP(C639, Lookups_Metadata!$A$4:$B$7, 2, FALSE())</f>
        <v>Spring</v>
      </c>
      <c r="E639" s="37" t="n">
        <v>0</v>
      </c>
      <c r="F639" s="37" t="n">
        <v>1</v>
      </c>
      <c r="G639" s="37" t="n">
        <v>17</v>
      </c>
      <c r="H639" s="39" t="b">
        <f aca="false">FALSE()</f>
        <v>0</v>
      </c>
      <c r="I639" s="37" t="n">
        <v>6</v>
      </c>
      <c r="J639" s="35" t="str">
        <f aca="false">INDEX(Lookups_Metadata!$E$4:$E$10, MATCH(I639, Lookups_Metadata!$D$4:$D$10, 0))</f>
        <v>Saturday</v>
      </c>
      <c r="K639" s="35" t="str">
        <f aca="false">IF(H639=TRUE(), "Holiday", IF(OR(I639=0, I639=6), "Weekend", "Weekday"))</f>
        <v>Weekend</v>
      </c>
      <c r="L639" s="35" t="str">
        <f aca="false">IF(AND(K639="Weekday", OR(AND(G639&gt;=7, G639&lt;=9), AND(G639&gt;=17, G639&lt;=19))), "Peak Commute", "Off-Peak")</f>
        <v>Off-Peak</v>
      </c>
      <c r="M639" s="37" t="n">
        <v>1</v>
      </c>
      <c r="N639" s="35" t="str">
        <f aca="false">VLOOKUP(M639, Lookups_Metadata!$G$4:$H$7, 2, FALSE())</f>
        <v>Clear / Few Clouds</v>
      </c>
      <c r="O639" s="40" t="n">
        <v>0.24</v>
      </c>
      <c r="P639" s="40" t="n">
        <v>0.2879</v>
      </c>
      <c r="Q639" s="40" t="n">
        <f aca="false">IF(OR(P639="", ISBLANK(P639)), ROUND(0.9367*O639+0.0175, 4), P639)</f>
        <v>0.2879</v>
      </c>
      <c r="R639" s="35" t="str">
        <f aca="false">IF(OR(P639="", ISBLANK(P639)), "Imputed (Regression/Trend)", "Original")</f>
        <v>Original</v>
      </c>
      <c r="S639" s="40" t="n">
        <v>0.6</v>
      </c>
      <c r="T639" s="40" t="n">
        <v>0</v>
      </c>
      <c r="U639" s="41" t="n">
        <v>9</v>
      </c>
      <c r="V639" s="41" t="n">
        <v>82</v>
      </c>
      <c r="W639" s="41" t="n">
        <f aca="false">U639+V639</f>
        <v>91</v>
      </c>
      <c r="X639" s="42" t="n">
        <f aca="false">U639/W639</f>
        <v>0.0989010989010989</v>
      </c>
      <c r="Y639" s="42" t="n">
        <f aca="false">V639/W639</f>
        <v>0.901098901098901</v>
      </c>
      <c r="Z639" s="35" t="str">
        <f aca="false">IF(W639&gt;=150, "High Demand", IF(W639&gt;=50, "Moderate Demand", "Low Demand"))</f>
        <v>Moderate Demand</v>
      </c>
      <c r="AA639" s="39" t="str">
        <f aca="false">TEXT(G639, "00") &amp; ":00"</f>
        <v>17:00</v>
      </c>
      <c r="AB639" s="37" t="n">
        <f aca="false">YEAR(B639)</f>
        <v>2011</v>
      </c>
      <c r="AC639" s="35" t="str">
        <f aca="false">TEXT(B639, "mmmm")</f>
        <v>January</v>
      </c>
      <c r="AD639" s="37" t="n">
        <f aca="false">LEN(TEXT(B639, "YYYY-MM-DD"))</f>
        <v>10</v>
      </c>
      <c r="AE639" s="39" t="str">
        <f aca="false">LEFT(TEXT(B639, "YYYY-MM-DD"), 4)</f>
        <v>2011</v>
      </c>
      <c r="AF639" s="39" t="str">
        <f aca="false">RIGHT(TEXT(B639, "YYYY-MM-DD"), 2)</f>
        <v>29</v>
      </c>
    </row>
    <row r="640" customFormat="false" ht="15" hidden="false" customHeight="false" outlineLevel="0" collapsed="false">
      <c r="A640" s="43" t="n">
        <v>636</v>
      </c>
      <c r="B640" s="44" t="s">
        <v>112</v>
      </c>
      <c r="C640" s="43" t="n">
        <v>1</v>
      </c>
      <c r="D640" s="33" t="str">
        <f aca="false">VLOOKUP(C640, Lookups_Metadata!$A$4:$B$7, 2, FALSE())</f>
        <v>Spring</v>
      </c>
      <c r="E640" s="43" t="n">
        <v>0</v>
      </c>
      <c r="F640" s="43" t="n">
        <v>1</v>
      </c>
      <c r="G640" s="43" t="n">
        <v>18</v>
      </c>
      <c r="H640" s="45" t="b">
        <f aca="false">FALSE()</f>
        <v>0</v>
      </c>
      <c r="I640" s="43" t="n">
        <v>6</v>
      </c>
      <c r="J640" s="33" t="str">
        <f aca="false">INDEX(Lookups_Metadata!$E$4:$E$10, MATCH(I640, Lookups_Metadata!$D$4:$D$10, 0))</f>
        <v>Saturday</v>
      </c>
      <c r="K640" s="33" t="str">
        <f aca="false">IF(H640=TRUE(), "Holiday", IF(OR(I640=0, I640=6), "Weekend", "Weekday"))</f>
        <v>Weekend</v>
      </c>
      <c r="L640" s="33" t="str">
        <f aca="false">IF(AND(K640="Weekday", OR(AND(G640&gt;=7, G640&lt;=9), AND(G640&gt;=17, G640&lt;=19))), "Peak Commute", "Off-Peak")</f>
        <v>Off-Peak</v>
      </c>
      <c r="M640" s="43" t="n">
        <v>1</v>
      </c>
      <c r="N640" s="33" t="str">
        <f aca="false">VLOOKUP(M640, Lookups_Metadata!$G$4:$H$7, 2, FALSE())</f>
        <v>Clear / Few Clouds</v>
      </c>
      <c r="O640" s="46" t="n">
        <v>0.22</v>
      </c>
      <c r="P640" s="46" t="n">
        <v>0.2273</v>
      </c>
      <c r="Q640" s="46" t="n">
        <f aca="false">IF(OR(P640="", ISBLANK(P640)), ROUND(0.9367*O640+0.0175, 4), P640)</f>
        <v>0.2273</v>
      </c>
      <c r="R640" s="33" t="str">
        <f aca="false">IF(OR(P640="", ISBLANK(P640)), "Imputed (Regression/Trend)", "Original")</f>
        <v>Original</v>
      </c>
      <c r="S640" s="46" t="n">
        <v>0.69</v>
      </c>
      <c r="T640" s="46" t="n">
        <v>0.1343</v>
      </c>
      <c r="U640" s="18" t="n">
        <v>9</v>
      </c>
      <c r="V640" s="18" t="n">
        <v>59</v>
      </c>
      <c r="W640" s="18" t="n">
        <f aca="false">U640+V640</f>
        <v>68</v>
      </c>
      <c r="X640" s="47" t="n">
        <f aca="false">U640/W640</f>
        <v>0.132352941176471</v>
      </c>
      <c r="Y640" s="47" t="n">
        <f aca="false">V640/W640</f>
        <v>0.867647058823529</v>
      </c>
      <c r="Z640" s="33" t="str">
        <f aca="false">IF(W640&gt;=150, "High Demand", IF(W640&gt;=50, "Moderate Demand", "Low Demand"))</f>
        <v>Moderate Demand</v>
      </c>
      <c r="AA640" s="45" t="str">
        <f aca="false">TEXT(G640, "00") &amp; ":00"</f>
        <v>18:00</v>
      </c>
      <c r="AB640" s="43" t="n">
        <f aca="false">YEAR(B640)</f>
        <v>2011</v>
      </c>
      <c r="AC640" s="33" t="str">
        <f aca="false">TEXT(B640, "mmmm")</f>
        <v>January</v>
      </c>
      <c r="AD640" s="43" t="n">
        <f aca="false">LEN(TEXT(B640, "YYYY-MM-DD"))</f>
        <v>10</v>
      </c>
      <c r="AE640" s="45" t="str">
        <f aca="false">LEFT(TEXT(B640, "YYYY-MM-DD"), 4)</f>
        <v>2011</v>
      </c>
      <c r="AF640" s="45" t="str">
        <f aca="false">RIGHT(TEXT(B640, "YYYY-MM-DD"), 2)</f>
        <v>29</v>
      </c>
    </row>
    <row r="641" customFormat="false" ht="15" hidden="false" customHeight="false" outlineLevel="0" collapsed="false">
      <c r="A641" s="37" t="n">
        <v>637</v>
      </c>
      <c r="B641" s="38" t="s">
        <v>112</v>
      </c>
      <c r="C641" s="37" t="n">
        <v>1</v>
      </c>
      <c r="D641" s="35" t="str">
        <f aca="false">VLOOKUP(C641, Lookups_Metadata!$A$4:$B$7, 2, FALSE())</f>
        <v>Spring</v>
      </c>
      <c r="E641" s="37" t="n">
        <v>0</v>
      </c>
      <c r="F641" s="37" t="n">
        <v>1</v>
      </c>
      <c r="G641" s="37" t="n">
        <v>19</v>
      </c>
      <c r="H641" s="39" t="b">
        <f aca="false">FALSE()</f>
        <v>0</v>
      </c>
      <c r="I641" s="37" t="n">
        <v>6</v>
      </c>
      <c r="J641" s="35" t="str">
        <f aca="false">INDEX(Lookups_Metadata!$E$4:$E$10, MATCH(I641, Lookups_Metadata!$D$4:$D$10, 0))</f>
        <v>Saturday</v>
      </c>
      <c r="K641" s="35" t="str">
        <f aca="false">IF(H641=TRUE(), "Holiday", IF(OR(I641=0, I641=6), "Weekend", "Weekday"))</f>
        <v>Weekend</v>
      </c>
      <c r="L641" s="35" t="str">
        <f aca="false">IF(AND(K641="Weekday", OR(AND(G641&gt;=7, G641&lt;=9), AND(G641&gt;=17, G641&lt;=19))), "Peak Commute", "Off-Peak")</f>
        <v>Off-Peak</v>
      </c>
      <c r="M641" s="37" t="n">
        <v>2</v>
      </c>
      <c r="N641" s="35" t="str">
        <f aca="false">VLOOKUP(M641, Lookups_Metadata!$G$4:$H$7, 2, FALSE())</f>
        <v>Mist / Cloudy</v>
      </c>
      <c r="O641" s="40" t="n">
        <v>0.22</v>
      </c>
      <c r="P641" s="40" t="n">
        <v>0.2121</v>
      </c>
      <c r="Q641" s="40" t="n">
        <f aca="false">IF(OR(P641="", ISBLANK(P641)), ROUND(0.9367*O641+0.0175, 4), P641)</f>
        <v>0.2121</v>
      </c>
      <c r="R641" s="35" t="str">
        <f aca="false">IF(OR(P641="", ISBLANK(P641)), "Imputed (Regression/Trend)", "Original")</f>
        <v>Original</v>
      </c>
      <c r="S641" s="40" t="n">
        <v>0.69</v>
      </c>
      <c r="T641" s="40" t="n">
        <v>0.2537</v>
      </c>
      <c r="U641" s="41" t="n">
        <v>6</v>
      </c>
      <c r="V641" s="41" t="n">
        <v>52</v>
      </c>
      <c r="W641" s="41" t="n">
        <f aca="false">U641+V641</f>
        <v>58</v>
      </c>
      <c r="X641" s="42" t="n">
        <f aca="false">U641/W641</f>
        <v>0.103448275862069</v>
      </c>
      <c r="Y641" s="42" t="n">
        <f aca="false">V641/W641</f>
        <v>0.896551724137931</v>
      </c>
      <c r="Z641" s="35" t="str">
        <f aca="false">IF(W641&gt;=150, "High Demand", IF(W641&gt;=50, "Moderate Demand", "Low Demand"))</f>
        <v>Moderate Demand</v>
      </c>
      <c r="AA641" s="39" t="str">
        <f aca="false">TEXT(G641, "00") &amp; ":00"</f>
        <v>19:00</v>
      </c>
      <c r="AB641" s="37" t="n">
        <f aca="false">YEAR(B641)</f>
        <v>2011</v>
      </c>
      <c r="AC641" s="35" t="str">
        <f aca="false">TEXT(B641, "mmmm")</f>
        <v>January</v>
      </c>
      <c r="AD641" s="37" t="n">
        <f aca="false">LEN(TEXT(B641, "YYYY-MM-DD"))</f>
        <v>10</v>
      </c>
      <c r="AE641" s="39" t="str">
        <f aca="false">LEFT(TEXT(B641, "YYYY-MM-DD"), 4)</f>
        <v>2011</v>
      </c>
      <c r="AF641" s="39" t="str">
        <f aca="false">RIGHT(TEXT(B641, "YYYY-MM-DD"), 2)</f>
        <v>29</v>
      </c>
    </row>
    <row r="642" customFormat="false" ht="15" hidden="false" customHeight="false" outlineLevel="0" collapsed="false">
      <c r="A642" s="43" t="n">
        <v>638</v>
      </c>
      <c r="B642" s="44" t="s">
        <v>112</v>
      </c>
      <c r="C642" s="43" t="n">
        <v>1</v>
      </c>
      <c r="D642" s="33" t="str">
        <f aca="false">VLOOKUP(C642, Lookups_Metadata!$A$4:$B$7, 2, FALSE())</f>
        <v>Spring</v>
      </c>
      <c r="E642" s="43" t="n">
        <v>0</v>
      </c>
      <c r="F642" s="43" t="n">
        <v>1</v>
      </c>
      <c r="G642" s="43" t="n">
        <v>20</v>
      </c>
      <c r="H642" s="45" t="b">
        <f aca="false">FALSE()</f>
        <v>0</v>
      </c>
      <c r="I642" s="43" t="n">
        <v>6</v>
      </c>
      <c r="J642" s="33" t="str">
        <f aca="false">INDEX(Lookups_Metadata!$E$4:$E$10, MATCH(I642, Lookups_Metadata!$D$4:$D$10, 0))</f>
        <v>Saturday</v>
      </c>
      <c r="K642" s="33" t="str">
        <f aca="false">IF(H642=TRUE(), "Holiday", IF(OR(I642=0, I642=6), "Weekend", "Weekday"))</f>
        <v>Weekend</v>
      </c>
      <c r="L642" s="33" t="str">
        <f aca="false">IF(AND(K642="Weekday", OR(AND(G642&gt;=7, G642&lt;=9), AND(G642&gt;=17, G642&lt;=19))), "Peak Commute", "Off-Peak")</f>
        <v>Off-Peak</v>
      </c>
      <c r="M642" s="43" t="n">
        <v>1</v>
      </c>
      <c r="N642" s="33" t="str">
        <f aca="false">VLOOKUP(M642, Lookups_Metadata!$G$4:$H$7, 2, FALSE())</f>
        <v>Clear / Few Clouds</v>
      </c>
      <c r="O642" s="46" t="n">
        <v>0.18</v>
      </c>
      <c r="P642" s="46" t="n">
        <v>0.2121</v>
      </c>
      <c r="Q642" s="46" t="n">
        <f aca="false">IF(OR(P642="", ISBLANK(P642)), ROUND(0.9367*O642+0.0175, 4), P642)</f>
        <v>0.2121</v>
      </c>
      <c r="R642" s="33" t="str">
        <f aca="false">IF(OR(P642="", ISBLANK(P642)), "Imputed (Regression/Trend)", "Original")</f>
        <v>Original</v>
      </c>
      <c r="S642" s="46" t="n">
        <v>0.74</v>
      </c>
      <c r="T642" s="46" t="n">
        <v>0.0896</v>
      </c>
      <c r="U642" s="18" t="n">
        <v>1</v>
      </c>
      <c r="V642" s="18" t="n">
        <v>42</v>
      </c>
      <c r="W642" s="18" t="n">
        <f aca="false">U642+V642</f>
        <v>43</v>
      </c>
      <c r="X642" s="47" t="n">
        <f aca="false">U642/W642</f>
        <v>0.0232558139534884</v>
      </c>
      <c r="Y642" s="47" t="n">
        <f aca="false">V642/W642</f>
        <v>0.976744186046512</v>
      </c>
      <c r="Z642" s="33" t="str">
        <f aca="false">IF(W642&gt;=150, "High Demand", IF(W642&gt;=50, "Moderate Demand", "Low Demand"))</f>
        <v>Low Demand</v>
      </c>
      <c r="AA642" s="45" t="str">
        <f aca="false">TEXT(G642, "00") &amp; ":00"</f>
        <v>20:00</v>
      </c>
      <c r="AB642" s="43" t="n">
        <f aca="false">YEAR(B642)</f>
        <v>2011</v>
      </c>
      <c r="AC642" s="33" t="str">
        <f aca="false">TEXT(B642, "mmmm")</f>
        <v>January</v>
      </c>
      <c r="AD642" s="43" t="n">
        <f aca="false">LEN(TEXT(B642, "YYYY-MM-DD"))</f>
        <v>10</v>
      </c>
      <c r="AE642" s="45" t="str">
        <f aca="false">LEFT(TEXT(B642, "YYYY-MM-DD"), 4)</f>
        <v>2011</v>
      </c>
      <c r="AF642" s="45" t="str">
        <f aca="false">RIGHT(TEXT(B642, "YYYY-MM-DD"), 2)</f>
        <v>29</v>
      </c>
    </row>
    <row r="643" customFormat="false" ht="15" hidden="false" customHeight="false" outlineLevel="0" collapsed="false">
      <c r="A643" s="37" t="n">
        <v>639</v>
      </c>
      <c r="B643" s="38" t="s">
        <v>112</v>
      </c>
      <c r="C643" s="37" t="n">
        <v>1</v>
      </c>
      <c r="D643" s="35" t="str">
        <f aca="false">VLOOKUP(C643, Lookups_Metadata!$A$4:$B$7, 2, FALSE())</f>
        <v>Spring</v>
      </c>
      <c r="E643" s="37" t="n">
        <v>0</v>
      </c>
      <c r="F643" s="37" t="n">
        <v>1</v>
      </c>
      <c r="G643" s="37" t="n">
        <v>21</v>
      </c>
      <c r="H643" s="39" t="b">
        <f aca="false">FALSE()</f>
        <v>0</v>
      </c>
      <c r="I643" s="37" t="n">
        <v>6</v>
      </c>
      <c r="J643" s="35" t="str">
        <f aca="false">INDEX(Lookups_Metadata!$E$4:$E$10, MATCH(I643, Lookups_Metadata!$D$4:$D$10, 0))</f>
        <v>Saturday</v>
      </c>
      <c r="K643" s="35" t="str">
        <f aca="false">IF(H643=TRUE(), "Holiday", IF(OR(I643=0, I643=6), "Weekend", "Weekday"))</f>
        <v>Weekend</v>
      </c>
      <c r="L643" s="35" t="str">
        <f aca="false">IF(AND(K643="Weekday", OR(AND(G643&gt;=7, G643&lt;=9), AND(G643&gt;=17, G643&lt;=19))), "Peak Commute", "Off-Peak")</f>
        <v>Off-Peak</v>
      </c>
      <c r="M643" s="37" t="n">
        <v>1</v>
      </c>
      <c r="N643" s="35" t="str">
        <f aca="false">VLOOKUP(M643, Lookups_Metadata!$G$4:$H$7, 2, FALSE())</f>
        <v>Clear / Few Clouds</v>
      </c>
      <c r="O643" s="40" t="n">
        <v>0.18</v>
      </c>
      <c r="P643" s="40" t="n">
        <v>0.2121</v>
      </c>
      <c r="Q643" s="40" t="n">
        <f aca="false">IF(OR(P643="", ISBLANK(P643)), ROUND(0.9367*O643+0.0175, 4), P643)</f>
        <v>0.2121</v>
      </c>
      <c r="R643" s="35" t="str">
        <f aca="false">IF(OR(P643="", ISBLANK(P643)), "Imputed (Regression/Trend)", "Original")</f>
        <v>Original</v>
      </c>
      <c r="S643" s="40" t="n">
        <v>0.74</v>
      </c>
      <c r="T643" s="40" t="n">
        <v>0.0896</v>
      </c>
      <c r="U643" s="41" t="n">
        <v>1</v>
      </c>
      <c r="V643" s="41" t="n">
        <v>35</v>
      </c>
      <c r="W643" s="41" t="n">
        <f aca="false">U643+V643</f>
        <v>36</v>
      </c>
      <c r="X643" s="42" t="n">
        <f aca="false">U643/W643</f>
        <v>0.0277777777777778</v>
      </c>
      <c r="Y643" s="42" t="n">
        <f aca="false">V643/W643</f>
        <v>0.972222222222222</v>
      </c>
      <c r="Z643" s="35" t="str">
        <f aca="false">IF(W643&gt;=150, "High Demand", IF(W643&gt;=50, "Moderate Demand", "Low Demand"))</f>
        <v>Low Demand</v>
      </c>
      <c r="AA643" s="39" t="str">
        <f aca="false">TEXT(G643, "00") &amp; ":00"</f>
        <v>21:00</v>
      </c>
      <c r="AB643" s="37" t="n">
        <f aca="false">YEAR(B643)</f>
        <v>2011</v>
      </c>
      <c r="AC643" s="35" t="str">
        <f aca="false">TEXT(B643, "mmmm")</f>
        <v>January</v>
      </c>
      <c r="AD643" s="37" t="n">
        <f aca="false">LEN(TEXT(B643, "YYYY-MM-DD"))</f>
        <v>10</v>
      </c>
      <c r="AE643" s="39" t="str">
        <f aca="false">LEFT(TEXT(B643, "YYYY-MM-DD"), 4)</f>
        <v>2011</v>
      </c>
      <c r="AF643" s="39" t="str">
        <f aca="false">RIGHT(TEXT(B643, "YYYY-MM-DD"), 2)</f>
        <v>29</v>
      </c>
    </row>
    <row r="644" customFormat="false" ht="15" hidden="false" customHeight="false" outlineLevel="0" collapsed="false">
      <c r="A644" s="43" t="n">
        <v>640</v>
      </c>
      <c r="B644" s="44" t="s">
        <v>112</v>
      </c>
      <c r="C644" s="43" t="n">
        <v>1</v>
      </c>
      <c r="D644" s="33" t="str">
        <f aca="false">VLOOKUP(C644, Lookups_Metadata!$A$4:$B$7, 2, FALSE())</f>
        <v>Spring</v>
      </c>
      <c r="E644" s="43" t="n">
        <v>0</v>
      </c>
      <c r="F644" s="43" t="n">
        <v>1</v>
      </c>
      <c r="G644" s="43" t="n">
        <v>22</v>
      </c>
      <c r="H644" s="45" t="b">
        <f aca="false">FALSE()</f>
        <v>0</v>
      </c>
      <c r="I644" s="43" t="n">
        <v>6</v>
      </c>
      <c r="J644" s="33" t="str">
        <f aca="false">INDEX(Lookups_Metadata!$E$4:$E$10, MATCH(I644, Lookups_Metadata!$D$4:$D$10, 0))</f>
        <v>Saturday</v>
      </c>
      <c r="K644" s="33" t="str">
        <f aca="false">IF(H644=TRUE(), "Holiday", IF(OR(I644=0, I644=6), "Weekend", "Weekday"))</f>
        <v>Weekend</v>
      </c>
      <c r="L644" s="33" t="str">
        <f aca="false">IF(AND(K644="Weekday", OR(AND(G644&gt;=7, G644&lt;=9), AND(G644&gt;=17, G644&lt;=19))), "Peak Commute", "Off-Peak")</f>
        <v>Off-Peak</v>
      </c>
      <c r="M644" s="43" t="n">
        <v>1</v>
      </c>
      <c r="N644" s="33" t="str">
        <f aca="false">VLOOKUP(M644, Lookups_Metadata!$G$4:$H$7, 2, FALSE())</f>
        <v>Clear / Few Clouds</v>
      </c>
      <c r="O644" s="46" t="n">
        <v>0.16</v>
      </c>
      <c r="P644" s="46" t="n">
        <v>0.197</v>
      </c>
      <c r="Q644" s="46" t="n">
        <f aca="false">IF(OR(P644="", ISBLANK(P644)), ROUND(0.9367*O644+0.0175, 4), P644)</f>
        <v>0.197</v>
      </c>
      <c r="R644" s="33" t="str">
        <f aca="false">IF(OR(P644="", ISBLANK(P644)), "Imputed (Regression/Trend)", "Original")</f>
        <v>Original</v>
      </c>
      <c r="S644" s="46" t="n">
        <v>0.8</v>
      </c>
      <c r="T644" s="46" t="n">
        <v>0.0896</v>
      </c>
      <c r="U644" s="18" t="n">
        <v>4</v>
      </c>
      <c r="V644" s="18" t="n">
        <v>28</v>
      </c>
      <c r="W644" s="18" t="n">
        <f aca="false">U644+V644</f>
        <v>32</v>
      </c>
      <c r="X644" s="47" t="n">
        <f aca="false">U644/W644</f>
        <v>0.125</v>
      </c>
      <c r="Y644" s="47" t="n">
        <f aca="false">V644/W644</f>
        <v>0.875</v>
      </c>
      <c r="Z644" s="33" t="str">
        <f aca="false">IF(W644&gt;=150, "High Demand", IF(W644&gt;=50, "Moderate Demand", "Low Demand"))</f>
        <v>Low Demand</v>
      </c>
      <c r="AA644" s="45" t="str">
        <f aca="false">TEXT(G644, "00") &amp; ":00"</f>
        <v>22:00</v>
      </c>
      <c r="AB644" s="43" t="n">
        <f aca="false">YEAR(B644)</f>
        <v>2011</v>
      </c>
      <c r="AC644" s="33" t="str">
        <f aca="false">TEXT(B644, "mmmm")</f>
        <v>January</v>
      </c>
      <c r="AD644" s="43" t="n">
        <f aca="false">LEN(TEXT(B644, "YYYY-MM-DD"))</f>
        <v>10</v>
      </c>
      <c r="AE644" s="45" t="str">
        <f aca="false">LEFT(TEXT(B644, "YYYY-MM-DD"), 4)</f>
        <v>2011</v>
      </c>
      <c r="AF644" s="45" t="str">
        <f aca="false">RIGHT(TEXT(B644, "YYYY-MM-DD"), 2)</f>
        <v>29</v>
      </c>
    </row>
    <row r="645" customFormat="false" ht="15" hidden="false" customHeight="false" outlineLevel="0" collapsed="false">
      <c r="A645" s="37" t="n">
        <v>641</v>
      </c>
      <c r="B645" s="38" t="s">
        <v>112</v>
      </c>
      <c r="C645" s="37" t="n">
        <v>1</v>
      </c>
      <c r="D645" s="35" t="str">
        <f aca="false">VLOOKUP(C645, Lookups_Metadata!$A$4:$B$7, 2, FALSE())</f>
        <v>Spring</v>
      </c>
      <c r="E645" s="37" t="n">
        <v>0</v>
      </c>
      <c r="F645" s="37" t="n">
        <v>1</v>
      </c>
      <c r="G645" s="37" t="n">
        <v>23</v>
      </c>
      <c r="H645" s="39" t="b">
        <f aca="false">FALSE()</f>
        <v>0</v>
      </c>
      <c r="I645" s="37" t="n">
        <v>6</v>
      </c>
      <c r="J645" s="35" t="str">
        <f aca="false">INDEX(Lookups_Metadata!$E$4:$E$10, MATCH(I645, Lookups_Metadata!$D$4:$D$10, 0))</f>
        <v>Saturday</v>
      </c>
      <c r="K645" s="35" t="str">
        <f aca="false">IF(H645=TRUE(), "Holiday", IF(OR(I645=0, I645=6), "Weekend", "Weekday"))</f>
        <v>Weekend</v>
      </c>
      <c r="L645" s="35" t="str">
        <f aca="false">IF(AND(K645="Weekday", OR(AND(G645&gt;=7, G645&lt;=9), AND(G645&gt;=17, G645&lt;=19))), "Peak Commute", "Off-Peak")</f>
        <v>Off-Peak</v>
      </c>
      <c r="M645" s="37" t="n">
        <v>1</v>
      </c>
      <c r="N645" s="35" t="str">
        <f aca="false">VLOOKUP(M645, Lookups_Metadata!$G$4:$H$7, 2, FALSE())</f>
        <v>Clear / Few Clouds</v>
      </c>
      <c r="O645" s="40" t="n">
        <v>0.16</v>
      </c>
      <c r="P645" s="40" t="n">
        <v>0.197</v>
      </c>
      <c r="Q645" s="40" t="n">
        <f aca="false">IF(OR(P645="", ISBLANK(P645)), ROUND(0.9367*O645+0.0175, 4), P645)</f>
        <v>0.197</v>
      </c>
      <c r="R645" s="35" t="str">
        <f aca="false">IF(OR(P645="", ISBLANK(P645)), "Imputed (Regression/Trend)", "Original")</f>
        <v>Original</v>
      </c>
      <c r="S645" s="40" t="n">
        <v>0.8</v>
      </c>
      <c r="T645" s="40" t="n">
        <v>0.0896</v>
      </c>
      <c r="U645" s="41" t="n">
        <v>3</v>
      </c>
      <c r="V645" s="41" t="n">
        <v>30</v>
      </c>
      <c r="W645" s="41" t="n">
        <f aca="false">U645+V645</f>
        <v>33</v>
      </c>
      <c r="X645" s="42" t="n">
        <f aca="false">U645/W645</f>
        <v>0.0909090909090909</v>
      </c>
      <c r="Y645" s="42" t="n">
        <f aca="false">V645/W645</f>
        <v>0.909090909090909</v>
      </c>
      <c r="Z645" s="35" t="str">
        <f aca="false">IF(W645&gt;=150, "High Demand", IF(W645&gt;=50, "Moderate Demand", "Low Demand"))</f>
        <v>Low Demand</v>
      </c>
      <c r="AA645" s="39" t="str">
        <f aca="false">TEXT(G645, "00") &amp; ":00"</f>
        <v>23:00</v>
      </c>
      <c r="AB645" s="37" t="n">
        <f aca="false">YEAR(B645)</f>
        <v>2011</v>
      </c>
      <c r="AC645" s="35" t="str">
        <f aca="false">TEXT(B645, "mmmm")</f>
        <v>January</v>
      </c>
      <c r="AD645" s="37" t="n">
        <f aca="false">LEN(TEXT(B645, "YYYY-MM-DD"))</f>
        <v>10</v>
      </c>
      <c r="AE645" s="39" t="str">
        <f aca="false">LEFT(TEXT(B645, "YYYY-MM-DD"), 4)</f>
        <v>2011</v>
      </c>
      <c r="AF645" s="39" t="str">
        <f aca="false">RIGHT(TEXT(B645, "YYYY-MM-DD"), 2)</f>
        <v>29</v>
      </c>
    </row>
    <row r="646" customFormat="false" ht="15" hidden="false" customHeight="false" outlineLevel="0" collapsed="false">
      <c r="A646" s="43" t="n">
        <v>642</v>
      </c>
      <c r="B646" s="44" t="s">
        <v>113</v>
      </c>
      <c r="C646" s="43" t="n">
        <v>1</v>
      </c>
      <c r="D646" s="33" t="str">
        <f aca="false">VLOOKUP(C646, Lookups_Metadata!$A$4:$B$7, 2, FALSE())</f>
        <v>Spring</v>
      </c>
      <c r="E646" s="43" t="n">
        <v>0</v>
      </c>
      <c r="F646" s="43" t="n">
        <v>1</v>
      </c>
      <c r="G646" s="43" t="n">
        <v>0</v>
      </c>
      <c r="H646" s="45" t="b">
        <f aca="false">FALSE()</f>
        <v>0</v>
      </c>
      <c r="I646" s="43" t="n">
        <v>0</v>
      </c>
      <c r="J646" s="33" t="str">
        <f aca="false">INDEX(Lookups_Metadata!$E$4:$E$10, MATCH(I646, Lookups_Metadata!$D$4:$D$10, 0))</f>
        <v>Sunday</v>
      </c>
      <c r="K646" s="33" t="str">
        <f aca="false">IF(H646=TRUE(), "Holiday", IF(OR(I646=0, I646=6), "Weekend", "Weekday"))</f>
        <v>Weekend</v>
      </c>
      <c r="L646" s="33" t="str">
        <f aca="false">IF(AND(K646="Weekday", OR(AND(G646&gt;=7, G646&lt;=9), AND(G646&gt;=17, G646&lt;=19))), "Peak Commute", "Off-Peak")</f>
        <v>Off-Peak</v>
      </c>
      <c r="M646" s="43" t="n">
        <v>1</v>
      </c>
      <c r="N646" s="33" t="str">
        <f aca="false">VLOOKUP(M646, Lookups_Metadata!$G$4:$H$7, 2, FALSE())</f>
        <v>Clear / Few Clouds</v>
      </c>
      <c r="O646" s="46" t="n">
        <v>0.16</v>
      </c>
      <c r="P646" s="46" t="n">
        <v>0.1818</v>
      </c>
      <c r="Q646" s="46" t="n">
        <f aca="false">IF(OR(P646="", ISBLANK(P646)), ROUND(0.9367*O646+0.0175, 4), P646)</f>
        <v>0.1818</v>
      </c>
      <c r="R646" s="33" t="str">
        <f aca="false">IF(OR(P646="", ISBLANK(P646)), "Imputed (Regression/Trend)", "Original")</f>
        <v>Original</v>
      </c>
      <c r="S646" s="46" t="n">
        <v>0.8</v>
      </c>
      <c r="T646" s="46" t="n">
        <v>0.1045</v>
      </c>
      <c r="U646" s="18" t="n">
        <v>0</v>
      </c>
      <c r="V646" s="18" t="n">
        <v>33</v>
      </c>
      <c r="W646" s="18" t="n">
        <f aca="false">U646+V646</f>
        <v>33</v>
      </c>
      <c r="X646" s="47" t="n">
        <f aca="false">U646/W646</f>
        <v>0</v>
      </c>
      <c r="Y646" s="47" t="n">
        <f aca="false">V646/W646</f>
        <v>1</v>
      </c>
      <c r="Z646" s="33" t="str">
        <f aca="false">IF(W646&gt;=150, "High Demand", IF(W646&gt;=50, "Moderate Demand", "Low Demand"))</f>
        <v>Low Demand</v>
      </c>
      <c r="AA646" s="45" t="str">
        <f aca="false">TEXT(G646, "00") &amp; ":00"</f>
        <v>00:00</v>
      </c>
      <c r="AB646" s="43" t="n">
        <f aca="false">YEAR(B646)</f>
        <v>2011</v>
      </c>
      <c r="AC646" s="33" t="str">
        <f aca="false">TEXT(B646, "mmmm")</f>
        <v>January</v>
      </c>
      <c r="AD646" s="43" t="n">
        <f aca="false">LEN(TEXT(B646, "YYYY-MM-DD"))</f>
        <v>10</v>
      </c>
      <c r="AE646" s="45" t="str">
        <f aca="false">LEFT(TEXT(B646, "YYYY-MM-DD"), 4)</f>
        <v>2011</v>
      </c>
      <c r="AF646" s="45" t="str">
        <f aca="false">RIGHT(TEXT(B646, "YYYY-MM-DD"), 2)</f>
        <v>30</v>
      </c>
    </row>
    <row r="647" customFormat="false" ht="15" hidden="false" customHeight="false" outlineLevel="0" collapsed="false">
      <c r="A647" s="37" t="n">
        <v>643</v>
      </c>
      <c r="B647" s="38" t="s">
        <v>113</v>
      </c>
      <c r="C647" s="37" t="n">
        <v>1</v>
      </c>
      <c r="D647" s="35" t="str">
        <f aca="false">VLOOKUP(C647, Lookups_Metadata!$A$4:$B$7, 2, FALSE())</f>
        <v>Spring</v>
      </c>
      <c r="E647" s="37" t="n">
        <v>0</v>
      </c>
      <c r="F647" s="37" t="n">
        <v>1</v>
      </c>
      <c r="G647" s="37" t="n">
        <v>1</v>
      </c>
      <c r="H647" s="39" t="b">
        <f aca="false">FALSE()</f>
        <v>0</v>
      </c>
      <c r="I647" s="37" t="n">
        <v>0</v>
      </c>
      <c r="J647" s="35" t="str">
        <f aca="false">INDEX(Lookups_Metadata!$E$4:$E$10, MATCH(I647, Lookups_Metadata!$D$4:$D$10, 0))</f>
        <v>Sunday</v>
      </c>
      <c r="K647" s="35" t="str">
        <f aca="false">IF(H647=TRUE(), "Holiday", IF(OR(I647=0, I647=6), "Weekend", "Weekday"))</f>
        <v>Weekend</v>
      </c>
      <c r="L647" s="35" t="str">
        <f aca="false">IF(AND(K647="Weekday", OR(AND(G647&gt;=7, G647&lt;=9), AND(G647&gt;=17, G647&lt;=19))), "Peak Commute", "Off-Peak")</f>
        <v>Off-Peak</v>
      </c>
      <c r="M647" s="37" t="n">
        <v>1</v>
      </c>
      <c r="N647" s="35" t="str">
        <f aca="false">VLOOKUP(M647, Lookups_Metadata!$G$4:$H$7, 2, FALSE())</f>
        <v>Clear / Few Clouds</v>
      </c>
      <c r="O647" s="40" t="n">
        <v>0.14</v>
      </c>
      <c r="P647" s="40" t="n">
        <v>0.2121</v>
      </c>
      <c r="Q647" s="40" t="n">
        <f aca="false">IF(OR(P647="", ISBLANK(P647)), ROUND(0.9367*O647+0.0175, 4), P647)</f>
        <v>0.2121</v>
      </c>
      <c r="R647" s="35" t="str">
        <f aca="false">IF(OR(P647="", ISBLANK(P647)), "Imputed (Regression/Trend)", "Original")</f>
        <v>Original</v>
      </c>
      <c r="S647" s="40" t="n">
        <v>0.8</v>
      </c>
      <c r="T647" s="40" t="n">
        <v>0</v>
      </c>
      <c r="U647" s="41" t="n">
        <v>7</v>
      </c>
      <c r="V647" s="41" t="n">
        <v>22</v>
      </c>
      <c r="W647" s="41" t="n">
        <f aca="false">U647+V647</f>
        <v>29</v>
      </c>
      <c r="X647" s="42" t="n">
        <f aca="false">U647/W647</f>
        <v>0.241379310344828</v>
      </c>
      <c r="Y647" s="42" t="n">
        <f aca="false">V647/W647</f>
        <v>0.758620689655172</v>
      </c>
      <c r="Z647" s="35" t="str">
        <f aca="false">IF(W647&gt;=150, "High Demand", IF(W647&gt;=50, "Moderate Demand", "Low Demand"))</f>
        <v>Low Demand</v>
      </c>
      <c r="AA647" s="39" t="str">
        <f aca="false">TEXT(G647, "00") &amp; ":00"</f>
        <v>01:00</v>
      </c>
      <c r="AB647" s="37" t="n">
        <f aca="false">YEAR(B647)</f>
        <v>2011</v>
      </c>
      <c r="AC647" s="35" t="str">
        <f aca="false">TEXT(B647, "mmmm")</f>
        <v>January</v>
      </c>
      <c r="AD647" s="37" t="n">
        <f aca="false">LEN(TEXT(B647, "YYYY-MM-DD"))</f>
        <v>10</v>
      </c>
      <c r="AE647" s="39" t="str">
        <f aca="false">LEFT(TEXT(B647, "YYYY-MM-DD"), 4)</f>
        <v>2011</v>
      </c>
      <c r="AF647" s="39" t="str">
        <f aca="false">RIGHT(TEXT(B647, "YYYY-MM-DD"), 2)</f>
        <v>30</v>
      </c>
    </row>
    <row r="648" customFormat="false" ht="15" hidden="false" customHeight="false" outlineLevel="0" collapsed="false">
      <c r="A648" s="43" t="n">
        <v>644</v>
      </c>
      <c r="B648" s="44" t="s">
        <v>113</v>
      </c>
      <c r="C648" s="43" t="n">
        <v>1</v>
      </c>
      <c r="D648" s="33" t="str">
        <f aca="false">VLOOKUP(C648, Lookups_Metadata!$A$4:$B$7, 2, FALSE())</f>
        <v>Spring</v>
      </c>
      <c r="E648" s="43" t="n">
        <v>0</v>
      </c>
      <c r="F648" s="43" t="n">
        <v>1</v>
      </c>
      <c r="G648" s="43" t="n">
        <v>2</v>
      </c>
      <c r="H648" s="45" t="b">
        <f aca="false">FALSE()</f>
        <v>0</v>
      </c>
      <c r="I648" s="43" t="n">
        <v>0</v>
      </c>
      <c r="J648" s="33" t="str">
        <f aca="false">INDEX(Lookups_Metadata!$E$4:$E$10, MATCH(I648, Lookups_Metadata!$D$4:$D$10, 0))</f>
        <v>Sunday</v>
      </c>
      <c r="K648" s="33" t="str">
        <f aca="false">IF(H648=TRUE(), "Holiday", IF(OR(I648=0, I648=6), "Weekend", "Weekday"))</f>
        <v>Weekend</v>
      </c>
      <c r="L648" s="33" t="str">
        <f aca="false">IF(AND(K648="Weekday", OR(AND(G648&gt;=7, G648&lt;=9), AND(G648&gt;=17, G648&lt;=19))), "Peak Commute", "Off-Peak")</f>
        <v>Off-Peak</v>
      </c>
      <c r="M648" s="43" t="n">
        <v>1</v>
      </c>
      <c r="N648" s="33" t="str">
        <f aca="false">VLOOKUP(M648, Lookups_Metadata!$G$4:$H$7, 2, FALSE())</f>
        <v>Clear / Few Clouds</v>
      </c>
      <c r="O648" s="46" t="n">
        <v>0.16</v>
      </c>
      <c r="P648" s="46" t="n">
        <v>0.2273</v>
      </c>
      <c r="Q648" s="46" t="n">
        <f aca="false">IF(OR(P648="", ISBLANK(P648)), ROUND(0.9367*O648+0.0175, 4), P648)</f>
        <v>0.2273</v>
      </c>
      <c r="R648" s="33" t="str">
        <f aca="false">IF(OR(P648="", ISBLANK(P648)), "Imputed (Regression/Trend)", "Original")</f>
        <v>Original</v>
      </c>
      <c r="S648" s="46" t="n">
        <v>0.8</v>
      </c>
      <c r="T648" s="46" t="n">
        <v>0</v>
      </c>
      <c r="U648" s="18" t="n">
        <v>1</v>
      </c>
      <c r="V648" s="18" t="n">
        <v>10</v>
      </c>
      <c r="W648" s="18" t="n">
        <f aca="false">U648+V648</f>
        <v>11</v>
      </c>
      <c r="X648" s="47" t="n">
        <f aca="false">U648/W648</f>
        <v>0.0909090909090909</v>
      </c>
      <c r="Y648" s="47" t="n">
        <f aca="false">V648/W648</f>
        <v>0.909090909090909</v>
      </c>
      <c r="Z648" s="33" t="str">
        <f aca="false">IF(W648&gt;=150, "High Demand", IF(W648&gt;=50, "Moderate Demand", "Low Demand"))</f>
        <v>Low Demand</v>
      </c>
      <c r="AA648" s="45" t="str">
        <f aca="false">TEXT(G648, "00") &amp; ":00"</f>
        <v>02:00</v>
      </c>
      <c r="AB648" s="43" t="n">
        <f aca="false">YEAR(B648)</f>
        <v>2011</v>
      </c>
      <c r="AC648" s="33" t="str">
        <f aca="false">TEXT(B648, "mmmm")</f>
        <v>January</v>
      </c>
      <c r="AD648" s="43" t="n">
        <f aca="false">LEN(TEXT(B648, "YYYY-MM-DD"))</f>
        <v>10</v>
      </c>
      <c r="AE648" s="45" t="str">
        <f aca="false">LEFT(TEXT(B648, "YYYY-MM-DD"), 4)</f>
        <v>2011</v>
      </c>
      <c r="AF648" s="45" t="str">
        <f aca="false">RIGHT(TEXT(B648, "YYYY-MM-DD"), 2)</f>
        <v>30</v>
      </c>
    </row>
    <row r="649" customFormat="false" ht="15" hidden="false" customHeight="false" outlineLevel="0" collapsed="false">
      <c r="A649" s="37" t="n">
        <v>645</v>
      </c>
      <c r="B649" s="38" t="s">
        <v>113</v>
      </c>
      <c r="C649" s="37" t="n">
        <v>1</v>
      </c>
      <c r="D649" s="35" t="str">
        <f aca="false">VLOOKUP(C649, Lookups_Metadata!$A$4:$B$7, 2, FALSE())</f>
        <v>Spring</v>
      </c>
      <c r="E649" s="37" t="n">
        <v>0</v>
      </c>
      <c r="F649" s="37" t="n">
        <v>1</v>
      </c>
      <c r="G649" s="37" t="n">
        <v>3</v>
      </c>
      <c r="H649" s="39" t="b">
        <f aca="false">FALSE()</f>
        <v>0</v>
      </c>
      <c r="I649" s="37" t="n">
        <v>0</v>
      </c>
      <c r="J649" s="35" t="str">
        <f aca="false">INDEX(Lookups_Metadata!$E$4:$E$10, MATCH(I649, Lookups_Metadata!$D$4:$D$10, 0))</f>
        <v>Sunday</v>
      </c>
      <c r="K649" s="35" t="str">
        <f aca="false">IF(H649=TRUE(), "Holiday", IF(OR(I649=0, I649=6), "Weekend", "Weekday"))</f>
        <v>Weekend</v>
      </c>
      <c r="L649" s="35" t="str">
        <f aca="false">IF(AND(K649="Weekday", OR(AND(G649&gt;=7, G649&lt;=9), AND(G649&gt;=17, G649&lt;=19))), "Peak Commute", "Off-Peak")</f>
        <v>Off-Peak</v>
      </c>
      <c r="M649" s="37" t="n">
        <v>1</v>
      </c>
      <c r="N649" s="35" t="str">
        <f aca="false">VLOOKUP(M649, Lookups_Metadata!$G$4:$H$7, 2, FALSE())</f>
        <v>Clear / Few Clouds</v>
      </c>
      <c r="O649" s="40" t="n">
        <v>0.14</v>
      </c>
      <c r="P649" s="40" t="n">
        <v>0.2121</v>
      </c>
      <c r="Q649" s="40" t="n">
        <f aca="false">IF(OR(P649="", ISBLANK(P649)), ROUND(0.9367*O649+0.0175, 4), P649)</f>
        <v>0.2121</v>
      </c>
      <c r="R649" s="35" t="str">
        <f aca="false">IF(OR(P649="", ISBLANK(P649)), "Imputed (Regression/Trend)", "Original")</f>
        <v>Original</v>
      </c>
      <c r="S649" s="40" t="n">
        <v>0.93</v>
      </c>
      <c r="T649" s="40" t="n">
        <v>0</v>
      </c>
      <c r="U649" s="41" t="n">
        <v>1</v>
      </c>
      <c r="V649" s="41" t="n">
        <v>7</v>
      </c>
      <c r="W649" s="41" t="n">
        <f aca="false">U649+V649</f>
        <v>8</v>
      </c>
      <c r="X649" s="42" t="n">
        <f aca="false">U649/W649</f>
        <v>0.125</v>
      </c>
      <c r="Y649" s="42" t="n">
        <f aca="false">V649/W649</f>
        <v>0.875</v>
      </c>
      <c r="Z649" s="35" t="str">
        <f aca="false">IF(W649&gt;=150, "High Demand", IF(W649&gt;=50, "Moderate Demand", "Low Demand"))</f>
        <v>Low Demand</v>
      </c>
      <c r="AA649" s="39" t="str">
        <f aca="false">TEXT(G649, "00") &amp; ":00"</f>
        <v>03:00</v>
      </c>
      <c r="AB649" s="37" t="n">
        <f aca="false">YEAR(B649)</f>
        <v>2011</v>
      </c>
      <c r="AC649" s="35" t="str">
        <f aca="false">TEXT(B649, "mmmm")</f>
        <v>January</v>
      </c>
      <c r="AD649" s="37" t="n">
        <f aca="false">LEN(TEXT(B649, "YYYY-MM-DD"))</f>
        <v>10</v>
      </c>
      <c r="AE649" s="39" t="str">
        <f aca="false">LEFT(TEXT(B649, "YYYY-MM-DD"), 4)</f>
        <v>2011</v>
      </c>
      <c r="AF649" s="39" t="str">
        <f aca="false">RIGHT(TEXT(B649, "YYYY-MM-DD"), 2)</f>
        <v>30</v>
      </c>
    </row>
    <row r="650" customFormat="false" ht="15" hidden="false" customHeight="false" outlineLevel="0" collapsed="false">
      <c r="A650" s="43" t="n">
        <v>646</v>
      </c>
      <c r="B650" s="44" t="s">
        <v>113</v>
      </c>
      <c r="C650" s="43" t="n">
        <v>1</v>
      </c>
      <c r="D650" s="33" t="str">
        <f aca="false">VLOOKUP(C650, Lookups_Metadata!$A$4:$B$7, 2, FALSE())</f>
        <v>Spring</v>
      </c>
      <c r="E650" s="43" t="n">
        <v>0</v>
      </c>
      <c r="F650" s="43" t="n">
        <v>1</v>
      </c>
      <c r="G650" s="43" t="n">
        <v>4</v>
      </c>
      <c r="H650" s="45" t="b">
        <f aca="false">FALSE()</f>
        <v>0</v>
      </c>
      <c r="I650" s="43" t="n">
        <v>0</v>
      </c>
      <c r="J650" s="33" t="str">
        <f aca="false">INDEX(Lookups_Metadata!$E$4:$E$10, MATCH(I650, Lookups_Metadata!$D$4:$D$10, 0))</f>
        <v>Sunday</v>
      </c>
      <c r="K650" s="33" t="str">
        <f aca="false">IF(H650=TRUE(), "Holiday", IF(OR(I650=0, I650=6), "Weekend", "Weekday"))</f>
        <v>Weekend</v>
      </c>
      <c r="L650" s="33" t="str">
        <f aca="false">IF(AND(K650="Weekday", OR(AND(G650&gt;=7, G650&lt;=9), AND(G650&gt;=17, G650&lt;=19))), "Peak Commute", "Off-Peak")</f>
        <v>Off-Peak</v>
      </c>
      <c r="M650" s="43" t="n">
        <v>1</v>
      </c>
      <c r="N650" s="33" t="str">
        <f aca="false">VLOOKUP(M650, Lookups_Metadata!$G$4:$H$7, 2, FALSE())</f>
        <v>Clear / Few Clouds</v>
      </c>
      <c r="O650" s="46" t="n">
        <v>0.14</v>
      </c>
      <c r="P650" s="46" t="n">
        <v>0.2121</v>
      </c>
      <c r="Q650" s="46" t="n">
        <f aca="false">IF(OR(P650="", ISBLANK(P650)), ROUND(0.9367*O650+0.0175, 4), P650)</f>
        <v>0.2121</v>
      </c>
      <c r="R650" s="33" t="str">
        <f aca="false">IF(OR(P650="", ISBLANK(P650)), "Imputed (Regression/Trend)", "Original")</f>
        <v>Original</v>
      </c>
      <c r="S650" s="46" t="n">
        <v>0.93</v>
      </c>
      <c r="T650" s="46" t="n">
        <v>0</v>
      </c>
      <c r="U650" s="18" t="n">
        <v>0</v>
      </c>
      <c r="V650" s="18" t="n">
        <v>1</v>
      </c>
      <c r="W650" s="18" t="n">
        <f aca="false">U650+V650</f>
        <v>1</v>
      </c>
      <c r="X650" s="47" t="n">
        <f aca="false">U650/W650</f>
        <v>0</v>
      </c>
      <c r="Y650" s="47" t="n">
        <f aca="false">V650/W650</f>
        <v>1</v>
      </c>
      <c r="Z650" s="33" t="str">
        <f aca="false">IF(W650&gt;=150, "High Demand", IF(W650&gt;=50, "Moderate Demand", "Low Demand"))</f>
        <v>Low Demand</v>
      </c>
      <c r="AA650" s="45" t="str">
        <f aca="false">TEXT(G650, "00") &amp; ":00"</f>
        <v>04:00</v>
      </c>
      <c r="AB650" s="43" t="n">
        <f aca="false">YEAR(B650)</f>
        <v>2011</v>
      </c>
      <c r="AC650" s="33" t="str">
        <f aca="false">TEXT(B650, "mmmm")</f>
        <v>January</v>
      </c>
      <c r="AD650" s="43" t="n">
        <f aca="false">LEN(TEXT(B650, "YYYY-MM-DD"))</f>
        <v>10</v>
      </c>
      <c r="AE650" s="45" t="str">
        <f aca="false">LEFT(TEXT(B650, "YYYY-MM-DD"), 4)</f>
        <v>2011</v>
      </c>
      <c r="AF650" s="45" t="str">
        <f aca="false">RIGHT(TEXT(B650, "YYYY-MM-DD"), 2)</f>
        <v>30</v>
      </c>
    </row>
    <row r="651" customFormat="false" ht="15" hidden="false" customHeight="false" outlineLevel="0" collapsed="false">
      <c r="A651" s="37" t="n">
        <v>647</v>
      </c>
      <c r="B651" s="38" t="s">
        <v>113</v>
      </c>
      <c r="C651" s="37" t="n">
        <v>1</v>
      </c>
      <c r="D651" s="35" t="str">
        <f aca="false">VLOOKUP(C651, Lookups_Metadata!$A$4:$B$7, 2, FALSE())</f>
        <v>Spring</v>
      </c>
      <c r="E651" s="37" t="n">
        <v>0</v>
      </c>
      <c r="F651" s="37" t="n">
        <v>1</v>
      </c>
      <c r="G651" s="37" t="n">
        <v>5</v>
      </c>
      <c r="H651" s="39" t="b">
        <f aca="false">FALSE()</f>
        <v>0</v>
      </c>
      <c r="I651" s="37" t="n">
        <v>0</v>
      </c>
      <c r="J651" s="35" t="str">
        <f aca="false">INDEX(Lookups_Metadata!$E$4:$E$10, MATCH(I651, Lookups_Metadata!$D$4:$D$10, 0))</f>
        <v>Sunday</v>
      </c>
      <c r="K651" s="35" t="str">
        <f aca="false">IF(H651=TRUE(), "Holiday", IF(OR(I651=0, I651=6), "Weekend", "Weekday"))</f>
        <v>Weekend</v>
      </c>
      <c r="L651" s="35" t="str">
        <f aca="false">IF(AND(K651="Weekday", OR(AND(G651&gt;=7, G651&lt;=9), AND(G651&gt;=17, G651&lt;=19))), "Peak Commute", "Off-Peak")</f>
        <v>Off-Peak</v>
      </c>
      <c r="M651" s="37" t="n">
        <v>1</v>
      </c>
      <c r="N651" s="35" t="str">
        <f aca="false">VLOOKUP(M651, Lookups_Metadata!$G$4:$H$7, 2, FALSE())</f>
        <v>Clear / Few Clouds</v>
      </c>
      <c r="O651" s="40" t="n">
        <v>0.14</v>
      </c>
      <c r="P651" s="40" t="n">
        <v>0.2121</v>
      </c>
      <c r="Q651" s="40" t="n">
        <f aca="false">IF(OR(P651="", ISBLANK(P651)), ROUND(0.9367*O651+0.0175, 4), P651)</f>
        <v>0.2121</v>
      </c>
      <c r="R651" s="35" t="str">
        <f aca="false">IF(OR(P651="", ISBLANK(P651)), "Imputed (Regression/Trend)", "Original")</f>
        <v>Original</v>
      </c>
      <c r="S651" s="40" t="n">
        <v>0.86</v>
      </c>
      <c r="T651" s="40" t="n">
        <v>0</v>
      </c>
      <c r="U651" s="41" t="n">
        <v>0</v>
      </c>
      <c r="V651" s="41" t="n">
        <v>3</v>
      </c>
      <c r="W651" s="41" t="n">
        <f aca="false">U651+V651</f>
        <v>3</v>
      </c>
      <c r="X651" s="42" t="n">
        <f aca="false">U651/W651</f>
        <v>0</v>
      </c>
      <c r="Y651" s="42" t="n">
        <f aca="false">V651/W651</f>
        <v>1</v>
      </c>
      <c r="Z651" s="35" t="str">
        <f aca="false">IF(W651&gt;=150, "High Demand", IF(W651&gt;=50, "Moderate Demand", "Low Demand"))</f>
        <v>Low Demand</v>
      </c>
      <c r="AA651" s="39" t="str">
        <f aca="false">TEXT(G651, "00") &amp; ":00"</f>
        <v>05:00</v>
      </c>
      <c r="AB651" s="37" t="n">
        <f aca="false">YEAR(B651)</f>
        <v>2011</v>
      </c>
      <c r="AC651" s="35" t="str">
        <f aca="false">TEXT(B651, "mmmm")</f>
        <v>January</v>
      </c>
      <c r="AD651" s="37" t="n">
        <f aca="false">LEN(TEXT(B651, "YYYY-MM-DD"))</f>
        <v>10</v>
      </c>
      <c r="AE651" s="39" t="str">
        <f aca="false">LEFT(TEXT(B651, "YYYY-MM-DD"), 4)</f>
        <v>2011</v>
      </c>
      <c r="AF651" s="39" t="str">
        <f aca="false">RIGHT(TEXT(B651, "YYYY-MM-DD"), 2)</f>
        <v>30</v>
      </c>
    </row>
    <row r="652" customFormat="false" ht="15" hidden="false" customHeight="false" outlineLevel="0" collapsed="false">
      <c r="A652" s="43" t="n">
        <v>648</v>
      </c>
      <c r="B652" s="44" t="s">
        <v>113</v>
      </c>
      <c r="C652" s="43" t="n">
        <v>1</v>
      </c>
      <c r="D652" s="33" t="str">
        <f aca="false">VLOOKUP(C652, Lookups_Metadata!$A$4:$B$7, 2, FALSE())</f>
        <v>Spring</v>
      </c>
      <c r="E652" s="43" t="n">
        <v>0</v>
      </c>
      <c r="F652" s="43" t="n">
        <v>1</v>
      </c>
      <c r="G652" s="43" t="n">
        <v>7</v>
      </c>
      <c r="H652" s="45" t="b">
        <f aca="false">FALSE()</f>
        <v>0</v>
      </c>
      <c r="I652" s="43" t="n">
        <v>0</v>
      </c>
      <c r="J652" s="33" t="str">
        <f aca="false">INDEX(Lookups_Metadata!$E$4:$E$10, MATCH(I652, Lookups_Metadata!$D$4:$D$10, 0))</f>
        <v>Sunday</v>
      </c>
      <c r="K652" s="33" t="str">
        <f aca="false">IF(H652=TRUE(), "Holiday", IF(OR(I652=0, I652=6), "Weekend", "Weekday"))</f>
        <v>Weekend</v>
      </c>
      <c r="L652" s="33" t="str">
        <f aca="false">IF(AND(K652="Weekday", OR(AND(G652&gt;=7, G652&lt;=9), AND(G652&gt;=17, G652&lt;=19))), "Peak Commute", "Off-Peak")</f>
        <v>Off-Peak</v>
      </c>
      <c r="M652" s="43" t="n">
        <v>1</v>
      </c>
      <c r="N652" s="33" t="str">
        <f aca="false">VLOOKUP(M652, Lookups_Metadata!$G$4:$H$7, 2, FALSE())</f>
        <v>Clear / Few Clouds</v>
      </c>
      <c r="O652" s="46" t="n">
        <v>0.14</v>
      </c>
      <c r="P652" s="46" t="n">
        <v>0.2121</v>
      </c>
      <c r="Q652" s="46" t="n">
        <f aca="false">IF(OR(P652="", ISBLANK(P652)), ROUND(0.9367*O652+0.0175, 4), P652)</f>
        <v>0.2121</v>
      </c>
      <c r="R652" s="33" t="str">
        <f aca="false">IF(OR(P652="", ISBLANK(P652)), "Imputed (Regression/Trend)", "Original")</f>
        <v>Original</v>
      </c>
      <c r="S652" s="46" t="n">
        <v>0.86</v>
      </c>
      <c r="T652" s="46" t="n">
        <v>0</v>
      </c>
      <c r="U652" s="18" t="n">
        <v>0</v>
      </c>
      <c r="V652" s="18" t="n">
        <v>3</v>
      </c>
      <c r="W652" s="18" t="n">
        <f aca="false">U652+V652</f>
        <v>3</v>
      </c>
      <c r="X652" s="47" t="n">
        <f aca="false">U652/W652</f>
        <v>0</v>
      </c>
      <c r="Y652" s="47" t="n">
        <f aca="false">V652/W652</f>
        <v>1</v>
      </c>
      <c r="Z652" s="33" t="str">
        <f aca="false">IF(W652&gt;=150, "High Demand", IF(W652&gt;=50, "Moderate Demand", "Low Demand"))</f>
        <v>Low Demand</v>
      </c>
      <c r="AA652" s="45" t="str">
        <f aca="false">TEXT(G652, "00") &amp; ":00"</f>
        <v>07:00</v>
      </c>
      <c r="AB652" s="43" t="n">
        <f aca="false">YEAR(B652)</f>
        <v>2011</v>
      </c>
      <c r="AC652" s="33" t="str">
        <f aca="false">TEXT(B652, "mmmm")</f>
        <v>January</v>
      </c>
      <c r="AD652" s="43" t="n">
        <f aca="false">LEN(TEXT(B652, "YYYY-MM-DD"))</f>
        <v>10</v>
      </c>
      <c r="AE652" s="45" t="str">
        <f aca="false">LEFT(TEXT(B652, "YYYY-MM-DD"), 4)</f>
        <v>2011</v>
      </c>
      <c r="AF652" s="45" t="str">
        <f aca="false">RIGHT(TEXT(B652, "YYYY-MM-DD"), 2)</f>
        <v>30</v>
      </c>
    </row>
    <row r="653" customFormat="false" ht="15" hidden="false" customHeight="false" outlineLevel="0" collapsed="false">
      <c r="A653" s="37" t="n">
        <v>649</v>
      </c>
      <c r="B653" s="38" t="s">
        <v>113</v>
      </c>
      <c r="C653" s="37" t="n">
        <v>1</v>
      </c>
      <c r="D653" s="35" t="str">
        <f aca="false">VLOOKUP(C653, Lookups_Metadata!$A$4:$B$7, 2, FALSE())</f>
        <v>Spring</v>
      </c>
      <c r="E653" s="37" t="n">
        <v>0</v>
      </c>
      <c r="F653" s="37" t="n">
        <v>1</v>
      </c>
      <c r="G653" s="37" t="n">
        <v>8</v>
      </c>
      <c r="H653" s="39" t="b">
        <f aca="false">FALSE()</f>
        <v>0</v>
      </c>
      <c r="I653" s="37" t="n">
        <v>0</v>
      </c>
      <c r="J653" s="35" t="str">
        <f aca="false">INDEX(Lookups_Metadata!$E$4:$E$10, MATCH(I653, Lookups_Metadata!$D$4:$D$10, 0))</f>
        <v>Sunday</v>
      </c>
      <c r="K653" s="35" t="str">
        <f aca="false">IF(H653=TRUE(), "Holiday", IF(OR(I653=0, I653=6), "Weekend", "Weekday"))</f>
        <v>Weekend</v>
      </c>
      <c r="L653" s="35" t="str">
        <f aca="false">IF(AND(K653="Weekday", OR(AND(G653&gt;=7, G653&lt;=9), AND(G653&gt;=17, G653&lt;=19))), "Peak Commute", "Off-Peak")</f>
        <v>Off-Peak</v>
      </c>
      <c r="M653" s="37" t="n">
        <v>2</v>
      </c>
      <c r="N653" s="35" t="str">
        <f aca="false">VLOOKUP(M653, Lookups_Metadata!$G$4:$H$7, 2, FALSE())</f>
        <v>Mist / Cloudy</v>
      </c>
      <c r="O653" s="40" t="n">
        <v>0.14</v>
      </c>
      <c r="P653" s="40" t="n">
        <v>0.2121</v>
      </c>
      <c r="Q653" s="40" t="n">
        <f aca="false">IF(OR(P653="", ISBLANK(P653)), ROUND(0.9367*O653+0.0175, 4), P653)</f>
        <v>0.2121</v>
      </c>
      <c r="R653" s="35" t="str">
        <f aca="false">IF(OR(P653="", ISBLANK(P653)), "Imputed (Regression/Trend)", "Original")</f>
        <v>Original</v>
      </c>
      <c r="S653" s="40" t="n">
        <v>0.86</v>
      </c>
      <c r="T653" s="40" t="n">
        <v>0</v>
      </c>
      <c r="U653" s="41" t="n">
        <v>1</v>
      </c>
      <c r="V653" s="41" t="n">
        <v>11</v>
      </c>
      <c r="W653" s="41" t="n">
        <f aca="false">U653+V653</f>
        <v>12</v>
      </c>
      <c r="X653" s="42" t="n">
        <f aca="false">U653/W653</f>
        <v>0.0833333333333333</v>
      </c>
      <c r="Y653" s="42" t="n">
        <f aca="false">V653/W653</f>
        <v>0.916666666666667</v>
      </c>
      <c r="Z653" s="35" t="str">
        <f aca="false">IF(W653&gt;=150, "High Demand", IF(W653&gt;=50, "Moderate Demand", "Low Demand"))</f>
        <v>Low Demand</v>
      </c>
      <c r="AA653" s="39" t="str">
        <f aca="false">TEXT(G653, "00") &amp; ":00"</f>
        <v>08:00</v>
      </c>
      <c r="AB653" s="37" t="n">
        <f aca="false">YEAR(B653)</f>
        <v>2011</v>
      </c>
      <c r="AC653" s="35" t="str">
        <f aca="false">TEXT(B653, "mmmm")</f>
        <v>January</v>
      </c>
      <c r="AD653" s="37" t="n">
        <f aca="false">LEN(TEXT(B653, "YYYY-MM-DD"))</f>
        <v>10</v>
      </c>
      <c r="AE653" s="39" t="str">
        <f aca="false">LEFT(TEXT(B653, "YYYY-MM-DD"), 4)</f>
        <v>2011</v>
      </c>
      <c r="AF653" s="39" t="str">
        <f aca="false">RIGHT(TEXT(B653, "YYYY-MM-DD"), 2)</f>
        <v>30</v>
      </c>
    </row>
    <row r="654" customFormat="false" ht="15" hidden="false" customHeight="false" outlineLevel="0" collapsed="false">
      <c r="A654" s="43" t="n">
        <v>650</v>
      </c>
      <c r="B654" s="44" t="s">
        <v>113</v>
      </c>
      <c r="C654" s="43" t="n">
        <v>1</v>
      </c>
      <c r="D654" s="33" t="str">
        <f aca="false">VLOOKUP(C654, Lookups_Metadata!$A$4:$B$7, 2, FALSE())</f>
        <v>Spring</v>
      </c>
      <c r="E654" s="43" t="n">
        <v>0</v>
      </c>
      <c r="F654" s="43" t="n">
        <v>1</v>
      </c>
      <c r="G654" s="43" t="n">
        <v>9</v>
      </c>
      <c r="H654" s="45" t="b">
        <f aca="false">FALSE()</f>
        <v>0</v>
      </c>
      <c r="I654" s="43" t="n">
        <v>0</v>
      </c>
      <c r="J654" s="33" t="str">
        <f aca="false">INDEX(Lookups_Metadata!$E$4:$E$10, MATCH(I654, Lookups_Metadata!$D$4:$D$10, 0))</f>
        <v>Sunday</v>
      </c>
      <c r="K654" s="33" t="str">
        <f aca="false">IF(H654=TRUE(), "Holiday", IF(OR(I654=0, I654=6), "Weekend", "Weekday"))</f>
        <v>Weekend</v>
      </c>
      <c r="L654" s="33" t="str">
        <f aca="false">IF(AND(K654="Weekday", OR(AND(G654&gt;=7, G654&lt;=9), AND(G654&gt;=17, G654&lt;=19))), "Peak Commute", "Off-Peak")</f>
        <v>Off-Peak</v>
      </c>
      <c r="M654" s="43" t="n">
        <v>2</v>
      </c>
      <c r="N654" s="33" t="str">
        <f aca="false">VLOOKUP(M654, Lookups_Metadata!$G$4:$H$7, 2, FALSE())</f>
        <v>Mist / Cloudy</v>
      </c>
      <c r="O654" s="46" t="n">
        <v>0.16</v>
      </c>
      <c r="P654" s="46" t="n">
        <v>0.2273</v>
      </c>
      <c r="Q654" s="46" t="n">
        <f aca="false">IF(OR(P654="", ISBLANK(P654)), ROUND(0.9367*O654+0.0175, 4), P654)</f>
        <v>0.2273</v>
      </c>
      <c r="R654" s="33" t="str">
        <f aca="false">IF(OR(P654="", ISBLANK(P654)), "Imputed (Regression/Trend)", "Original")</f>
        <v>Original</v>
      </c>
      <c r="S654" s="46" t="n">
        <v>0.8</v>
      </c>
      <c r="T654" s="46" t="n">
        <v>0</v>
      </c>
      <c r="U654" s="18" t="n">
        <v>4</v>
      </c>
      <c r="V654" s="18" t="n">
        <v>34</v>
      </c>
      <c r="W654" s="18" t="n">
        <f aca="false">U654+V654</f>
        <v>38</v>
      </c>
      <c r="X654" s="47" t="n">
        <f aca="false">U654/W654</f>
        <v>0.105263157894737</v>
      </c>
      <c r="Y654" s="47" t="n">
        <f aca="false">V654/W654</f>
        <v>0.894736842105263</v>
      </c>
      <c r="Z654" s="33" t="str">
        <f aca="false">IF(W654&gt;=150, "High Demand", IF(W654&gt;=50, "Moderate Demand", "Low Demand"))</f>
        <v>Low Demand</v>
      </c>
      <c r="AA654" s="45" t="str">
        <f aca="false">TEXT(G654, "00") &amp; ":00"</f>
        <v>09:00</v>
      </c>
      <c r="AB654" s="43" t="n">
        <f aca="false">YEAR(B654)</f>
        <v>2011</v>
      </c>
      <c r="AC654" s="33" t="str">
        <f aca="false">TEXT(B654, "mmmm")</f>
        <v>January</v>
      </c>
      <c r="AD654" s="43" t="n">
        <f aca="false">LEN(TEXT(B654, "YYYY-MM-DD"))</f>
        <v>10</v>
      </c>
      <c r="AE654" s="45" t="str">
        <f aca="false">LEFT(TEXT(B654, "YYYY-MM-DD"), 4)</f>
        <v>2011</v>
      </c>
      <c r="AF654" s="45" t="str">
        <f aca="false">RIGHT(TEXT(B654, "YYYY-MM-DD"), 2)</f>
        <v>30</v>
      </c>
    </row>
    <row r="655" customFormat="false" ht="15" hidden="false" customHeight="false" outlineLevel="0" collapsed="false">
      <c r="A655" s="37" t="n">
        <v>651</v>
      </c>
      <c r="B655" s="38" t="s">
        <v>113</v>
      </c>
      <c r="C655" s="37" t="n">
        <v>1</v>
      </c>
      <c r="D655" s="35" t="str">
        <f aca="false">VLOOKUP(C655, Lookups_Metadata!$A$4:$B$7, 2, FALSE())</f>
        <v>Spring</v>
      </c>
      <c r="E655" s="37" t="n">
        <v>0</v>
      </c>
      <c r="F655" s="37" t="n">
        <v>1</v>
      </c>
      <c r="G655" s="37" t="n">
        <v>10</v>
      </c>
      <c r="H655" s="39" t="b">
        <f aca="false">FALSE()</f>
        <v>0</v>
      </c>
      <c r="I655" s="37" t="n">
        <v>0</v>
      </c>
      <c r="J655" s="35" t="str">
        <f aca="false">INDEX(Lookups_Metadata!$E$4:$E$10, MATCH(I655, Lookups_Metadata!$D$4:$D$10, 0))</f>
        <v>Sunday</v>
      </c>
      <c r="K655" s="35" t="str">
        <f aca="false">IF(H655=TRUE(), "Holiday", IF(OR(I655=0, I655=6), "Weekend", "Weekday"))</f>
        <v>Weekend</v>
      </c>
      <c r="L655" s="35" t="str">
        <f aca="false">IF(AND(K655="Weekday", OR(AND(G655&gt;=7, G655&lt;=9), AND(G655&gt;=17, G655&lt;=19))), "Peak Commute", "Off-Peak")</f>
        <v>Off-Peak</v>
      </c>
      <c r="M655" s="37" t="n">
        <v>2</v>
      </c>
      <c r="N655" s="35" t="str">
        <f aca="false">VLOOKUP(M655, Lookups_Metadata!$G$4:$H$7, 2, FALSE())</f>
        <v>Mist / Cloudy</v>
      </c>
      <c r="O655" s="40" t="n">
        <v>0.18</v>
      </c>
      <c r="P655" s="40" t="n">
        <v>0.2424</v>
      </c>
      <c r="Q655" s="40" t="n">
        <f aca="false">IF(OR(P655="", ISBLANK(P655)), ROUND(0.9367*O655+0.0175, 4), P655)</f>
        <v>0.2424</v>
      </c>
      <c r="R655" s="35" t="str">
        <f aca="false">IF(OR(P655="", ISBLANK(P655)), "Imputed (Regression/Trend)", "Original")</f>
        <v>Original</v>
      </c>
      <c r="S655" s="40" t="n">
        <v>0.8</v>
      </c>
      <c r="T655" s="40" t="n">
        <v>0</v>
      </c>
      <c r="U655" s="41" t="n">
        <v>7</v>
      </c>
      <c r="V655" s="41" t="n">
        <v>57</v>
      </c>
      <c r="W655" s="41" t="n">
        <f aca="false">U655+V655</f>
        <v>64</v>
      </c>
      <c r="X655" s="42" t="n">
        <f aca="false">U655/W655</f>
        <v>0.109375</v>
      </c>
      <c r="Y655" s="42" t="n">
        <f aca="false">V655/W655</f>
        <v>0.890625</v>
      </c>
      <c r="Z655" s="35" t="str">
        <f aca="false">IF(W655&gt;=150, "High Demand", IF(W655&gt;=50, "Moderate Demand", "Low Demand"))</f>
        <v>Moderate Demand</v>
      </c>
      <c r="AA655" s="39" t="str">
        <f aca="false">TEXT(G655, "00") &amp; ":00"</f>
        <v>10:00</v>
      </c>
      <c r="AB655" s="37" t="n">
        <f aca="false">YEAR(B655)</f>
        <v>2011</v>
      </c>
      <c r="AC655" s="35" t="str">
        <f aca="false">TEXT(B655, "mmmm")</f>
        <v>January</v>
      </c>
      <c r="AD655" s="37" t="n">
        <f aca="false">LEN(TEXT(B655, "YYYY-MM-DD"))</f>
        <v>10</v>
      </c>
      <c r="AE655" s="39" t="str">
        <f aca="false">LEFT(TEXT(B655, "YYYY-MM-DD"), 4)</f>
        <v>2011</v>
      </c>
      <c r="AF655" s="39" t="str">
        <f aca="false">RIGHT(TEXT(B655, "YYYY-MM-DD"), 2)</f>
        <v>30</v>
      </c>
    </row>
    <row r="656" customFormat="false" ht="15" hidden="false" customHeight="false" outlineLevel="0" collapsed="false">
      <c r="A656" s="43" t="n">
        <v>652</v>
      </c>
      <c r="B656" s="44" t="s">
        <v>113</v>
      </c>
      <c r="C656" s="43" t="n">
        <v>1</v>
      </c>
      <c r="D656" s="33" t="str">
        <f aca="false">VLOOKUP(C656, Lookups_Metadata!$A$4:$B$7, 2, FALSE())</f>
        <v>Spring</v>
      </c>
      <c r="E656" s="43" t="n">
        <v>0</v>
      </c>
      <c r="F656" s="43" t="n">
        <v>1</v>
      </c>
      <c r="G656" s="43" t="n">
        <v>11</v>
      </c>
      <c r="H656" s="45" t="b">
        <f aca="false">FALSE()</f>
        <v>0</v>
      </c>
      <c r="I656" s="43" t="n">
        <v>0</v>
      </c>
      <c r="J656" s="33" t="str">
        <f aca="false">INDEX(Lookups_Metadata!$E$4:$E$10, MATCH(I656, Lookups_Metadata!$D$4:$D$10, 0))</f>
        <v>Sunday</v>
      </c>
      <c r="K656" s="33" t="str">
        <f aca="false">IF(H656=TRUE(), "Holiday", IF(OR(I656=0, I656=6), "Weekend", "Weekday"))</f>
        <v>Weekend</v>
      </c>
      <c r="L656" s="33" t="str">
        <f aca="false">IF(AND(K656="Weekday", OR(AND(G656&gt;=7, G656&lt;=9), AND(G656&gt;=17, G656&lt;=19))), "Peak Commute", "Off-Peak")</f>
        <v>Off-Peak</v>
      </c>
      <c r="M656" s="43" t="n">
        <v>1</v>
      </c>
      <c r="N656" s="33" t="str">
        <f aca="false">VLOOKUP(M656, Lookups_Metadata!$G$4:$H$7, 2, FALSE())</f>
        <v>Clear / Few Clouds</v>
      </c>
      <c r="O656" s="46" t="n">
        <v>0.22</v>
      </c>
      <c r="P656" s="46" t="n">
        <v>0.2727</v>
      </c>
      <c r="Q656" s="46" t="n">
        <f aca="false">IF(OR(P656="", ISBLANK(P656)), ROUND(0.9367*O656+0.0175, 4), P656)</f>
        <v>0.2727</v>
      </c>
      <c r="R656" s="33" t="str">
        <f aca="false">IF(OR(P656="", ISBLANK(P656)), "Imputed (Regression/Trend)", "Original")</f>
        <v>Original</v>
      </c>
      <c r="S656" s="46" t="n">
        <v>0.75</v>
      </c>
      <c r="T656" s="46" t="n">
        <v>0</v>
      </c>
      <c r="U656" s="18" t="n">
        <v>9</v>
      </c>
      <c r="V656" s="18" t="n">
        <v>50</v>
      </c>
      <c r="W656" s="18" t="n">
        <f aca="false">U656+V656</f>
        <v>59</v>
      </c>
      <c r="X656" s="47" t="n">
        <f aca="false">U656/W656</f>
        <v>0.152542372881356</v>
      </c>
      <c r="Y656" s="47" t="n">
        <f aca="false">V656/W656</f>
        <v>0.847457627118644</v>
      </c>
      <c r="Z656" s="33" t="str">
        <f aca="false">IF(W656&gt;=150, "High Demand", IF(W656&gt;=50, "Moderate Demand", "Low Demand"))</f>
        <v>Moderate Demand</v>
      </c>
      <c r="AA656" s="45" t="str">
        <f aca="false">TEXT(G656, "00") &amp; ":00"</f>
        <v>11:00</v>
      </c>
      <c r="AB656" s="43" t="n">
        <f aca="false">YEAR(B656)</f>
        <v>2011</v>
      </c>
      <c r="AC656" s="33" t="str">
        <f aca="false">TEXT(B656, "mmmm")</f>
        <v>January</v>
      </c>
      <c r="AD656" s="43" t="n">
        <f aca="false">LEN(TEXT(B656, "YYYY-MM-DD"))</f>
        <v>10</v>
      </c>
      <c r="AE656" s="45" t="str">
        <f aca="false">LEFT(TEXT(B656, "YYYY-MM-DD"), 4)</f>
        <v>2011</v>
      </c>
      <c r="AF656" s="45" t="str">
        <f aca="false">RIGHT(TEXT(B656, "YYYY-MM-DD"), 2)</f>
        <v>30</v>
      </c>
    </row>
    <row r="657" customFormat="false" ht="15" hidden="false" customHeight="false" outlineLevel="0" collapsed="false">
      <c r="A657" s="37" t="n">
        <v>653</v>
      </c>
      <c r="B657" s="38" t="s">
        <v>113</v>
      </c>
      <c r="C657" s="37" t="n">
        <v>1</v>
      </c>
      <c r="D657" s="35" t="str">
        <f aca="false">VLOOKUP(C657, Lookups_Metadata!$A$4:$B$7, 2, FALSE())</f>
        <v>Spring</v>
      </c>
      <c r="E657" s="37" t="n">
        <v>0</v>
      </c>
      <c r="F657" s="37" t="n">
        <v>1</v>
      </c>
      <c r="G657" s="37" t="n">
        <v>12</v>
      </c>
      <c r="H657" s="39" t="b">
        <f aca="false">FALSE()</f>
        <v>0</v>
      </c>
      <c r="I657" s="37" t="n">
        <v>0</v>
      </c>
      <c r="J657" s="35" t="str">
        <f aca="false">INDEX(Lookups_Metadata!$E$4:$E$10, MATCH(I657, Lookups_Metadata!$D$4:$D$10, 0))</f>
        <v>Sunday</v>
      </c>
      <c r="K657" s="35" t="str">
        <f aca="false">IF(H657=TRUE(), "Holiday", IF(OR(I657=0, I657=6), "Weekend", "Weekday"))</f>
        <v>Weekend</v>
      </c>
      <c r="L657" s="35" t="str">
        <f aca="false">IF(AND(K657="Weekday", OR(AND(G657&gt;=7, G657&lt;=9), AND(G657&gt;=17, G657&lt;=19))), "Peak Commute", "Off-Peak")</f>
        <v>Off-Peak</v>
      </c>
      <c r="M657" s="37" t="n">
        <v>1</v>
      </c>
      <c r="N657" s="35" t="str">
        <f aca="false">VLOOKUP(M657, Lookups_Metadata!$G$4:$H$7, 2, FALSE())</f>
        <v>Clear / Few Clouds</v>
      </c>
      <c r="O657" s="40" t="n">
        <v>0.3</v>
      </c>
      <c r="P657" s="40" t="n">
        <v>0.3182</v>
      </c>
      <c r="Q657" s="40" t="n">
        <f aca="false">IF(OR(P657="", ISBLANK(P657)), ROUND(0.9367*O657+0.0175, 4), P657)</f>
        <v>0.3182</v>
      </c>
      <c r="R657" s="35" t="str">
        <f aca="false">IF(OR(P657="", ISBLANK(P657)), "Imputed (Regression/Trend)", "Original")</f>
        <v>Original</v>
      </c>
      <c r="S657" s="40" t="n">
        <v>0.52</v>
      </c>
      <c r="T657" s="40" t="n">
        <v>0.1045</v>
      </c>
      <c r="U657" s="41" t="n">
        <v>10</v>
      </c>
      <c r="V657" s="41" t="n">
        <v>87</v>
      </c>
      <c r="W657" s="41" t="n">
        <f aca="false">U657+V657</f>
        <v>97</v>
      </c>
      <c r="X657" s="42" t="n">
        <f aca="false">U657/W657</f>
        <v>0.103092783505155</v>
      </c>
      <c r="Y657" s="42" t="n">
        <f aca="false">V657/W657</f>
        <v>0.896907216494845</v>
      </c>
      <c r="Z657" s="35" t="str">
        <f aca="false">IF(W657&gt;=150, "High Demand", IF(W657&gt;=50, "Moderate Demand", "Low Demand"))</f>
        <v>Moderate Demand</v>
      </c>
      <c r="AA657" s="39" t="str">
        <f aca="false">TEXT(G657, "00") &amp; ":00"</f>
        <v>12:00</v>
      </c>
      <c r="AB657" s="37" t="n">
        <f aca="false">YEAR(B657)</f>
        <v>2011</v>
      </c>
      <c r="AC657" s="35" t="str">
        <f aca="false">TEXT(B657, "mmmm")</f>
        <v>January</v>
      </c>
      <c r="AD657" s="37" t="n">
        <f aca="false">LEN(TEXT(B657, "YYYY-MM-DD"))</f>
        <v>10</v>
      </c>
      <c r="AE657" s="39" t="str">
        <f aca="false">LEFT(TEXT(B657, "YYYY-MM-DD"), 4)</f>
        <v>2011</v>
      </c>
      <c r="AF657" s="39" t="str">
        <f aca="false">RIGHT(TEXT(B657, "YYYY-MM-DD"), 2)</f>
        <v>30</v>
      </c>
    </row>
    <row r="658" customFormat="false" ht="15" hidden="false" customHeight="false" outlineLevel="0" collapsed="false">
      <c r="A658" s="43" t="n">
        <v>654</v>
      </c>
      <c r="B658" s="44" t="s">
        <v>113</v>
      </c>
      <c r="C658" s="43" t="n">
        <v>1</v>
      </c>
      <c r="D658" s="33" t="str">
        <f aca="false">VLOOKUP(C658, Lookups_Metadata!$A$4:$B$7, 2, FALSE())</f>
        <v>Spring</v>
      </c>
      <c r="E658" s="43" t="n">
        <v>0</v>
      </c>
      <c r="F658" s="43" t="n">
        <v>1</v>
      </c>
      <c r="G658" s="43" t="n">
        <v>13</v>
      </c>
      <c r="H658" s="45" t="b">
        <f aca="false">FALSE()</f>
        <v>0</v>
      </c>
      <c r="I658" s="43" t="n">
        <v>0</v>
      </c>
      <c r="J658" s="33" t="str">
        <f aca="false">INDEX(Lookups_Metadata!$E$4:$E$10, MATCH(I658, Lookups_Metadata!$D$4:$D$10, 0))</f>
        <v>Sunday</v>
      </c>
      <c r="K658" s="33" t="str">
        <f aca="false">IF(H658=TRUE(), "Holiday", IF(OR(I658=0, I658=6), "Weekend", "Weekday"))</f>
        <v>Weekend</v>
      </c>
      <c r="L658" s="33" t="str">
        <f aca="false">IF(AND(K658="Weekday", OR(AND(G658&gt;=7, G658&lt;=9), AND(G658&gt;=17, G658&lt;=19))), "Peak Commute", "Off-Peak")</f>
        <v>Off-Peak</v>
      </c>
      <c r="M658" s="43" t="n">
        <v>1</v>
      </c>
      <c r="N658" s="33" t="str">
        <f aca="false">VLOOKUP(M658, Lookups_Metadata!$G$4:$H$7, 2, FALSE())</f>
        <v>Clear / Few Clouds</v>
      </c>
      <c r="O658" s="46" t="n">
        <v>0.28</v>
      </c>
      <c r="P658" s="46" t="n">
        <v>0.2879</v>
      </c>
      <c r="Q658" s="46" t="n">
        <f aca="false">IF(OR(P658="", ISBLANK(P658)), ROUND(0.9367*O658+0.0175, 4), P658)</f>
        <v>0.2879</v>
      </c>
      <c r="R658" s="33" t="str">
        <f aca="false">IF(OR(P658="", ISBLANK(P658)), "Imputed (Regression/Trend)", "Original")</f>
        <v>Original</v>
      </c>
      <c r="S658" s="46" t="n">
        <v>0.61</v>
      </c>
      <c r="T658" s="46" t="n">
        <v>0.1045</v>
      </c>
      <c r="U658" s="18" t="n">
        <v>13</v>
      </c>
      <c r="V658" s="18" t="n">
        <v>71</v>
      </c>
      <c r="W658" s="18" t="n">
        <f aca="false">U658+V658</f>
        <v>84</v>
      </c>
      <c r="X658" s="47" t="n">
        <f aca="false">U658/W658</f>
        <v>0.154761904761905</v>
      </c>
      <c r="Y658" s="47" t="n">
        <f aca="false">V658/W658</f>
        <v>0.845238095238095</v>
      </c>
      <c r="Z658" s="33" t="str">
        <f aca="false">IF(W658&gt;=150, "High Demand", IF(W658&gt;=50, "Moderate Demand", "Low Demand"))</f>
        <v>Moderate Demand</v>
      </c>
      <c r="AA658" s="45" t="str">
        <f aca="false">TEXT(G658, "00") &amp; ":00"</f>
        <v>13:00</v>
      </c>
      <c r="AB658" s="43" t="n">
        <f aca="false">YEAR(B658)</f>
        <v>2011</v>
      </c>
      <c r="AC658" s="33" t="str">
        <f aca="false">TEXT(B658, "mmmm")</f>
        <v>January</v>
      </c>
      <c r="AD658" s="43" t="n">
        <f aca="false">LEN(TEXT(B658, "YYYY-MM-DD"))</f>
        <v>10</v>
      </c>
      <c r="AE658" s="45" t="str">
        <f aca="false">LEFT(TEXT(B658, "YYYY-MM-DD"), 4)</f>
        <v>2011</v>
      </c>
      <c r="AF658" s="45" t="str">
        <f aca="false">RIGHT(TEXT(B658, "YYYY-MM-DD"), 2)</f>
        <v>30</v>
      </c>
    </row>
    <row r="659" customFormat="false" ht="15" hidden="false" customHeight="false" outlineLevel="0" collapsed="false">
      <c r="A659" s="37" t="n">
        <v>655</v>
      </c>
      <c r="B659" s="38" t="s">
        <v>113</v>
      </c>
      <c r="C659" s="37" t="n">
        <v>1</v>
      </c>
      <c r="D659" s="35" t="str">
        <f aca="false">VLOOKUP(C659, Lookups_Metadata!$A$4:$B$7, 2, FALSE())</f>
        <v>Spring</v>
      </c>
      <c r="E659" s="37" t="n">
        <v>0</v>
      </c>
      <c r="F659" s="37" t="n">
        <v>1</v>
      </c>
      <c r="G659" s="37" t="n">
        <v>14</v>
      </c>
      <c r="H659" s="39" t="b">
        <f aca="false">FALSE()</f>
        <v>0</v>
      </c>
      <c r="I659" s="37" t="n">
        <v>0</v>
      </c>
      <c r="J659" s="35" t="str">
        <f aca="false">INDEX(Lookups_Metadata!$E$4:$E$10, MATCH(I659, Lookups_Metadata!$D$4:$D$10, 0))</f>
        <v>Sunday</v>
      </c>
      <c r="K659" s="35" t="str">
        <f aca="false">IF(H659=TRUE(), "Holiday", IF(OR(I659=0, I659=6), "Weekend", "Weekday"))</f>
        <v>Weekend</v>
      </c>
      <c r="L659" s="35" t="str">
        <f aca="false">IF(AND(K659="Weekday", OR(AND(G659&gt;=7, G659&lt;=9), AND(G659&gt;=17, G659&lt;=19))), "Peak Commute", "Off-Peak")</f>
        <v>Off-Peak</v>
      </c>
      <c r="M659" s="37" t="n">
        <v>1</v>
      </c>
      <c r="N659" s="35" t="str">
        <f aca="false">VLOOKUP(M659, Lookups_Metadata!$G$4:$H$7, 2, FALSE())</f>
        <v>Clear / Few Clouds</v>
      </c>
      <c r="O659" s="40" t="n">
        <v>0.28</v>
      </c>
      <c r="P659" s="40" t="n">
        <v>0.303</v>
      </c>
      <c r="Q659" s="40" t="n">
        <f aca="false">IF(OR(P659="", ISBLANK(P659)), ROUND(0.9367*O659+0.0175, 4), P659)</f>
        <v>0.303</v>
      </c>
      <c r="R659" s="35" t="str">
        <f aca="false">IF(OR(P659="", ISBLANK(P659)), "Imputed (Regression/Trend)", "Original")</f>
        <v>Original</v>
      </c>
      <c r="S659" s="40" t="n">
        <v>0.61</v>
      </c>
      <c r="T659" s="40" t="n">
        <v>0.0896</v>
      </c>
      <c r="U659" s="41" t="n">
        <v>18</v>
      </c>
      <c r="V659" s="41" t="n">
        <v>104</v>
      </c>
      <c r="W659" s="41" t="n">
        <f aca="false">U659+V659</f>
        <v>122</v>
      </c>
      <c r="X659" s="42" t="n">
        <f aca="false">U659/W659</f>
        <v>0.147540983606557</v>
      </c>
      <c r="Y659" s="42" t="n">
        <f aca="false">V659/W659</f>
        <v>0.852459016393443</v>
      </c>
      <c r="Z659" s="35" t="str">
        <f aca="false">IF(W659&gt;=150, "High Demand", IF(W659&gt;=50, "Moderate Demand", "Low Demand"))</f>
        <v>Moderate Demand</v>
      </c>
      <c r="AA659" s="39" t="str">
        <f aca="false">TEXT(G659, "00") &amp; ":00"</f>
        <v>14:00</v>
      </c>
      <c r="AB659" s="37" t="n">
        <f aca="false">YEAR(B659)</f>
        <v>2011</v>
      </c>
      <c r="AC659" s="35" t="str">
        <f aca="false">TEXT(B659, "mmmm")</f>
        <v>January</v>
      </c>
      <c r="AD659" s="37" t="n">
        <f aca="false">LEN(TEXT(B659, "YYYY-MM-DD"))</f>
        <v>10</v>
      </c>
      <c r="AE659" s="39" t="str">
        <f aca="false">LEFT(TEXT(B659, "YYYY-MM-DD"), 4)</f>
        <v>2011</v>
      </c>
      <c r="AF659" s="39" t="str">
        <f aca="false">RIGHT(TEXT(B659, "YYYY-MM-DD"), 2)</f>
        <v>30</v>
      </c>
    </row>
    <row r="660" customFormat="false" ht="15" hidden="false" customHeight="false" outlineLevel="0" collapsed="false">
      <c r="A660" s="43" t="n">
        <v>656</v>
      </c>
      <c r="B660" s="44" t="s">
        <v>113</v>
      </c>
      <c r="C660" s="43" t="n">
        <v>1</v>
      </c>
      <c r="D660" s="33" t="str">
        <f aca="false">VLOOKUP(C660, Lookups_Metadata!$A$4:$B$7, 2, FALSE())</f>
        <v>Spring</v>
      </c>
      <c r="E660" s="43" t="n">
        <v>0</v>
      </c>
      <c r="F660" s="43" t="n">
        <v>1</v>
      </c>
      <c r="G660" s="43" t="n">
        <v>15</v>
      </c>
      <c r="H660" s="45" t="b">
        <f aca="false">FALSE()</f>
        <v>0</v>
      </c>
      <c r="I660" s="43" t="n">
        <v>0</v>
      </c>
      <c r="J660" s="33" t="str">
        <f aca="false">INDEX(Lookups_Metadata!$E$4:$E$10, MATCH(I660, Lookups_Metadata!$D$4:$D$10, 0))</f>
        <v>Sunday</v>
      </c>
      <c r="K660" s="33" t="str">
        <f aca="false">IF(H660=TRUE(), "Holiday", IF(OR(I660=0, I660=6), "Weekend", "Weekday"))</f>
        <v>Weekend</v>
      </c>
      <c r="L660" s="33" t="str">
        <f aca="false">IF(AND(K660="Weekday", OR(AND(G660&gt;=7, G660&lt;=9), AND(G660&gt;=17, G660&lt;=19))), "Peak Commute", "Off-Peak")</f>
        <v>Off-Peak</v>
      </c>
      <c r="M660" s="43" t="n">
        <v>1</v>
      </c>
      <c r="N660" s="33" t="str">
        <f aca="false">VLOOKUP(M660, Lookups_Metadata!$G$4:$H$7, 2, FALSE())</f>
        <v>Clear / Few Clouds</v>
      </c>
      <c r="O660" s="46" t="n">
        <v>0.3</v>
      </c>
      <c r="P660" s="46" t="n">
        <v>0.3333</v>
      </c>
      <c r="Q660" s="46" t="n">
        <f aca="false">IF(OR(P660="", ISBLANK(P660)), ROUND(0.9367*O660+0.0175, 4), P660)</f>
        <v>0.3333</v>
      </c>
      <c r="R660" s="33" t="str">
        <f aca="false">IF(OR(P660="", ISBLANK(P660)), "Imputed (Regression/Trend)", "Original")</f>
        <v>Original</v>
      </c>
      <c r="S660" s="46" t="n">
        <v>0.56</v>
      </c>
      <c r="T660" s="46" t="n">
        <v>0</v>
      </c>
      <c r="U660" s="18" t="n">
        <v>14</v>
      </c>
      <c r="V660" s="18" t="n">
        <v>95</v>
      </c>
      <c r="W660" s="18" t="n">
        <f aca="false">U660+V660</f>
        <v>109</v>
      </c>
      <c r="X660" s="47" t="n">
        <f aca="false">U660/W660</f>
        <v>0.128440366972477</v>
      </c>
      <c r="Y660" s="47" t="n">
        <f aca="false">V660/W660</f>
        <v>0.871559633027523</v>
      </c>
      <c r="Z660" s="33" t="str">
        <f aca="false">IF(W660&gt;=150, "High Demand", IF(W660&gt;=50, "Moderate Demand", "Low Demand"))</f>
        <v>Moderate Demand</v>
      </c>
      <c r="AA660" s="45" t="str">
        <f aca="false">TEXT(G660, "00") &amp; ":00"</f>
        <v>15:00</v>
      </c>
      <c r="AB660" s="43" t="n">
        <f aca="false">YEAR(B660)</f>
        <v>2011</v>
      </c>
      <c r="AC660" s="33" t="str">
        <f aca="false">TEXT(B660, "mmmm")</f>
        <v>January</v>
      </c>
      <c r="AD660" s="43" t="n">
        <f aca="false">LEN(TEXT(B660, "YYYY-MM-DD"))</f>
        <v>10</v>
      </c>
      <c r="AE660" s="45" t="str">
        <f aca="false">LEFT(TEXT(B660, "YYYY-MM-DD"), 4)</f>
        <v>2011</v>
      </c>
      <c r="AF660" s="45" t="str">
        <f aca="false">RIGHT(TEXT(B660, "YYYY-MM-DD"), 2)</f>
        <v>30</v>
      </c>
    </row>
    <row r="661" customFormat="false" ht="15" hidden="false" customHeight="false" outlineLevel="0" collapsed="false">
      <c r="A661" s="37" t="n">
        <v>657</v>
      </c>
      <c r="B661" s="38" t="s">
        <v>113</v>
      </c>
      <c r="C661" s="37" t="n">
        <v>1</v>
      </c>
      <c r="D661" s="35" t="str">
        <f aca="false">VLOOKUP(C661, Lookups_Metadata!$A$4:$B$7, 2, FALSE())</f>
        <v>Spring</v>
      </c>
      <c r="E661" s="37" t="n">
        <v>0</v>
      </c>
      <c r="F661" s="37" t="n">
        <v>1</v>
      </c>
      <c r="G661" s="37" t="n">
        <v>16</v>
      </c>
      <c r="H661" s="39" t="b">
        <f aca="false">FALSE()</f>
        <v>0</v>
      </c>
      <c r="I661" s="37" t="n">
        <v>0</v>
      </c>
      <c r="J661" s="35" t="str">
        <f aca="false">INDEX(Lookups_Metadata!$E$4:$E$10, MATCH(I661, Lookups_Metadata!$D$4:$D$10, 0))</f>
        <v>Sunday</v>
      </c>
      <c r="K661" s="35" t="str">
        <f aca="false">IF(H661=TRUE(), "Holiday", IF(OR(I661=0, I661=6), "Weekend", "Weekday"))</f>
        <v>Weekend</v>
      </c>
      <c r="L661" s="35" t="str">
        <f aca="false">IF(AND(K661="Weekday", OR(AND(G661&gt;=7, G661&lt;=9), AND(G661&gt;=17, G661&lt;=19))), "Peak Commute", "Off-Peak")</f>
        <v>Off-Peak</v>
      </c>
      <c r="M661" s="37" t="n">
        <v>1</v>
      </c>
      <c r="N661" s="35" t="str">
        <f aca="false">VLOOKUP(M661, Lookups_Metadata!$G$4:$H$7, 2, FALSE())</f>
        <v>Clear / Few Clouds</v>
      </c>
      <c r="O661" s="40" t="n">
        <v>0.3</v>
      </c>
      <c r="P661" s="40" t="n">
        <v>0.3333</v>
      </c>
      <c r="Q661" s="40" t="n">
        <f aca="false">IF(OR(P661="", ISBLANK(P661)), ROUND(0.9367*O661+0.0175, 4), P661)</f>
        <v>0.3333</v>
      </c>
      <c r="R661" s="35" t="str">
        <f aca="false">IF(OR(P661="", ISBLANK(P661)), "Imputed (Regression/Trend)", "Original")</f>
        <v>Original</v>
      </c>
      <c r="S661" s="40" t="n">
        <v>0.56</v>
      </c>
      <c r="T661" s="40" t="n">
        <v>0</v>
      </c>
      <c r="U661" s="41" t="n">
        <v>19</v>
      </c>
      <c r="V661" s="41" t="n">
        <v>104</v>
      </c>
      <c r="W661" s="41" t="n">
        <f aca="false">U661+V661</f>
        <v>123</v>
      </c>
      <c r="X661" s="42" t="n">
        <f aca="false">U661/W661</f>
        <v>0.154471544715447</v>
      </c>
      <c r="Y661" s="42" t="n">
        <f aca="false">V661/W661</f>
        <v>0.845528455284553</v>
      </c>
      <c r="Z661" s="35" t="str">
        <f aca="false">IF(W661&gt;=150, "High Demand", IF(W661&gt;=50, "Moderate Demand", "Low Demand"))</f>
        <v>Moderate Demand</v>
      </c>
      <c r="AA661" s="39" t="str">
        <f aca="false">TEXT(G661, "00") &amp; ":00"</f>
        <v>16:00</v>
      </c>
      <c r="AB661" s="37" t="n">
        <f aca="false">YEAR(B661)</f>
        <v>2011</v>
      </c>
      <c r="AC661" s="35" t="str">
        <f aca="false">TEXT(B661, "mmmm")</f>
        <v>January</v>
      </c>
      <c r="AD661" s="37" t="n">
        <f aca="false">LEN(TEXT(B661, "YYYY-MM-DD"))</f>
        <v>10</v>
      </c>
      <c r="AE661" s="39" t="str">
        <f aca="false">LEFT(TEXT(B661, "YYYY-MM-DD"), 4)</f>
        <v>2011</v>
      </c>
      <c r="AF661" s="39" t="str">
        <f aca="false">RIGHT(TEXT(B661, "YYYY-MM-DD"), 2)</f>
        <v>30</v>
      </c>
    </row>
    <row r="662" customFormat="false" ht="15" hidden="false" customHeight="false" outlineLevel="0" collapsed="false">
      <c r="A662" s="43" t="n">
        <v>658</v>
      </c>
      <c r="B662" s="44" t="s">
        <v>113</v>
      </c>
      <c r="C662" s="43" t="n">
        <v>1</v>
      </c>
      <c r="D662" s="33" t="str">
        <f aca="false">VLOOKUP(C662, Lookups_Metadata!$A$4:$B$7, 2, FALSE())</f>
        <v>Spring</v>
      </c>
      <c r="E662" s="43" t="n">
        <v>0</v>
      </c>
      <c r="F662" s="43" t="n">
        <v>1</v>
      </c>
      <c r="G662" s="43" t="n">
        <v>17</v>
      </c>
      <c r="H662" s="45" t="b">
        <f aca="false">FALSE()</f>
        <v>0</v>
      </c>
      <c r="I662" s="43" t="n">
        <v>0</v>
      </c>
      <c r="J662" s="33" t="str">
        <f aca="false">INDEX(Lookups_Metadata!$E$4:$E$10, MATCH(I662, Lookups_Metadata!$D$4:$D$10, 0))</f>
        <v>Sunday</v>
      </c>
      <c r="K662" s="33" t="str">
        <f aca="false">IF(H662=TRUE(), "Holiday", IF(OR(I662=0, I662=6), "Weekend", "Weekday"))</f>
        <v>Weekend</v>
      </c>
      <c r="L662" s="33" t="str">
        <f aca="false">IF(AND(K662="Weekday", OR(AND(G662&gt;=7, G662&lt;=9), AND(G662&gt;=17, G662&lt;=19))), "Peak Commute", "Off-Peak")</f>
        <v>Off-Peak</v>
      </c>
      <c r="M662" s="43" t="n">
        <v>1</v>
      </c>
      <c r="N662" s="33" t="str">
        <f aca="false">VLOOKUP(M662, Lookups_Metadata!$G$4:$H$7, 2, FALSE())</f>
        <v>Clear / Few Clouds</v>
      </c>
      <c r="O662" s="46" t="n">
        <v>0.3</v>
      </c>
      <c r="P662" s="46" t="n">
        <v>0.2879</v>
      </c>
      <c r="Q662" s="46" t="n">
        <f aca="false">IF(OR(P662="", ISBLANK(P662)), ROUND(0.9367*O662+0.0175, 4), P662)</f>
        <v>0.2879</v>
      </c>
      <c r="R662" s="33" t="str">
        <f aca="false">IF(OR(P662="", ISBLANK(P662)), "Imputed (Regression/Trend)", "Original")</f>
        <v>Original</v>
      </c>
      <c r="S662" s="46" t="n">
        <v>0.56</v>
      </c>
      <c r="T662" s="46" t="n">
        <v>0.194</v>
      </c>
      <c r="U662" s="18" t="n">
        <v>6</v>
      </c>
      <c r="V662" s="18" t="n">
        <v>71</v>
      </c>
      <c r="W662" s="18" t="n">
        <f aca="false">U662+V662</f>
        <v>77</v>
      </c>
      <c r="X662" s="47" t="n">
        <f aca="false">U662/W662</f>
        <v>0.0779220779220779</v>
      </c>
      <c r="Y662" s="47" t="n">
        <f aca="false">V662/W662</f>
        <v>0.922077922077922</v>
      </c>
      <c r="Z662" s="33" t="str">
        <f aca="false">IF(W662&gt;=150, "High Demand", IF(W662&gt;=50, "Moderate Demand", "Low Demand"))</f>
        <v>Moderate Demand</v>
      </c>
      <c r="AA662" s="45" t="str">
        <f aca="false">TEXT(G662, "00") &amp; ":00"</f>
        <v>17:00</v>
      </c>
      <c r="AB662" s="43" t="n">
        <f aca="false">YEAR(B662)</f>
        <v>2011</v>
      </c>
      <c r="AC662" s="33" t="str">
        <f aca="false">TEXT(B662, "mmmm")</f>
        <v>January</v>
      </c>
      <c r="AD662" s="43" t="n">
        <f aca="false">LEN(TEXT(B662, "YYYY-MM-DD"))</f>
        <v>10</v>
      </c>
      <c r="AE662" s="45" t="str">
        <f aca="false">LEFT(TEXT(B662, "YYYY-MM-DD"), 4)</f>
        <v>2011</v>
      </c>
      <c r="AF662" s="45" t="str">
        <f aca="false">RIGHT(TEXT(B662, "YYYY-MM-DD"), 2)</f>
        <v>30</v>
      </c>
    </row>
    <row r="663" customFormat="false" ht="15" hidden="false" customHeight="false" outlineLevel="0" collapsed="false">
      <c r="A663" s="37" t="n">
        <v>659</v>
      </c>
      <c r="B663" s="38" t="s">
        <v>113</v>
      </c>
      <c r="C663" s="37" t="n">
        <v>1</v>
      </c>
      <c r="D663" s="35" t="str">
        <f aca="false">VLOOKUP(C663, Lookups_Metadata!$A$4:$B$7, 2, FALSE())</f>
        <v>Spring</v>
      </c>
      <c r="E663" s="37" t="n">
        <v>0</v>
      </c>
      <c r="F663" s="37" t="n">
        <v>1</v>
      </c>
      <c r="G663" s="37" t="n">
        <v>18</v>
      </c>
      <c r="H663" s="39" t="b">
        <f aca="false">FALSE()</f>
        <v>0</v>
      </c>
      <c r="I663" s="37" t="n">
        <v>0</v>
      </c>
      <c r="J663" s="35" t="str">
        <f aca="false">INDEX(Lookups_Metadata!$E$4:$E$10, MATCH(I663, Lookups_Metadata!$D$4:$D$10, 0))</f>
        <v>Sunday</v>
      </c>
      <c r="K663" s="35" t="str">
        <f aca="false">IF(H663=TRUE(), "Holiday", IF(OR(I663=0, I663=6), "Weekend", "Weekday"))</f>
        <v>Weekend</v>
      </c>
      <c r="L663" s="35" t="str">
        <f aca="false">IF(AND(K663="Weekday", OR(AND(G663&gt;=7, G663&lt;=9), AND(G663&gt;=17, G663&lt;=19))), "Peak Commute", "Off-Peak")</f>
        <v>Off-Peak</v>
      </c>
      <c r="M663" s="37" t="n">
        <v>1</v>
      </c>
      <c r="N663" s="35" t="str">
        <f aca="false">VLOOKUP(M663, Lookups_Metadata!$G$4:$H$7, 2, FALSE())</f>
        <v>Clear / Few Clouds</v>
      </c>
      <c r="O663" s="40" t="n">
        <v>0.26</v>
      </c>
      <c r="P663" s="40" t="n">
        <v>0.2576</v>
      </c>
      <c r="Q663" s="40" t="n">
        <f aca="false">IF(OR(P663="", ISBLANK(P663)), ROUND(0.9367*O663+0.0175, 4), P663)</f>
        <v>0.2576</v>
      </c>
      <c r="R663" s="35" t="str">
        <f aca="false">IF(OR(P663="", ISBLANK(P663)), "Imputed (Regression/Trend)", "Original")</f>
        <v>Original</v>
      </c>
      <c r="S663" s="40" t="n">
        <v>0.65</v>
      </c>
      <c r="T663" s="40" t="n">
        <v>0.1642</v>
      </c>
      <c r="U663" s="41" t="n">
        <v>8</v>
      </c>
      <c r="V663" s="41" t="n">
        <v>57</v>
      </c>
      <c r="W663" s="41" t="n">
        <f aca="false">U663+V663</f>
        <v>65</v>
      </c>
      <c r="X663" s="42" t="n">
        <f aca="false">U663/W663</f>
        <v>0.123076923076923</v>
      </c>
      <c r="Y663" s="42" t="n">
        <f aca="false">V663/W663</f>
        <v>0.876923076923077</v>
      </c>
      <c r="Z663" s="35" t="str">
        <f aca="false">IF(W663&gt;=150, "High Demand", IF(W663&gt;=50, "Moderate Demand", "Low Demand"))</f>
        <v>Moderate Demand</v>
      </c>
      <c r="AA663" s="39" t="str">
        <f aca="false">TEXT(G663, "00") &amp; ":00"</f>
        <v>18:00</v>
      </c>
      <c r="AB663" s="37" t="n">
        <f aca="false">YEAR(B663)</f>
        <v>2011</v>
      </c>
      <c r="AC663" s="35" t="str">
        <f aca="false">TEXT(B663, "mmmm")</f>
        <v>January</v>
      </c>
      <c r="AD663" s="37" t="n">
        <f aca="false">LEN(TEXT(B663, "YYYY-MM-DD"))</f>
        <v>10</v>
      </c>
      <c r="AE663" s="39" t="str">
        <f aca="false">LEFT(TEXT(B663, "YYYY-MM-DD"), 4)</f>
        <v>2011</v>
      </c>
      <c r="AF663" s="39" t="str">
        <f aca="false">RIGHT(TEXT(B663, "YYYY-MM-DD"), 2)</f>
        <v>30</v>
      </c>
    </row>
    <row r="664" customFormat="false" ht="15" hidden="false" customHeight="false" outlineLevel="0" collapsed="false">
      <c r="A664" s="43" t="n">
        <v>660</v>
      </c>
      <c r="B664" s="44" t="s">
        <v>113</v>
      </c>
      <c r="C664" s="43" t="n">
        <v>1</v>
      </c>
      <c r="D664" s="33" t="str">
        <f aca="false">VLOOKUP(C664, Lookups_Metadata!$A$4:$B$7, 2, FALSE())</f>
        <v>Spring</v>
      </c>
      <c r="E664" s="43" t="n">
        <v>0</v>
      </c>
      <c r="F664" s="43" t="n">
        <v>1</v>
      </c>
      <c r="G664" s="43" t="n">
        <v>19</v>
      </c>
      <c r="H664" s="45" t="b">
        <f aca="false">FALSE()</f>
        <v>0</v>
      </c>
      <c r="I664" s="43" t="n">
        <v>0</v>
      </c>
      <c r="J664" s="33" t="str">
        <f aca="false">INDEX(Lookups_Metadata!$E$4:$E$10, MATCH(I664, Lookups_Metadata!$D$4:$D$10, 0))</f>
        <v>Sunday</v>
      </c>
      <c r="K664" s="33" t="str">
        <f aca="false">IF(H664=TRUE(), "Holiday", IF(OR(I664=0, I664=6), "Weekend", "Weekday"))</f>
        <v>Weekend</v>
      </c>
      <c r="L664" s="33" t="str">
        <f aca="false">IF(AND(K664="Weekday", OR(AND(G664&gt;=7, G664&lt;=9), AND(G664&gt;=17, G664&lt;=19))), "Peak Commute", "Off-Peak")</f>
        <v>Off-Peak</v>
      </c>
      <c r="M664" s="43" t="n">
        <v>1</v>
      </c>
      <c r="N664" s="33" t="str">
        <f aca="false">VLOOKUP(M664, Lookups_Metadata!$G$4:$H$7, 2, FALSE())</f>
        <v>Clear / Few Clouds</v>
      </c>
      <c r="O664" s="46" t="n">
        <v>0.26</v>
      </c>
      <c r="P664" s="46" t="n">
        <v>0.2576</v>
      </c>
      <c r="Q664" s="46" t="n">
        <f aca="false">IF(OR(P664="", ISBLANK(P664)), ROUND(0.9367*O664+0.0175, 4), P664)</f>
        <v>0.2576</v>
      </c>
      <c r="R664" s="33" t="str">
        <f aca="false">IF(OR(P664="", ISBLANK(P664)), "Imputed (Regression/Trend)", "Original")</f>
        <v>Original</v>
      </c>
      <c r="S664" s="46" t="n">
        <v>0.65</v>
      </c>
      <c r="T664" s="46" t="n">
        <v>0.194</v>
      </c>
      <c r="U664" s="18" t="n">
        <v>9</v>
      </c>
      <c r="V664" s="18" t="n">
        <v>46</v>
      </c>
      <c r="W664" s="18" t="n">
        <f aca="false">U664+V664</f>
        <v>55</v>
      </c>
      <c r="X664" s="47" t="n">
        <f aca="false">U664/W664</f>
        <v>0.163636363636364</v>
      </c>
      <c r="Y664" s="47" t="n">
        <f aca="false">V664/W664</f>
        <v>0.836363636363636</v>
      </c>
      <c r="Z664" s="33" t="str">
        <f aca="false">IF(W664&gt;=150, "High Demand", IF(W664&gt;=50, "Moderate Demand", "Low Demand"))</f>
        <v>Moderate Demand</v>
      </c>
      <c r="AA664" s="45" t="str">
        <f aca="false">TEXT(G664, "00") &amp; ":00"</f>
        <v>19:00</v>
      </c>
      <c r="AB664" s="43" t="n">
        <f aca="false">YEAR(B664)</f>
        <v>2011</v>
      </c>
      <c r="AC664" s="33" t="str">
        <f aca="false">TEXT(B664, "mmmm")</f>
        <v>January</v>
      </c>
      <c r="AD664" s="43" t="n">
        <f aca="false">LEN(TEXT(B664, "YYYY-MM-DD"))</f>
        <v>10</v>
      </c>
      <c r="AE664" s="45" t="str">
        <f aca="false">LEFT(TEXT(B664, "YYYY-MM-DD"), 4)</f>
        <v>2011</v>
      </c>
      <c r="AF664" s="45" t="str">
        <f aca="false">RIGHT(TEXT(B664, "YYYY-MM-DD"), 2)</f>
        <v>30</v>
      </c>
    </row>
    <row r="665" customFormat="false" ht="15" hidden="false" customHeight="false" outlineLevel="0" collapsed="false">
      <c r="A665" s="37" t="n">
        <v>661</v>
      </c>
      <c r="B665" s="38" t="s">
        <v>113</v>
      </c>
      <c r="C665" s="37" t="n">
        <v>1</v>
      </c>
      <c r="D665" s="35" t="str">
        <f aca="false">VLOOKUP(C665, Lookups_Metadata!$A$4:$B$7, 2, FALSE())</f>
        <v>Spring</v>
      </c>
      <c r="E665" s="37" t="n">
        <v>0</v>
      </c>
      <c r="F665" s="37" t="n">
        <v>1</v>
      </c>
      <c r="G665" s="37" t="n">
        <v>20</v>
      </c>
      <c r="H665" s="39" t="b">
        <f aca="false">FALSE()</f>
        <v>0</v>
      </c>
      <c r="I665" s="37" t="n">
        <v>0</v>
      </c>
      <c r="J665" s="35" t="str">
        <f aca="false">INDEX(Lookups_Metadata!$E$4:$E$10, MATCH(I665, Lookups_Metadata!$D$4:$D$10, 0))</f>
        <v>Sunday</v>
      </c>
      <c r="K665" s="35" t="str">
        <f aca="false">IF(H665=TRUE(), "Holiday", IF(OR(I665=0, I665=6), "Weekend", "Weekday"))</f>
        <v>Weekend</v>
      </c>
      <c r="L665" s="35" t="str">
        <f aca="false">IF(AND(K665="Weekday", OR(AND(G665&gt;=7, G665&lt;=9), AND(G665&gt;=17, G665&lt;=19))), "Peak Commute", "Off-Peak")</f>
        <v>Off-Peak</v>
      </c>
      <c r="M665" s="37" t="n">
        <v>2</v>
      </c>
      <c r="N665" s="35" t="str">
        <f aca="false">VLOOKUP(M665, Lookups_Metadata!$G$4:$H$7, 2, FALSE())</f>
        <v>Mist / Cloudy</v>
      </c>
      <c r="O665" s="40" t="n">
        <v>0.26</v>
      </c>
      <c r="P665" s="40" t="n">
        <v>0.2727</v>
      </c>
      <c r="Q665" s="40" t="n">
        <f aca="false">IF(OR(P665="", ISBLANK(P665)), ROUND(0.9367*O665+0.0175, 4), P665)</f>
        <v>0.2727</v>
      </c>
      <c r="R665" s="35" t="str">
        <f aca="false">IF(OR(P665="", ISBLANK(P665)), "Imputed (Regression/Trend)", "Original")</f>
        <v>Original</v>
      </c>
      <c r="S665" s="40" t="n">
        <v>0.65</v>
      </c>
      <c r="T665" s="40" t="n">
        <v>0.1045</v>
      </c>
      <c r="U665" s="41" t="n">
        <v>3</v>
      </c>
      <c r="V665" s="41" t="n">
        <v>30</v>
      </c>
      <c r="W665" s="41" t="n">
        <f aca="false">U665+V665</f>
        <v>33</v>
      </c>
      <c r="X665" s="42" t="n">
        <f aca="false">U665/W665</f>
        <v>0.0909090909090909</v>
      </c>
      <c r="Y665" s="42" t="n">
        <f aca="false">V665/W665</f>
        <v>0.909090909090909</v>
      </c>
      <c r="Z665" s="35" t="str">
        <f aca="false">IF(W665&gt;=150, "High Demand", IF(W665&gt;=50, "Moderate Demand", "Low Demand"))</f>
        <v>Low Demand</v>
      </c>
      <c r="AA665" s="39" t="str">
        <f aca="false">TEXT(G665, "00") &amp; ":00"</f>
        <v>20:00</v>
      </c>
      <c r="AB665" s="37" t="n">
        <f aca="false">YEAR(B665)</f>
        <v>2011</v>
      </c>
      <c r="AC665" s="35" t="str">
        <f aca="false">TEXT(B665, "mmmm")</f>
        <v>January</v>
      </c>
      <c r="AD665" s="37" t="n">
        <f aca="false">LEN(TEXT(B665, "YYYY-MM-DD"))</f>
        <v>10</v>
      </c>
      <c r="AE665" s="39" t="str">
        <f aca="false">LEFT(TEXT(B665, "YYYY-MM-DD"), 4)</f>
        <v>2011</v>
      </c>
      <c r="AF665" s="39" t="str">
        <f aca="false">RIGHT(TEXT(B665, "YYYY-MM-DD"), 2)</f>
        <v>30</v>
      </c>
    </row>
    <row r="666" customFormat="false" ht="15" hidden="false" customHeight="false" outlineLevel="0" collapsed="false">
      <c r="A666" s="43" t="n">
        <v>662</v>
      </c>
      <c r="B666" s="44" t="s">
        <v>113</v>
      </c>
      <c r="C666" s="43" t="n">
        <v>1</v>
      </c>
      <c r="D666" s="33" t="str">
        <f aca="false">VLOOKUP(C666, Lookups_Metadata!$A$4:$B$7, 2, FALSE())</f>
        <v>Spring</v>
      </c>
      <c r="E666" s="43" t="n">
        <v>0</v>
      </c>
      <c r="F666" s="43" t="n">
        <v>1</v>
      </c>
      <c r="G666" s="43" t="n">
        <v>21</v>
      </c>
      <c r="H666" s="45" t="b">
        <f aca="false">FALSE()</f>
        <v>0</v>
      </c>
      <c r="I666" s="43" t="n">
        <v>0</v>
      </c>
      <c r="J666" s="33" t="str">
        <f aca="false">INDEX(Lookups_Metadata!$E$4:$E$10, MATCH(I666, Lookups_Metadata!$D$4:$D$10, 0))</f>
        <v>Sunday</v>
      </c>
      <c r="K666" s="33" t="str">
        <f aca="false">IF(H666=TRUE(), "Holiday", IF(OR(I666=0, I666=6), "Weekend", "Weekday"))</f>
        <v>Weekend</v>
      </c>
      <c r="L666" s="33" t="str">
        <f aca="false">IF(AND(K666="Weekday", OR(AND(G666&gt;=7, G666&lt;=9), AND(G666&gt;=17, G666&lt;=19))), "Peak Commute", "Off-Peak")</f>
        <v>Off-Peak</v>
      </c>
      <c r="M666" s="43" t="n">
        <v>2</v>
      </c>
      <c r="N666" s="33" t="str">
        <f aca="false">VLOOKUP(M666, Lookups_Metadata!$G$4:$H$7, 2, FALSE())</f>
        <v>Mist / Cloudy</v>
      </c>
      <c r="O666" s="46" t="n">
        <v>0.24</v>
      </c>
      <c r="P666" s="46" t="n">
        <v>0.2424</v>
      </c>
      <c r="Q666" s="46" t="n">
        <f aca="false">IF(OR(P666="", ISBLANK(P666)), ROUND(0.9367*O666+0.0175, 4), P666)</f>
        <v>0.2424</v>
      </c>
      <c r="R666" s="33" t="str">
        <f aca="false">IF(OR(P666="", ISBLANK(P666)), "Imputed (Regression/Trend)", "Original")</f>
        <v>Original</v>
      </c>
      <c r="S666" s="46" t="n">
        <v>0.7</v>
      </c>
      <c r="T666" s="46" t="n">
        <v>0.1642</v>
      </c>
      <c r="U666" s="18" t="n">
        <v>3</v>
      </c>
      <c r="V666" s="18" t="n">
        <v>25</v>
      </c>
      <c r="W666" s="18" t="n">
        <f aca="false">U666+V666</f>
        <v>28</v>
      </c>
      <c r="X666" s="47" t="n">
        <f aca="false">U666/W666</f>
        <v>0.107142857142857</v>
      </c>
      <c r="Y666" s="47" t="n">
        <f aca="false">V666/W666</f>
        <v>0.892857142857143</v>
      </c>
      <c r="Z666" s="33" t="str">
        <f aca="false">IF(W666&gt;=150, "High Demand", IF(W666&gt;=50, "Moderate Demand", "Low Demand"))</f>
        <v>Low Demand</v>
      </c>
      <c r="AA666" s="45" t="str">
        <f aca="false">TEXT(G666, "00") &amp; ":00"</f>
        <v>21:00</v>
      </c>
      <c r="AB666" s="43" t="n">
        <f aca="false">YEAR(B666)</f>
        <v>2011</v>
      </c>
      <c r="AC666" s="33" t="str">
        <f aca="false">TEXT(B666, "mmmm")</f>
        <v>January</v>
      </c>
      <c r="AD666" s="43" t="n">
        <f aca="false">LEN(TEXT(B666, "YYYY-MM-DD"))</f>
        <v>10</v>
      </c>
      <c r="AE666" s="45" t="str">
        <f aca="false">LEFT(TEXT(B666, "YYYY-MM-DD"), 4)</f>
        <v>2011</v>
      </c>
      <c r="AF666" s="45" t="str">
        <f aca="false">RIGHT(TEXT(B666, "YYYY-MM-DD"), 2)</f>
        <v>30</v>
      </c>
    </row>
    <row r="667" customFormat="false" ht="15" hidden="false" customHeight="false" outlineLevel="0" collapsed="false">
      <c r="A667" s="37" t="n">
        <v>663</v>
      </c>
      <c r="B667" s="38" t="s">
        <v>113</v>
      </c>
      <c r="C667" s="37" t="n">
        <v>1</v>
      </c>
      <c r="D667" s="35" t="str">
        <f aca="false">VLOOKUP(C667, Lookups_Metadata!$A$4:$B$7, 2, FALSE())</f>
        <v>Spring</v>
      </c>
      <c r="E667" s="37" t="n">
        <v>0</v>
      </c>
      <c r="F667" s="37" t="n">
        <v>1</v>
      </c>
      <c r="G667" s="37" t="n">
        <v>22</v>
      </c>
      <c r="H667" s="39" t="b">
        <f aca="false">FALSE()</f>
        <v>0</v>
      </c>
      <c r="I667" s="37" t="n">
        <v>0</v>
      </c>
      <c r="J667" s="35" t="str">
        <f aca="false">INDEX(Lookups_Metadata!$E$4:$E$10, MATCH(I667, Lookups_Metadata!$D$4:$D$10, 0))</f>
        <v>Sunday</v>
      </c>
      <c r="K667" s="35" t="str">
        <f aca="false">IF(H667=TRUE(), "Holiday", IF(OR(I667=0, I667=6), "Weekend", "Weekday"))</f>
        <v>Weekend</v>
      </c>
      <c r="L667" s="35" t="str">
        <f aca="false">IF(AND(K667="Weekday", OR(AND(G667&gt;=7, G667&lt;=9), AND(G667&gt;=17, G667&lt;=19))), "Peak Commute", "Off-Peak")</f>
        <v>Off-Peak</v>
      </c>
      <c r="M667" s="37" t="n">
        <v>2</v>
      </c>
      <c r="N667" s="35" t="str">
        <f aca="false">VLOOKUP(M667, Lookups_Metadata!$G$4:$H$7, 2, FALSE())</f>
        <v>Mist / Cloudy</v>
      </c>
      <c r="O667" s="40" t="n">
        <v>0.24</v>
      </c>
      <c r="P667" s="40" t="n">
        <v>0.2273</v>
      </c>
      <c r="Q667" s="40" t="n">
        <f aca="false">IF(OR(P667="", ISBLANK(P667)), ROUND(0.9367*O667+0.0175, 4), P667)</f>
        <v>0.2273</v>
      </c>
      <c r="R667" s="35" t="str">
        <f aca="false">IF(OR(P667="", ISBLANK(P667)), "Imputed (Regression/Trend)", "Original")</f>
        <v>Original</v>
      </c>
      <c r="S667" s="40" t="n">
        <v>0.7</v>
      </c>
      <c r="T667" s="40" t="n">
        <v>0.194</v>
      </c>
      <c r="U667" s="41" t="n">
        <v>2</v>
      </c>
      <c r="V667" s="41" t="n">
        <v>19</v>
      </c>
      <c r="W667" s="41" t="n">
        <f aca="false">U667+V667</f>
        <v>21</v>
      </c>
      <c r="X667" s="42" t="n">
        <f aca="false">U667/W667</f>
        <v>0.0952380952380952</v>
      </c>
      <c r="Y667" s="42" t="n">
        <f aca="false">V667/W667</f>
        <v>0.904761904761905</v>
      </c>
      <c r="Z667" s="35" t="str">
        <f aca="false">IF(W667&gt;=150, "High Demand", IF(W667&gt;=50, "Moderate Demand", "Low Demand"))</f>
        <v>Low Demand</v>
      </c>
      <c r="AA667" s="39" t="str">
        <f aca="false">TEXT(G667, "00") &amp; ":00"</f>
        <v>22:00</v>
      </c>
      <c r="AB667" s="37" t="n">
        <f aca="false">YEAR(B667)</f>
        <v>2011</v>
      </c>
      <c r="AC667" s="35" t="str">
        <f aca="false">TEXT(B667, "mmmm")</f>
        <v>January</v>
      </c>
      <c r="AD667" s="37" t="n">
        <f aca="false">LEN(TEXT(B667, "YYYY-MM-DD"))</f>
        <v>10</v>
      </c>
      <c r="AE667" s="39" t="str">
        <f aca="false">LEFT(TEXT(B667, "YYYY-MM-DD"), 4)</f>
        <v>2011</v>
      </c>
      <c r="AF667" s="39" t="str">
        <f aca="false">RIGHT(TEXT(B667, "YYYY-MM-DD"), 2)</f>
        <v>30</v>
      </c>
    </row>
    <row r="668" customFormat="false" ht="15" hidden="false" customHeight="false" outlineLevel="0" collapsed="false">
      <c r="A668" s="43" t="n">
        <v>664</v>
      </c>
      <c r="B668" s="44" t="s">
        <v>113</v>
      </c>
      <c r="C668" s="43" t="n">
        <v>1</v>
      </c>
      <c r="D668" s="33" t="str">
        <f aca="false">VLOOKUP(C668, Lookups_Metadata!$A$4:$B$7, 2, FALSE())</f>
        <v>Spring</v>
      </c>
      <c r="E668" s="43" t="n">
        <v>0</v>
      </c>
      <c r="F668" s="43" t="n">
        <v>1</v>
      </c>
      <c r="G668" s="43" t="n">
        <v>23</v>
      </c>
      <c r="H668" s="45" t="b">
        <f aca="false">FALSE()</f>
        <v>0</v>
      </c>
      <c r="I668" s="43" t="n">
        <v>0</v>
      </c>
      <c r="J668" s="33" t="str">
        <f aca="false">INDEX(Lookups_Metadata!$E$4:$E$10, MATCH(I668, Lookups_Metadata!$D$4:$D$10, 0))</f>
        <v>Sunday</v>
      </c>
      <c r="K668" s="33" t="str">
        <f aca="false">IF(H668=TRUE(), "Holiday", IF(OR(I668=0, I668=6), "Weekend", "Weekday"))</f>
        <v>Weekend</v>
      </c>
      <c r="L668" s="33" t="str">
        <f aca="false">IF(AND(K668="Weekday", OR(AND(G668&gt;=7, G668&lt;=9), AND(G668&gt;=17, G668&lt;=19))), "Peak Commute", "Off-Peak")</f>
        <v>Off-Peak</v>
      </c>
      <c r="M668" s="43" t="n">
        <v>2</v>
      </c>
      <c r="N668" s="33" t="str">
        <f aca="false">VLOOKUP(M668, Lookups_Metadata!$G$4:$H$7, 2, FALSE())</f>
        <v>Mist / Cloudy</v>
      </c>
      <c r="O668" s="46" t="n">
        <v>0.24</v>
      </c>
      <c r="P668" s="46" t="n">
        <v>0.2121</v>
      </c>
      <c r="Q668" s="46" t="n">
        <f aca="false">IF(OR(P668="", ISBLANK(P668)), ROUND(0.9367*O668+0.0175, 4), P668)</f>
        <v>0.2121</v>
      </c>
      <c r="R668" s="33" t="str">
        <f aca="false">IF(OR(P668="", ISBLANK(P668)), "Imputed (Regression/Trend)", "Original")</f>
        <v>Original</v>
      </c>
      <c r="S668" s="46" t="n">
        <v>0.65</v>
      </c>
      <c r="T668" s="46" t="n">
        <v>0.2836</v>
      </c>
      <c r="U668" s="18" t="n">
        <v>5</v>
      </c>
      <c r="V668" s="18" t="n">
        <v>16</v>
      </c>
      <c r="W668" s="18" t="n">
        <f aca="false">U668+V668</f>
        <v>21</v>
      </c>
      <c r="X668" s="47" t="n">
        <f aca="false">U668/W668</f>
        <v>0.238095238095238</v>
      </c>
      <c r="Y668" s="47" t="n">
        <f aca="false">V668/W668</f>
        <v>0.761904761904762</v>
      </c>
      <c r="Z668" s="33" t="str">
        <f aca="false">IF(W668&gt;=150, "High Demand", IF(W668&gt;=50, "Moderate Demand", "Low Demand"))</f>
        <v>Low Demand</v>
      </c>
      <c r="AA668" s="45" t="str">
        <f aca="false">TEXT(G668, "00") &amp; ":00"</f>
        <v>23:00</v>
      </c>
      <c r="AB668" s="43" t="n">
        <f aca="false">YEAR(B668)</f>
        <v>2011</v>
      </c>
      <c r="AC668" s="33" t="str">
        <f aca="false">TEXT(B668, "mmmm")</f>
        <v>January</v>
      </c>
      <c r="AD668" s="43" t="n">
        <f aca="false">LEN(TEXT(B668, "YYYY-MM-DD"))</f>
        <v>10</v>
      </c>
      <c r="AE668" s="45" t="str">
        <f aca="false">LEFT(TEXT(B668, "YYYY-MM-DD"), 4)</f>
        <v>2011</v>
      </c>
      <c r="AF668" s="45" t="str">
        <f aca="false">RIGHT(TEXT(B668, "YYYY-MM-DD"), 2)</f>
        <v>30</v>
      </c>
    </row>
    <row r="669" customFormat="false" ht="15" hidden="false" customHeight="false" outlineLevel="0" collapsed="false">
      <c r="A669" s="37" t="n">
        <v>665</v>
      </c>
      <c r="B669" s="38" t="s">
        <v>114</v>
      </c>
      <c r="C669" s="37" t="n">
        <v>1</v>
      </c>
      <c r="D669" s="35" t="str">
        <f aca="false">VLOOKUP(C669, Lookups_Metadata!$A$4:$B$7, 2, FALSE())</f>
        <v>Spring</v>
      </c>
      <c r="E669" s="37" t="n">
        <v>0</v>
      </c>
      <c r="F669" s="37" t="n">
        <v>1</v>
      </c>
      <c r="G669" s="37" t="n">
        <v>0</v>
      </c>
      <c r="H669" s="39" t="b">
        <f aca="false">FALSE()</f>
        <v>0</v>
      </c>
      <c r="I669" s="37" t="n">
        <v>1</v>
      </c>
      <c r="J669" s="35" t="str">
        <f aca="false">INDEX(Lookups_Metadata!$E$4:$E$10, MATCH(I669, Lookups_Metadata!$D$4:$D$10, 0))</f>
        <v>Monday</v>
      </c>
      <c r="K669" s="35" t="str">
        <f aca="false">IF(H669=TRUE(), "Holiday", IF(OR(I669=0, I669=6), "Weekend", "Weekday"))</f>
        <v>Weekday</v>
      </c>
      <c r="L669" s="35" t="str">
        <f aca="false">IF(AND(K669="Weekday", OR(AND(G669&gt;=7, G669&lt;=9), AND(G669&gt;=17, G669&lt;=19))), "Peak Commute", "Off-Peak")</f>
        <v>Off-Peak</v>
      </c>
      <c r="M669" s="37" t="n">
        <v>2</v>
      </c>
      <c r="N669" s="35" t="str">
        <f aca="false">VLOOKUP(M669, Lookups_Metadata!$G$4:$H$7, 2, FALSE())</f>
        <v>Mist / Cloudy</v>
      </c>
      <c r="O669" s="40" t="n">
        <v>0.24</v>
      </c>
      <c r="P669" s="40" t="n">
        <v>0.2273</v>
      </c>
      <c r="Q669" s="40" t="n">
        <f aca="false">IF(OR(P669="", ISBLANK(P669)), ROUND(0.9367*O669+0.0175, 4), P669)</f>
        <v>0.2273</v>
      </c>
      <c r="R669" s="35" t="str">
        <f aca="false">IF(OR(P669="", ISBLANK(P669)), "Imputed (Regression/Trend)", "Original")</f>
        <v>Original</v>
      </c>
      <c r="S669" s="40" t="n">
        <v>0.65</v>
      </c>
      <c r="T669" s="40" t="n">
        <v>0.2239</v>
      </c>
      <c r="U669" s="41" t="n">
        <v>1</v>
      </c>
      <c r="V669" s="41" t="n">
        <v>6</v>
      </c>
      <c r="W669" s="41" t="n">
        <f aca="false">U669+V669</f>
        <v>7</v>
      </c>
      <c r="X669" s="42" t="n">
        <f aca="false">U669/W669</f>
        <v>0.142857142857143</v>
      </c>
      <c r="Y669" s="42" t="n">
        <f aca="false">V669/W669</f>
        <v>0.857142857142857</v>
      </c>
      <c r="Z669" s="35" t="str">
        <f aca="false">IF(W669&gt;=150, "High Demand", IF(W669&gt;=50, "Moderate Demand", "Low Demand"))</f>
        <v>Low Demand</v>
      </c>
      <c r="AA669" s="39" t="str">
        <f aca="false">TEXT(G669, "00") &amp; ":00"</f>
        <v>00:00</v>
      </c>
      <c r="AB669" s="37" t="n">
        <f aca="false">YEAR(B669)</f>
        <v>2011</v>
      </c>
      <c r="AC669" s="35" t="str">
        <f aca="false">TEXT(B669, "mmmm")</f>
        <v>January</v>
      </c>
      <c r="AD669" s="37" t="n">
        <f aca="false">LEN(TEXT(B669, "YYYY-MM-DD"))</f>
        <v>10</v>
      </c>
      <c r="AE669" s="39" t="str">
        <f aca="false">LEFT(TEXT(B669, "YYYY-MM-DD"), 4)</f>
        <v>2011</v>
      </c>
      <c r="AF669" s="39" t="str">
        <f aca="false">RIGHT(TEXT(B669, "YYYY-MM-DD"), 2)</f>
        <v>31</v>
      </c>
    </row>
    <row r="670" customFormat="false" ht="15" hidden="false" customHeight="false" outlineLevel="0" collapsed="false">
      <c r="A670" s="43" t="n">
        <v>666</v>
      </c>
      <c r="B670" s="44" t="s">
        <v>114</v>
      </c>
      <c r="C670" s="43" t="n">
        <v>1</v>
      </c>
      <c r="D670" s="33" t="str">
        <f aca="false">VLOOKUP(C670, Lookups_Metadata!$A$4:$B$7, 2, FALSE())</f>
        <v>Spring</v>
      </c>
      <c r="E670" s="43" t="n">
        <v>0</v>
      </c>
      <c r="F670" s="43" t="n">
        <v>1</v>
      </c>
      <c r="G670" s="43" t="n">
        <v>1</v>
      </c>
      <c r="H670" s="45" t="b">
        <f aca="false">FALSE()</f>
        <v>0</v>
      </c>
      <c r="I670" s="43" t="n">
        <v>1</v>
      </c>
      <c r="J670" s="33" t="str">
        <f aca="false">INDEX(Lookups_Metadata!$E$4:$E$10, MATCH(I670, Lookups_Metadata!$D$4:$D$10, 0))</f>
        <v>Monday</v>
      </c>
      <c r="K670" s="33" t="str">
        <f aca="false">IF(H670=TRUE(), "Holiday", IF(OR(I670=0, I670=6), "Weekend", "Weekday"))</f>
        <v>Weekday</v>
      </c>
      <c r="L670" s="33" t="str">
        <f aca="false">IF(AND(K670="Weekday", OR(AND(G670&gt;=7, G670&lt;=9), AND(G670&gt;=17, G670&lt;=19))), "Peak Commute", "Off-Peak")</f>
        <v>Off-Peak</v>
      </c>
      <c r="M670" s="43" t="n">
        <v>1</v>
      </c>
      <c r="N670" s="33" t="str">
        <f aca="false">VLOOKUP(M670, Lookups_Metadata!$G$4:$H$7, 2, FALSE())</f>
        <v>Clear / Few Clouds</v>
      </c>
      <c r="O670" s="46" t="n">
        <v>0.22</v>
      </c>
      <c r="P670" s="46" t="n">
        <v>0.2121</v>
      </c>
      <c r="Q670" s="46" t="n">
        <f aca="false">IF(OR(P670="", ISBLANK(P670)), ROUND(0.9367*O670+0.0175, 4), P670)</f>
        <v>0.2121</v>
      </c>
      <c r="R670" s="33" t="str">
        <f aca="false">IF(OR(P670="", ISBLANK(P670)), "Imputed (Regression/Trend)", "Original")</f>
        <v>Original</v>
      </c>
      <c r="S670" s="46" t="n">
        <v>0.64</v>
      </c>
      <c r="T670" s="46" t="n">
        <v>0.2537</v>
      </c>
      <c r="U670" s="18" t="n">
        <v>2</v>
      </c>
      <c r="V670" s="18" t="n">
        <v>5</v>
      </c>
      <c r="W670" s="18" t="n">
        <f aca="false">U670+V670</f>
        <v>7</v>
      </c>
      <c r="X670" s="47" t="n">
        <f aca="false">U670/W670</f>
        <v>0.285714285714286</v>
      </c>
      <c r="Y670" s="47" t="n">
        <f aca="false">V670/W670</f>
        <v>0.714285714285714</v>
      </c>
      <c r="Z670" s="33" t="str">
        <f aca="false">IF(W670&gt;=150, "High Demand", IF(W670&gt;=50, "Moderate Demand", "Low Demand"))</f>
        <v>Low Demand</v>
      </c>
      <c r="AA670" s="45" t="str">
        <f aca="false">TEXT(G670, "00") &amp; ":00"</f>
        <v>01:00</v>
      </c>
      <c r="AB670" s="43" t="n">
        <f aca="false">YEAR(B670)</f>
        <v>2011</v>
      </c>
      <c r="AC670" s="33" t="str">
        <f aca="false">TEXT(B670, "mmmm")</f>
        <v>January</v>
      </c>
      <c r="AD670" s="43" t="n">
        <f aca="false">LEN(TEXT(B670, "YYYY-MM-DD"))</f>
        <v>10</v>
      </c>
      <c r="AE670" s="45" t="str">
        <f aca="false">LEFT(TEXT(B670, "YYYY-MM-DD"), 4)</f>
        <v>2011</v>
      </c>
      <c r="AF670" s="45" t="str">
        <f aca="false">RIGHT(TEXT(B670, "YYYY-MM-DD"), 2)</f>
        <v>31</v>
      </c>
    </row>
    <row r="671" customFormat="false" ht="15" hidden="false" customHeight="false" outlineLevel="0" collapsed="false">
      <c r="A671" s="37" t="n">
        <v>667</v>
      </c>
      <c r="B671" s="38" t="s">
        <v>114</v>
      </c>
      <c r="C671" s="37" t="n">
        <v>1</v>
      </c>
      <c r="D671" s="35" t="str">
        <f aca="false">VLOOKUP(C671, Lookups_Metadata!$A$4:$B$7, 2, FALSE())</f>
        <v>Spring</v>
      </c>
      <c r="E671" s="37" t="n">
        <v>0</v>
      </c>
      <c r="F671" s="37" t="n">
        <v>1</v>
      </c>
      <c r="G671" s="37" t="n">
        <v>2</v>
      </c>
      <c r="H671" s="39" t="b">
        <f aca="false">FALSE()</f>
        <v>0</v>
      </c>
      <c r="I671" s="37" t="n">
        <v>1</v>
      </c>
      <c r="J671" s="35" t="str">
        <f aca="false">INDEX(Lookups_Metadata!$E$4:$E$10, MATCH(I671, Lookups_Metadata!$D$4:$D$10, 0))</f>
        <v>Monday</v>
      </c>
      <c r="K671" s="35" t="str">
        <f aca="false">IF(H671=TRUE(), "Holiday", IF(OR(I671=0, I671=6), "Weekend", "Weekday"))</f>
        <v>Weekday</v>
      </c>
      <c r="L671" s="35" t="str">
        <f aca="false">IF(AND(K671="Weekday", OR(AND(G671&gt;=7, G671&lt;=9), AND(G671&gt;=17, G671&lt;=19))), "Peak Commute", "Off-Peak")</f>
        <v>Off-Peak</v>
      </c>
      <c r="M671" s="37" t="n">
        <v>1</v>
      </c>
      <c r="N671" s="35" t="str">
        <f aca="false">VLOOKUP(M671, Lookups_Metadata!$G$4:$H$7, 2, FALSE())</f>
        <v>Clear / Few Clouds</v>
      </c>
      <c r="O671" s="40" t="n">
        <v>0.22</v>
      </c>
      <c r="P671" s="40" t="n">
        <v>0.2273</v>
      </c>
      <c r="Q671" s="40" t="n">
        <f aca="false">IF(OR(P671="", ISBLANK(P671)), ROUND(0.9367*O671+0.0175, 4), P671)</f>
        <v>0.2273</v>
      </c>
      <c r="R671" s="35" t="str">
        <f aca="false">IF(OR(P671="", ISBLANK(P671)), "Imputed (Regression/Trend)", "Original")</f>
        <v>Original</v>
      </c>
      <c r="S671" s="40" t="n">
        <v>0.64</v>
      </c>
      <c r="T671" s="40" t="n">
        <v>0.194</v>
      </c>
      <c r="U671" s="41" t="n">
        <v>0</v>
      </c>
      <c r="V671" s="41" t="n">
        <v>1</v>
      </c>
      <c r="W671" s="41" t="n">
        <f aca="false">U671+V671</f>
        <v>1</v>
      </c>
      <c r="X671" s="42" t="n">
        <f aca="false">U671/W671</f>
        <v>0</v>
      </c>
      <c r="Y671" s="42" t="n">
        <f aca="false">V671/W671</f>
        <v>1</v>
      </c>
      <c r="Z671" s="35" t="str">
        <f aca="false">IF(W671&gt;=150, "High Demand", IF(W671&gt;=50, "Moderate Demand", "Low Demand"))</f>
        <v>Low Demand</v>
      </c>
      <c r="AA671" s="39" t="str">
        <f aca="false">TEXT(G671, "00") &amp; ":00"</f>
        <v>02:00</v>
      </c>
      <c r="AB671" s="37" t="n">
        <f aca="false">YEAR(B671)</f>
        <v>2011</v>
      </c>
      <c r="AC671" s="35" t="str">
        <f aca="false">TEXT(B671, "mmmm")</f>
        <v>January</v>
      </c>
      <c r="AD671" s="37" t="n">
        <f aca="false">LEN(TEXT(B671, "YYYY-MM-DD"))</f>
        <v>10</v>
      </c>
      <c r="AE671" s="39" t="str">
        <f aca="false">LEFT(TEXT(B671, "YYYY-MM-DD"), 4)</f>
        <v>2011</v>
      </c>
      <c r="AF671" s="39" t="str">
        <f aca="false">RIGHT(TEXT(B671, "YYYY-MM-DD"), 2)</f>
        <v>31</v>
      </c>
    </row>
    <row r="672" customFormat="false" ht="15" hidden="false" customHeight="false" outlineLevel="0" collapsed="false">
      <c r="A672" s="43" t="n">
        <v>668</v>
      </c>
      <c r="B672" s="44" t="s">
        <v>114</v>
      </c>
      <c r="C672" s="43" t="n">
        <v>1</v>
      </c>
      <c r="D672" s="33" t="str">
        <f aca="false">VLOOKUP(C672, Lookups_Metadata!$A$4:$B$7, 2, FALSE())</f>
        <v>Spring</v>
      </c>
      <c r="E672" s="43" t="n">
        <v>0</v>
      </c>
      <c r="F672" s="43" t="n">
        <v>1</v>
      </c>
      <c r="G672" s="43" t="n">
        <v>3</v>
      </c>
      <c r="H672" s="45" t="b">
        <f aca="false">FALSE()</f>
        <v>0</v>
      </c>
      <c r="I672" s="43" t="n">
        <v>1</v>
      </c>
      <c r="J672" s="33" t="str">
        <f aca="false">INDEX(Lookups_Metadata!$E$4:$E$10, MATCH(I672, Lookups_Metadata!$D$4:$D$10, 0))</f>
        <v>Monday</v>
      </c>
      <c r="K672" s="33" t="str">
        <f aca="false">IF(H672=TRUE(), "Holiday", IF(OR(I672=0, I672=6), "Weekend", "Weekday"))</f>
        <v>Weekday</v>
      </c>
      <c r="L672" s="33" t="str">
        <f aca="false">IF(AND(K672="Weekday", OR(AND(G672&gt;=7, G672&lt;=9), AND(G672&gt;=17, G672&lt;=19))), "Peak Commute", "Off-Peak")</f>
        <v>Off-Peak</v>
      </c>
      <c r="M672" s="43" t="n">
        <v>1</v>
      </c>
      <c r="N672" s="33" t="str">
        <f aca="false">VLOOKUP(M672, Lookups_Metadata!$G$4:$H$7, 2, FALSE())</f>
        <v>Clear / Few Clouds</v>
      </c>
      <c r="O672" s="46" t="n">
        <v>0.22</v>
      </c>
      <c r="P672" s="46" t="n">
        <v>0.2273</v>
      </c>
      <c r="Q672" s="46" t="n">
        <f aca="false">IF(OR(P672="", ISBLANK(P672)), ROUND(0.9367*O672+0.0175, 4), P672)</f>
        <v>0.2273</v>
      </c>
      <c r="R672" s="33" t="str">
        <f aca="false">IF(OR(P672="", ISBLANK(P672)), "Imputed (Regression/Trend)", "Original")</f>
        <v>Original</v>
      </c>
      <c r="S672" s="46" t="n">
        <v>0.64</v>
      </c>
      <c r="T672" s="46" t="n">
        <v>0.194</v>
      </c>
      <c r="U672" s="18" t="n">
        <v>0</v>
      </c>
      <c r="V672" s="18" t="n">
        <v>2</v>
      </c>
      <c r="W672" s="18" t="n">
        <f aca="false">U672+V672</f>
        <v>2</v>
      </c>
      <c r="X672" s="47" t="n">
        <f aca="false">U672/W672</f>
        <v>0</v>
      </c>
      <c r="Y672" s="47" t="n">
        <f aca="false">V672/W672</f>
        <v>1</v>
      </c>
      <c r="Z672" s="33" t="str">
        <f aca="false">IF(W672&gt;=150, "High Demand", IF(W672&gt;=50, "Moderate Demand", "Low Demand"))</f>
        <v>Low Demand</v>
      </c>
      <c r="AA672" s="45" t="str">
        <f aca="false">TEXT(G672, "00") &amp; ":00"</f>
        <v>03:00</v>
      </c>
      <c r="AB672" s="43" t="n">
        <f aca="false">YEAR(B672)</f>
        <v>2011</v>
      </c>
      <c r="AC672" s="33" t="str">
        <f aca="false">TEXT(B672, "mmmm")</f>
        <v>January</v>
      </c>
      <c r="AD672" s="43" t="n">
        <f aca="false">LEN(TEXT(B672, "YYYY-MM-DD"))</f>
        <v>10</v>
      </c>
      <c r="AE672" s="45" t="str">
        <f aca="false">LEFT(TEXT(B672, "YYYY-MM-DD"), 4)</f>
        <v>2011</v>
      </c>
      <c r="AF672" s="45" t="str">
        <f aca="false">RIGHT(TEXT(B672, "YYYY-MM-DD"), 2)</f>
        <v>31</v>
      </c>
    </row>
    <row r="673" customFormat="false" ht="15" hidden="false" customHeight="false" outlineLevel="0" collapsed="false">
      <c r="A673" s="37" t="n">
        <v>669</v>
      </c>
      <c r="B673" s="38" t="s">
        <v>114</v>
      </c>
      <c r="C673" s="37" t="n">
        <v>1</v>
      </c>
      <c r="D673" s="35" t="str">
        <f aca="false">VLOOKUP(C673, Lookups_Metadata!$A$4:$B$7, 2, FALSE())</f>
        <v>Spring</v>
      </c>
      <c r="E673" s="37" t="n">
        <v>0</v>
      </c>
      <c r="F673" s="37" t="n">
        <v>1</v>
      </c>
      <c r="G673" s="37" t="n">
        <v>4</v>
      </c>
      <c r="H673" s="39" t="b">
        <f aca="false">FALSE()</f>
        <v>0</v>
      </c>
      <c r="I673" s="37" t="n">
        <v>1</v>
      </c>
      <c r="J673" s="35" t="str">
        <f aca="false">INDEX(Lookups_Metadata!$E$4:$E$10, MATCH(I673, Lookups_Metadata!$D$4:$D$10, 0))</f>
        <v>Monday</v>
      </c>
      <c r="K673" s="35" t="str">
        <f aca="false">IF(H673=TRUE(), "Holiday", IF(OR(I673=0, I673=6), "Weekend", "Weekday"))</f>
        <v>Weekday</v>
      </c>
      <c r="L673" s="35" t="str">
        <f aca="false">IF(AND(K673="Weekday", OR(AND(G673&gt;=7, G673&lt;=9), AND(G673&gt;=17, G673&lt;=19))), "Peak Commute", "Off-Peak")</f>
        <v>Off-Peak</v>
      </c>
      <c r="M673" s="37" t="n">
        <v>1</v>
      </c>
      <c r="N673" s="35" t="str">
        <f aca="false">VLOOKUP(M673, Lookups_Metadata!$G$4:$H$7, 2, FALSE())</f>
        <v>Clear / Few Clouds</v>
      </c>
      <c r="O673" s="40" t="n">
        <v>0.2</v>
      </c>
      <c r="P673" s="40" t="n">
        <v>0.197</v>
      </c>
      <c r="Q673" s="40" t="n">
        <f aca="false">IF(OR(P673="", ISBLANK(P673)), ROUND(0.9367*O673+0.0175, 4), P673)</f>
        <v>0.197</v>
      </c>
      <c r="R673" s="35" t="str">
        <f aca="false">IF(OR(P673="", ISBLANK(P673)), "Imputed (Regression/Trend)", "Original")</f>
        <v>Original</v>
      </c>
      <c r="S673" s="40" t="n">
        <v>0.59</v>
      </c>
      <c r="T673" s="40" t="n">
        <v>0.2239</v>
      </c>
      <c r="U673" s="41" t="n">
        <v>0</v>
      </c>
      <c r="V673" s="41" t="n">
        <v>2</v>
      </c>
      <c r="W673" s="41" t="n">
        <f aca="false">U673+V673</f>
        <v>2</v>
      </c>
      <c r="X673" s="42" t="n">
        <f aca="false">U673/W673</f>
        <v>0</v>
      </c>
      <c r="Y673" s="42" t="n">
        <f aca="false">V673/W673</f>
        <v>1</v>
      </c>
      <c r="Z673" s="35" t="str">
        <f aca="false">IF(W673&gt;=150, "High Demand", IF(W673&gt;=50, "Moderate Demand", "Low Demand"))</f>
        <v>Low Demand</v>
      </c>
      <c r="AA673" s="39" t="str">
        <f aca="false">TEXT(G673, "00") &amp; ":00"</f>
        <v>04:00</v>
      </c>
      <c r="AB673" s="37" t="n">
        <f aca="false">YEAR(B673)</f>
        <v>2011</v>
      </c>
      <c r="AC673" s="35" t="str">
        <f aca="false">TEXT(B673, "mmmm")</f>
        <v>January</v>
      </c>
      <c r="AD673" s="37" t="n">
        <f aca="false">LEN(TEXT(B673, "YYYY-MM-DD"))</f>
        <v>10</v>
      </c>
      <c r="AE673" s="39" t="str">
        <f aca="false">LEFT(TEXT(B673, "YYYY-MM-DD"), 4)</f>
        <v>2011</v>
      </c>
      <c r="AF673" s="39" t="str">
        <f aca="false">RIGHT(TEXT(B673, "YYYY-MM-DD"), 2)</f>
        <v>31</v>
      </c>
    </row>
    <row r="674" customFormat="false" ht="15" hidden="false" customHeight="false" outlineLevel="0" collapsed="false">
      <c r="A674" s="43" t="n">
        <v>670</v>
      </c>
      <c r="B674" s="44" t="s">
        <v>114</v>
      </c>
      <c r="C674" s="43" t="n">
        <v>1</v>
      </c>
      <c r="D674" s="33" t="str">
        <f aca="false">VLOOKUP(C674, Lookups_Metadata!$A$4:$B$7, 2, FALSE())</f>
        <v>Spring</v>
      </c>
      <c r="E674" s="43" t="n">
        <v>0</v>
      </c>
      <c r="F674" s="43" t="n">
        <v>1</v>
      </c>
      <c r="G674" s="43" t="n">
        <v>5</v>
      </c>
      <c r="H674" s="45" t="b">
        <f aca="false">FALSE()</f>
        <v>0</v>
      </c>
      <c r="I674" s="43" t="n">
        <v>1</v>
      </c>
      <c r="J674" s="33" t="str">
        <f aca="false">INDEX(Lookups_Metadata!$E$4:$E$10, MATCH(I674, Lookups_Metadata!$D$4:$D$10, 0))</f>
        <v>Monday</v>
      </c>
      <c r="K674" s="33" t="str">
        <f aca="false">IF(H674=TRUE(), "Holiday", IF(OR(I674=0, I674=6), "Weekend", "Weekday"))</f>
        <v>Weekday</v>
      </c>
      <c r="L674" s="33" t="str">
        <f aca="false">IF(AND(K674="Weekday", OR(AND(G674&gt;=7, G674&lt;=9), AND(G674&gt;=17, G674&lt;=19))), "Peak Commute", "Off-Peak")</f>
        <v>Off-Peak</v>
      </c>
      <c r="M674" s="43" t="n">
        <v>1</v>
      </c>
      <c r="N674" s="33" t="str">
        <f aca="false">VLOOKUP(M674, Lookups_Metadata!$G$4:$H$7, 2, FALSE())</f>
        <v>Clear / Few Clouds</v>
      </c>
      <c r="O674" s="46" t="n">
        <v>0.18</v>
      </c>
      <c r="P674" s="46" t="n">
        <v>0.1667</v>
      </c>
      <c r="Q674" s="46" t="n">
        <f aca="false">IF(OR(P674="", ISBLANK(P674)), ROUND(0.9367*O674+0.0175, 4), P674)</f>
        <v>0.1667</v>
      </c>
      <c r="R674" s="33" t="str">
        <f aca="false">IF(OR(P674="", ISBLANK(P674)), "Imputed (Regression/Trend)", "Original")</f>
        <v>Original</v>
      </c>
      <c r="S674" s="46" t="n">
        <v>0.64</v>
      </c>
      <c r="T674" s="46" t="n">
        <v>0.2836</v>
      </c>
      <c r="U674" s="18" t="n">
        <v>0</v>
      </c>
      <c r="V674" s="18" t="n">
        <v>8</v>
      </c>
      <c r="W674" s="18" t="n">
        <f aca="false">U674+V674</f>
        <v>8</v>
      </c>
      <c r="X674" s="47" t="n">
        <f aca="false">U674/W674</f>
        <v>0</v>
      </c>
      <c r="Y674" s="47" t="n">
        <f aca="false">V674/W674</f>
        <v>1</v>
      </c>
      <c r="Z674" s="33" t="str">
        <f aca="false">IF(W674&gt;=150, "High Demand", IF(W674&gt;=50, "Moderate Demand", "Low Demand"))</f>
        <v>Low Demand</v>
      </c>
      <c r="AA674" s="45" t="str">
        <f aca="false">TEXT(G674, "00") &amp; ":00"</f>
        <v>05:00</v>
      </c>
      <c r="AB674" s="43" t="n">
        <f aca="false">YEAR(B674)</f>
        <v>2011</v>
      </c>
      <c r="AC674" s="33" t="str">
        <f aca="false">TEXT(B674, "mmmm")</f>
        <v>January</v>
      </c>
      <c r="AD674" s="43" t="n">
        <f aca="false">LEN(TEXT(B674, "YYYY-MM-DD"))</f>
        <v>10</v>
      </c>
      <c r="AE674" s="45" t="str">
        <f aca="false">LEFT(TEXT(B674, "YYYY-MM-DD"), 4)</f>
        <v>2011</v>
      </c>
      <c r="AF674" s="45" t="str">
        <f aca="false">RIGHT(TEXT(B674, "YYYY-MM-DD"), 2)</f>
        <v>31</v>
      </c>
    </row>
    <row r="675" customFormat="false" ht="15" hidden="false" customHeight="false" outlineLevel="0" collapsed="false">
      <c r="A675" s="37" t="n">
        <v>671</v>
      </c>
      <c r="B675" s="38" t="s">
        <v>114</v>
      </c>
      <c r="C675" s="37" t="n">
        <v>1</v>
      </c>
      <c r="D675" s="35" t="str">
        <f aca="false">VLOOKUP(C675, Lookups_Metadata!$A$4:$B$7, 2, FALSE())</f>
        <v>Spring</v>
      </c>
      <c r="E675" s="37" t="n">
        <v>0</v>
      </c>
      <c r="F675" s="37" t="n">
        <v>1</v>
      </c>
      <c r="G675" s="37" t="n">
        <v>6</v>
      </c>
      <c r="H675" s="39" t="b">
        <f aca="false">FALSE()</f>
        <v>0</v>
      </c>
      <c r="I675" s="37" t="n">
        <v>1</v>
      </c>
      <c r="J675" s="35" t="str">
        <f aca="false">INDEX(Lookups_Metadata!$E$4:$E$10, MATCH(I675, Lookups_Metadata!$D$4:$D$10, 0))</f>
        <v>Monday</v>
      </c>
      <c r="K675" s="35" t="str">
        <f aca="false">IF(H675=TRUE(), "Holiday", IF(OR(I675=0, I675=6), "Weekend", "Weekday"))</f>
        <v>Weekday</v>
      </c>
      <c r="L675" s="35" t="str">
        <f aca="false">IF(AND(K675="Weekday", OR(AND(G675&gt;=7, G675&lt;=9), AND(G675&gt;=17, G675&lt;=19))), "Peak Commute", "Off-Peak")</f>
        <v>Off-Peak</v>
      </c>
      <c r="M675" s="37" t="n">
        <v>1</v>
      </c>
      <c r="N675" s="35" t="str">
        <f aca="false">VLOOKUP(M675, Lookups_Metadata!$G$4:$H$7, 2, FALSE())</f>
        <v>Clear / Few Clouds</v>
      </c>
      <c r="O675" s="40" t="n">
        <v>0.16</v>
      </c>
      <c r="P675" s="40" t="n">
        <v>0.1364</v>
      </c>
      <c r="Q675" s="40" t="n">
        <f aca="false">IF(OR(P675="", ISBLANK(P675)), ROUND(0.9367*O675+0.0175, 4), P675)</f>
        <v>0.1364</v>
      </c>
      <c r="R675" s="35" t="str">
        <f aca="false">IF(OR(P675="", ISBLANK(P675)), "Imputed (Regression/Trend)", "Original")</f>
        <v>Original</v>
      </c>
      <c r="S675" s="40" t="n">
        <v>0.69</v>
      </c>
      <c r="T675" s="40" t="n">
        <v>0.3284</v>
      </c>
      <c r="U675" s="41" t="n">
        <v>0</v>
      </c>
      <c r="V675" s="41" t="n">
        <v>37</v>
      </c>
      <c r="W675" s="41" t="n">
        <f aca="false">U675+V675</f>
        <v>37</v>
      </c>
      <c r="X675" s="42" t="n">
        <f aca="false">U675/W675</f>
        <v>0</v>
      </c>
      <c r="Y675" s="42" t="n">
        <f aca="false">V675/W675</f>
        <v>1</v>
      </c>
      <c r="Z675" s="35" t="str">
        <f aca="false">IF(W675&gt;=150, "High Demand", IF(W675&gt;=50, "Moderate Demand", "Low Demand"))</f>
        <v>Low Demand</v>
      </c>
      <c r="AA675" s="39" t="str">
        <f aca="false">TEXT(G675, "00") &amp; ":00"</f>
        <v>06:00</v>
      </c>
      <c r="AB675" s="37" t="n">
        <f aca="false">YEAR(B675)</f>
        <v>2011</v>
      </c>
      <c r="AC675" s="35" t="str">
        <f aca="false">TEXT(B675, "mmmm")</f>
        <v>January</v>
      </c>
      <c r="AD675" s="37" t="n">
        <f aca="false">LEN(TEXT(B675, "YYYY-MM-DD"))</f>
        <v>10</v>
      </c>
      <c r="AE675" s="39" t="str">
        <f aca="false">LEFT(TEXT(B675, "YYYY-MM-DD"), 4)</f>
        <v>2011</v>
      </c>
      <c r="AF675" s="39" t="str">
        <f aca="false">RIGHT(TEXT(B675, "YYYY-MM-DD"), 2)</f>
        <v>31</v>
      </c>
    </row>
    <row r="676" customFormat="false" ht="15" hidden="false" customHeight="false" outlineLevel="0" collapsed="false">
      <c r="A676" s="43" t="n">
        <v>672</v>
      </c>
      <c r="B676" s="44" t="s">
        <v>114</v>
      </c>
      <c r="C676" s="43" t="n">
        <v>1</v>
      </c>
      <c r="D676" s="33" t="str">
        <f aca="false">VLOOKUP(C676, Lookups_Metadata!$A$4:$B$7, 2, FALSE())</f>
        <v>Spring</v>
      </c>
      <c r="E676" s="43" t="n">
        <v>0</v>
      </c>
      <c r="F676" s="43" t="n">
        <v>1</v>
      </c>
      <c r="G676" s="43" t="n">
        <v>7</v>
      </c>
      <c r="H676" s="45" t="b">
        <f aca="false">FALSE()</f>
        <v>0</v>
      </c>
      <c r="I676" s="43" t="n">
        <v>1</v>
      </c>
      <c r="J676" s="33" t="str">
        <f aca="false">INDEX(Lookups_Metadata!$E$4:$E$10, MATCH(I676, Lookups_Metadata!$D$4:$D$10, 0))</f>
        <v>Monday</v>
      </c>
      <c r="K676" s="33" t="str">
        <f aca="false">IF(H676=TRUE(), "Holiday", IF(OR(I676=0, I676=6), "Weekend", "Weekday"))</f>
        <v>Weekday</v>
      </c>
      <c r="L676" s="33" t="str">
        <f aca="false">IF(AND(K676="Weekday", OR(AND(G676&gt;=7, G676&lt;=9), AND(G676&gt;=17, G676&lt;=19))), "Peak Commute", "Off-Peak")</f>
        <v>Peak Commute</v>
      </c>
      <c r="M676" s="43" t="n">
        <v>2</v>
      </c>
      <c r="N676" s="33" t="str">
        <f aca="false">VLOOKUP(M676, Lookups_Metadata!$G$4:$H$7, 2, FALSE())</f>
        <v>Mist / Cloudy</v>
      </c>
      <c r="O676" s="46" t="n">
        <v>0.16</v>
      </c>
      <c r="P676" s="46" t="n">
        <v>0.1364</v>
      </c>
      <c r="Q676" s="46" t="n">
        <f aca="false">IF(OR(P676="", ISBLANK(P676)), ROUND(0.9367*O676+0.0175, 4), P676)</f>
        <v>0.1364</v>
      </c>
      <c r="R676" s="33" t="str">
        <f aca="false">IF(OR(P676="", ISBLANK(P676)), "Imputed (Regression/Trend)", "Original")</f>
        <v>Original</v>
      </c>
      <c r="S676" s="46" t="n">
        <v>0.64</v>
      </c>
      <c r="T676" s="46" t="n">
        <v>0.2836</v>
      </c>
      <c r="U676" s="18" t="n">
        <v>1</v>
      </c>
      <c r="V676" s="18" t="n">
        <v>71</v>
      </c>
      <c r="W676" s="18" t="n">
        <f aca="false">U676+V676</f>
        <v>72</v>
      </c>
      <c r="X676" s="47" t="n">
        <f aca="false">U676/W676</f>
        <v>0.0138888888888889</v>
      </c>
      <c r="Y676" s="47" t="n">
        <f aca="false">V676/W676</f>
        <v>0.986111111111111</v>
      </c>
      <c r="Z676" s="33" t="str">
        <f aca="false">IF(W676&gt;=150, "High Demand", IF(W676&gt;=50, "Moderate Demand", "Low Demand"))</f>
        <v>Moderate Demand</v>
      </c>
      <c r="AA676" s="45" t="str">
        <f aca="false">TEXT(G676, "00") &amp; ":00"</f>
        <v>07:00</v>
      </c>
      <c r="AB676" s="43" t="n">
        <f aca="false">YEAR(B676)</f>
        <v>2011</v>
      </c>
      <c r="AC676" s="33" t="str">
        <f aca="false">TEXT(B676, "mmmm")</f>
        <v>January</v>
      </c>
      <c r="AD676" s="43" t="n">
        <f aca="false">LEN(TEXT(B676, "YYYY-MM-DD"))</f>
        <v>10</v>
      </c>
      <c r="AE676" s="45" t="str">
        <f aca="false">LEFT(TEXT(B676, "YYYY-MM-DD"), 4)</f>
        <v>2011</v>
      </c>
      <c r="AF676" s="45" t="str">
        <f aca="false">RIGHT(TEXT(B676, "YYYY-MM-DD"), 2)</f>
        <v>31</v>
      </c>
    </row>
    <row r="677" customFormat="false" ht="15" hidden="false" customHeight="false" outlineLevel="0" collapsed="false">
      <c r="A677" s="37" t="n">
        <v>673</v>
      </c>
      <c r="B677" s="38" t="s">
        <v>114</v>
      </c>
      <c r="C677" s="37" t="n">
        <v>1</v>
      </c>
      <c r="D677" s="35" t="str">
        <f aca="false">VLOOKUP(C677, Lookups_Metadata!$A$4:$B$7, 2, FALSE())</f>
        <v>Spring</v>
      </c>
      <c r="E677" s="37" t="n">
        <v>0</v>
      </c>
      <c r="F677" s="37" t="n">
        <v>1</v>
      </c>
      <c r="G677" s="37" t="n">
        <v>8</v>
      </c>
      <c r="H677" s="39" t="b">
        <f aca="false">FALSE()</f>
        <v>0</v>
      </c>
      <c r="I677" s="37" t="n">
        <v>1</v>
      </c>
      <c r="J677" s="35" t="str">
        <f aca="false">INDEX(Lookups_Metadata!$E$4:$E$10, MATCH(I677, Lookups_Metadata!$D$4:$D$10, 0))</f>
        <v>Monday</v>
      </c>
      <c r="K677" s="35" t="str">
        <f aca="false">IF(H677=TRUE(), "Holiday", IF(OR(I677=0, I677=6), "Weekend", "Weekday"))</f>
        <v>Weekday</v>
      </c>
      <c r="L677" s="35" t="str">
        <f aca="false">IF(AND(K677="Weekday", OR(AND(G677&gt;=7, G677&lt;=9), AND(G677&gt;=17, G677&lt;=19))), "Peak Commute", "Off-Peak")</f>
        <v>Peak Commute</v>
      </c>
      <c r="M677" s="37" t="n">
        <v>2</v>
      </c>
      <c r="N677" s="35" t="str">
        <f aca="false">VLOOKUP(M677, Lookups_Metadata!$G$4:$H$7, 2, FALSE())</f>
        <v>Mist / Cloudy</v>
      </c>
      <c r="O677" s="40" t="n">
        <v>0.16</v>
      </c>
      <c r="P677" s="40" t="n">
        <v>0.1364</v>
      </c>
      <c r="Q677" s="40" t="n">
        <f aca="false">IF(OR(P677="", ISBLANK(P677)), ROUND(0.9367*O677+0.0175, 4), P677)</f>
        <v>0.1364</v>
      </c>
      <c r="R677" s="35" t="str">
        <f aca="false">IF(OR(P677="", ISBLANK(P677)), "Imputed (Regression/Trend)", "Original")</f>
        <v>Original</v>
      </c>
      <c r="S677" s="40" t="n">
        <v>0.59</v>
      </c>
      <c r="T677" s="40" t="n">
        <v>0.2836</v>
      </c>
      <c r="U677" s="41" t="n">
        <v>3</v>
      </c>
      <c r="V677" s="41" t="n">
        <v>182</v>
      </c>
      <c r="W677" s="41" t="n">
        <f aca="false">U677+V677</f>
        <v>185</v>
      </c>
      <c r="X677" s="42" t="n">
        <f aca="false">U677/W677</f>
        <v>0.0162162162162162</v>
      </c>
      <c r="Y677" s="42" t="n">
        <f aca="false">V677/W677</f>
        <v>0.983783783783784</v>
      </c>
      <c r="Z677" s="35" t="str">
        <f aca="false">IF(W677&gt;=150, "High Demand", IF(W677&gt;=50, "Moderate Demand", "Low Demand"))</f>
        <v>High Demand</v>
      </c>
      <c r="AA677" s="39" t="str">
        <f aca="false">TEXT(G677, "00") &amp; ":00"</f>
        <v>08:00</v>
      </c>
      <c r="AB677" s="37" t="n">
        <f aca="false">YEAR(B677)</f>
        <v>2011</v>
      </c>
      <c r="AC677" s="35" t="str">
        <f aca="false">TEXT(B677, "mmmm")</f>
        <v>January</v>
      </c>
      <c r="AD677" s="37" t="n">
        <f aca="false">LEN(TEXT(B677, "YYYY-MM-DD"))</f>
        <v>10</v>
      </c>
      <c r="AE677" s="39" t="str">
        <f aca="false">LEFT(TEXT(B677, "YYYY-MM-DD"), 4)</f>
        <v>2011</v>
      </c>
      <c r="AF677" s="39" t="str">
        <f aca="false">RIGHT(TEXT(B677, "YYYY-MM-DD"), 2)</f>
        <v>31</v>
      </c>
    </row>
    <row r="678" customFormat="false" ht="15" hidden="false" customHeight="false" outlineLevel="0" collapsed="false">
      <c r="A678" s="43" t="n">
        <v>674</v>
      </c>
      <c r="B678" s="44" t="s">
        <v>114</v>
      </c>
      <c r="C678" s="43" t="n">
        <v>1</v>
      </c>
      <c r="D678" s="33" t="str">
        <f aca="false">VLOOKUP(C678, Lookups_Metadata!$A$4:$B$7, 2, FALSE())</f>
        <v>Spring</v>
      </c>
      <c r="E678" s="43" t="n">
        <v>0</v>
      </c>
      <c r="F678" s="43" t="n">
        <v>1</v>
      </c>
      <c r="G678" s="43" t="n">
        <v>9</v>
      </c>
      <c r="H678" s="45" t="b">
        <f aca="false">FALSE()</f>
        <v>0</v>
      </c>
      <c r="I678" s="43" t="n">
        <v>1</v>
      </c>
      <c r="J678" s="33" t="str">
        <f aca="false">INDEX(Lookups_Metadata!$E$4:$E$10, MATCH(I678, Lookups_Metadata!$D$4:$D$10, 0))</f>
        <v>Monday</v>
      </c>
      <c r="K678" s="33" t="str">
        <f aca="false">IF(H678=TRUE(), "Holiday", IF(OR(I678=0, I678=6), "Weekend", "Weekday"))</f>
        <v>Weekday</v>
      </c>
      <c r="L678" s="33" t="str">
        <f aca="false">IF(AND(K678="Weekday", OR(AND(G678&gt;=7, G678&lt;=9), AND(G678&gt;=17, G678&lt;=19))), "Peak Commute", "Off-Peak")</f>
        <v>Peak Commute</v>
      </c>
      <c r="M678" s="43" t="n">
        <v>2</v>
      </c>
      <c r="N678" s="33" t="str">
        <f aca="false">VLOOKUP(M678, Lookups_Metadata!$G$4:$H$7, 2, FALSE())</f>
        <v>Mist / Cloudy</v>
      </c>
      <c r="O678" s="46" t="n">
        <v>0.16</v>
      </c>
      <c r="P678" s="46" t="n">
        <v>0.1364</v>
      </c>
      <c r="Q678" s="46" t="n">
        <f aca="false">IF(OR(P678="", ISBLANK(P678)), ROUND(0.9367*O678+0.0175, 4), P678)</f>
        <v>0.1364</v>
      </c>
      <c r="R678" s="33" t="str">
        <f aca="false">IF(OR(P678="", ISBLANK(P678)), "Imputed (Regression/Trend)", "Original")</f>
        <v>Original</v>
      </c>
      <c r="S678" s="46" t="n">
        <v>0.59</v>
      </c>
      <c r="T678" s="46" t="n">
        <v>0.2985</v>
      </c>
      <c r="U678" s="18" t="n">
        <v>0</v>
      </c>
      <c r="V678" s="18" t="n">
        <v>112</v>
      </c>
      <c r="W678" s="18" t="n">
        <f aca="false">U678+V678</f>
        <v>112</v>
      </c>
      <c r="X678" s="47" t="n">
        <f aca="false">U678/W678</f>
        <v>0</v>
      </c>
      <c r="Y678" s="47" t="n">
        <f aca="false">V678/W678</f>
        <v>1</v>
      </c>
      <c r="Z678" s="33" t="str">
        <f aca="false">IF(W678&gt;=150, "High Demand", IF(W678&gt;=50, "Moderate Demand", "Low Demand"))</f>
        <v>Moderate Demand</v>
      </c>
      <c r="AA678" s="45" t="str">
        <f aca="false">TEXT(G678, "00") &amp; ":00"</f>
        <v>09:00</v>
      </c>
      <c r="AB678" s="43" t="n">
        <f aca="false">YEAR(B678)</f>
        <v>2011</v>
      </c>
      <c r="AC678" s="33" t="str">
        <f aca="false">TEXT(B678, "mmmm")</f>
        <v>January</v>
      </c>
      <c r="AD678" s="43" t="n">
        <f aca="false">LEN(TEXT(B678, "YYYY-MM-DD"))</f>
        <v>10</v>
      </c>
      <c r="AE678" s="45" t="str">
        <f aca="false">LEFT(TEXT(B678, "YYYY-MM-DD"), 4)</f>
        <v>2011</v>
      </c>
      <c r="AF678" s="45" t="str">
        <f aca="false">RIGHT(TEXT(B678, "YYYY-MM-DD"), 2)</f>
        <v>31</v>
      </c>
    </row>
    <row r="679" customFormat="false" ht="15" hidden="false" customHeight="false" outlineLevel="0" collapsed="false">
      <c r="A679" s="37" t="n">
        <v>675</v>
      </c>
      <c r="B679" s="38" t="s">
        <v>114</v>
      </c>
      <c r="C679" s="37" t="n">
        <v>1</v>
      </c>
      <c r="D679" s="35" t="str">
        <f aca="false">VLOOKUP(C679, Lookups_Metadata!$A$4:$B$7, 2, FALSE())</f>
        <v>Spring</v>
      </c>
      <c r="E679" s="37" t="n">
        <v>0</v>
      </c>
      <c r="F679" s="37" t="n">
        <v>1</v>
      </c>
      <c r="G679" s="37" t="n">
        <v>10</v>
      </c>
      <c r="H679" s="39" t="b">
        <f aca="false">FALSE()</f>
        <v>0</v>
      </c>
      <c r="I679" s="37" t="n">
        <v>1</v>
      </c>
      <c r="J679" s="35" t="str">
        <f aca="false">INDEX(Lookups_Metadata!$E$4:$E$10, MATCH(I679, Lookups_Metadata!$D$4:$D$10, 0))</f>
        <v>Monday</v>
      </c>
      <c r="K679" s="35" t="str">
        <f aca="false">IF(H679=TRUE(), "Holiday", IF(OR(I679=0, I679=6), "Weekend", "Weekday"))</f>
        <v>Weekday</v>
      </c>
      <c r="L679" s="35" t="str">
        <f aca="false">IF(AND(K679="Weekday", OR(AND(G679&gt;=7, G679&lt;=9), AND(G679&gt;=17, G679&lt;=19))), "Peak Commute", "Off-Peak")</f>
        <v>Off-Peak</v>
      </c>
      <c r="M679" s="37" t="n">
        <v>2</v>
      </c>
      <c r="N679" s="35" t="str">
        <f aca="false">VLOOKUP(M679, Lookups_Metadata!$G$4:$H$7, 2, FALSE())</f>
        <v>Mist / Cloudy</v>
      </c>
      <c r="O679" s="40" t="n">
        <v>0.16</v>
      </c>
      <c r="P679" s="40" t="n">
        <v>0.1515</v>
      </c>
      <c r="Q679" s="40" t="n">
        <f aca="false">IF(OR(P679="", ISBLANK(P679)), ROUND(0.9367*O679+0.0175, 4), P679)</f>
        <v>0.1515</v>
      </c>
      <c r="R679" s="35" t="str">
        <f aca="false">IF(OR(P679="", ISBLANK(P679)), "Imputed (Regression/Trend)", "Original")</f>
        <v>Original</v>
      </c>
      <c r="S679" s="40" t="n">
        <v>0.59</v>
      </c>
      <c r="T679" s="40" t="n">
        <v>0.194</v>
      </c>
      <c r="U679" s="41" t="n">
        <v>1</v>
      </c>
      <c r="V679" s="41" t="n">
        <v>68</v>
      </c>
      <c r="W679" s="41" t="n">
        <f aca="false">U679+V679</f>
        <v>69</v>
      </c>
      <c r="X679" s="42" t="n">
        <f aca="false">U679/W679</f>
        <v>0.0144927536231884</v>
      </c>
      <c r="Y679" s="42" t="n">
        <f aca="false">V679/W679</f>
        <v>0.985507246376812</v>
      </c>
      <c r="Z679" s="35" t="str">
        <f aca="false">IF(W679&gt;=150, "High Demand", IF(W679&gt;=50, "Moderate Demand", "Low Demand"))</f>
        <v>Moderate Demand</v>
      </c>
      <c r="AA679" s="39" t="str">
        <f aca="false">TEXT(G679, "00") &amp; ":00"</f>
        <v>10:00</v>
      </c>
      <c r="AB679" s="37" t="n">
        <f aca="false">YEAR(B679)</f>
        <v>2011</v>
      </c>
      <c r="AC679" s="35" t="str">
        <f aca="false">TEXT(B679, "mmmm")</f>
        <v>January</v>
      </c>
      <c r="AD679" s="37" t="n">
        <f aca="false">LEN(TEXT(B679, "YYYY-MM-DD"))</f>
        <v>10</v>
      </c>
      <c r="AE679" s="39" t="str">
        <f aca="false">LEFT(TEXT(B679, "YYYY-MM-DD"), 4)</f>
        <v>2011</v>
      </c>
      <c r="AF679" s="39" t="str">
        <f aca="false">RIGHT(TEXT(B679, "YYYY-MM-DD"), 2)</f>
        <v>31</v>
      </c>
    </row>
    <row r="680" customFormat="false" ht="15" hidden="false" customHeight="false" outlineLevel="0" collapsed="false">
      <c r="A680" s="43" t="n">
        <v>676</v>
      </c>
      <c r="B680" s="44" t="s">
        <v>114</v>
      </c>
      <c r="C680" s="43" t="n">
        <v>1</v>
      </c>
      <c r="D680" s="33" t="str">
        <f aca="false">VLOOKUP(C680, Lookups_Metadata!$A$4:$B$7, 2, FALSE())</f>
        <v>Spring</v>
      </c>
      <c r="E680" s="43" t="n">
        <v>0</v>
      </c>
      <c r="F680" s="43" t="n">
        <v>1</v>
      </c>
      <c r="G680" s="43" t="n">
        <v>11</v>
      </c>
      <c r="H680" s="45" t="b">
        <f aca="false">FALSE()</f>
        <v>0</v>
      </c>
      <c r="I680" s="43" t="n">
        <v>1</v>
      </c>
      <c r="J680" s="33" t="str">
        <f aca="false">INDEX(Lookups_Metadata!$E$4:$E$10, MATCH(I680, Lookups_Metadata!$D$4:$D$10, 0))</f>
        <v>Monday</v>
      </c>
      <c r="K680" s="33" t="str">
        <f aca="false">IF(H680=TRUE(), "Holiday", IF(OR(I680=0, I680=6), "Weekend", "Weekday"))</f>
        <v>Weekday</v>
      </c>
      <c r="L680" s="33" t="str">
        <f aca="false">IF(AND(K680="Weekday", OR(AND(G680&gt;=7, G680&lt;=9), AND(G680&gt;=17, G680&lt;=19))), "Peak Commute", "Off-Peak")</f>
        <v>Off-Peak</v>
      </c>
      <c r="M680" s="43" t="n">
        <v>2</v>
      </c>
      <c r="N680" s="33" t="str">
        <f aca="false">VLOOKUP(M680, Lookups_Metadata!$G$4:$H$7, 2, FALSE())</f>
        <v>Mist / Cloudy</v>
      </c>
      <c r="O680" s="46" t="n">
        <v>0.16</v>
      </c>
      <c r="P680" s="46" t="n">
        <v>0.1515</v>
      </c>
      <c r="Q680" s="46" t="n">
        <f aca="false">IF(OR(P680="", ISBLANK(P680)), ROUND(0.9367*O680+0.0175, 4), P680)</f>
        <v>0.1515</v>
      </c>
      <c r="R680" s="33" t="str">
        <f aca="false">IF(OR(P680="", ISBLANK(P680)), "Imputed (Regression/Trend)", "Original")</f>
        <v>Original</v>
      </c>
      <c r="S680" s="46" t="n">
        <v>0.59</v>
      </c>
      <c r="T680" s="46" t="n">
        <v>0.194</v>
      </c>
      <c r="U680" s="18" t="n">
        <v>2</v>
      </c>
      <c r="V680" s="18" t="n">
        <v>46</v>
      </c>
      <c r="W680" s="18" t="n">
        <f aca="false">U680+V680</f>
        <v>48</v>
      </c>
      <c r="X680" s="47" t="n">
        <f aca="false">U680/W680</f>
        <v>0.0416666666666667</v>
      </c>
      <c r="Y680" s="47" t="n">
        <f aca="false">V680/W680</f>
        <v>0.958333333333333</v>
      </c>
      <c r="Z680" s="33" t="str">
        <f aca="false">IF(W680&gt;=150, "High Demand", IF(W680&gt;=50, "Moderate Demand", "Low Demand"))</f>
        <v>Low Demand</v>
      </c>
      <c r="AA680" s="45" t="str">
        <f aca="false">TEXT(G680, "00") &amp; ":00"</f>
        <v>11:00</v>
      </c>
      <c r="AB680" s="43" t="n">
        <f aca="false">YEAR(B680)</f>
        <v>2011</v>
      </c>
      <c r="AC680" s="33" t="str">
        <f aca="false">TEXT(B680, "mmmm")</f>
        <v>January</v>
      </c>
      <c r="AD680" s="43" t="n">
        <f aca="false">LEN(TEXT(B680, "YYYY-MM-DD"))</f>
        <v>10</v>
      </c>
      <c r="AE680" s="45" t="str">
        <f aca="false">LEFT(TEXT(B680, "YYYY-MM-DD"), 4)</f>
        <v>2011</v>
      </c>
      <c r="AF680" s="45" t="str">
        <f aca="false">RIGHT(TEXT(B680, "YYYY-MM-DD"), 2)</f>
        <v>31</v>
      </c>
    </row>
    <row r="681" customFormat="false" ht="15" hidden="false" customHeight="false" outlineLevel="0" collapsed="false">
      <c r="A681" s="37" t="n">
        <v>677</v>
      </c>
      <c r="B681" s="38" t="s">
        <v>114</v>
      </c>
      <c r="C681" s="37" t="n">
        <v>1</v>
      </c>
      <c r="D681" s="35" t="str">
        <f aca="false">VLOOKUP(C681, Lookups_Metadata!$A$4:$B$7, 2, FALSE())</f>
        <v>Spring</v>
      </c>
      <c r="E681" s="37" t="n">
        <v>0</v>
      </c>
      <c r="F681" s="37" t="n">
        <v>1</v>
      </c>
      <c r="G681" s="37" t="n">
        <v>12</v>
      </c>
      <c r="H681" s="39" t="b">
        <f aca="false">FALSE()</f>
        <v>0</v>
      </c>
      <c r="I681" s="37" t="n">
        <v>1</v>
      </c>
      <c r="J681" s="35" t="str">
        <f aca="false">INDEX(Lookups_Metadata!$E$4:$E$10, MATCH(I681, Lookups_Metadata!$D$4:$D$10, 0))</f>
        <v>Monday</v>
      </c>
      <c r="K681" s="35" t="str">
        <f aca="false">IF(H681=TRUE(), "Holiday", IF(OR(I681=0, I681=6), "Weekend", "Weekday"))</f>
        <v>Weekday</v>
      </c>
      <c r="L681" s="35" t="str">
        <f aca="false">IF(AND(K681="Weekday", OR(AND(G681&gt;=7, G681&lt;=9), AND(G681&gt;=17, G681&lt;=19))), "Peak Commute", "Off-Peak")</f>
        <v>Off-Peak</v>
      </c>
      <c r="M681" s="37" t="n">
        <v>2</v>
      </c>
      <c r="N681" s="35" t="str">
        <f aca="false">VLOOKUP(M681, Lookups_Metadata!$G$4:$H$7, 2, FALSE())</f>
        <v>Mist / Cloudy</v>
      </c>
      <c r="O681" s="40" t="n">
        <v>0.18</v>
      </c>
      <c r="P681" s="40" t="n">
        <v>0.2121</v>
      </c>
      <c r="Q681" s="40" t="n">
        <f aca="false">IF(OR(P681="", ISBLANK(P681)), ROUND(0.9367*O681+0.0175, 4), P681)</f>
        <v>0.2121</v>
      </c>
      <c r="R681" s="35" t="str">
        <f aca="false">IF(OR(P681="", ISBLANK(P681)), "Imputed (Regression/Trend)", "Original")</f>
        <v>Original</v>
      </c>
      <c r="S681" s="40" t="n">
        <v>0.55</v>
      </c>
      <c r="T681" s="40" t="n">
        <v>0.1045</v>
      </c>
      <c r="U681" s="41" t="n">
        <v>6</v>
      </c>
      <c r="V681" s="41" t="n">
        <v>62</v>
      </c>
      <c r="W681" s="41" t="n">
        <f aca="false">U681+V681</f>
        <v>68</v>
      </c>
      <c r="X681" s="42" t="n">
        <f aca="false">U681/W681</f>
        <v>0.0882352941176471</v>
      </c>
      <c r="Y681" s="42" t="n">
        <f aca="false">V681/W681</f>
        <v>0.911764705882353</v>
      </c>
      <c r="Z681" s="35" t="str">
        <f aca="false">IF(W681&gt;=150, "High Demand", IF(W681&gt;=50, "Moderate Demand", "Low Demand"))</f>
        <v>Moderate Demand</v>
      </c>
      <c r="AA681" s="39" t="str">
        <f aca="false">TEXT(G681, "00") &amp; ":00"</f>
        <v>12:00</v>
      </c>
      <c r="AB681" s="37" t="n">
        <f aca="false">YEAR(B681)</f>
        <v>2011</v>
      </c>
      <c r="AC681" s="35" t="str">
        <f aca="false">TEXT(B681, "mmmm")</f>
        <v>January</v>
      </c>
      <c r="AD681" s="37" t="n">
        <f aca="false">LEN(TEXT(B681, "YYYY-MM-DD"))</f>
        <v>10</v>
      </c>
      <c r="AE681" s="39" t="str">
        <f aca="false">LEFT(TEXT(B681, "YYYY-MM-DD"), 4)</f>
        <v>2011</v>
      </c>
      <c r="AF681" s="39" t="str">
        <f aca="false">RIGHT(TEXT(B681, "YYYY-MM-DD"), 2)</f>
        <v>31</v>
      </c>
    </row>
    <row r="682" customFormat="false" ht="15" hidden="false" customHeight="false" outlineLevel="0" collapsed="false">
      <c r="A682" s="43" t="n">
        <v>678</v>
      </c>
      <c r="B682" s="44" t="s">
        <v>114</v>
      </c>
      <c r="C682" s="43" t="n">
        <v>1</v>
      </c>
      <c r="D682" s="33" t="str">
        <f aca="false">VLOOKUP(C682, Lookups_Metadata!$A$4:$B$7, 2, FALSE())</f>
        <v>Spring</v>
      </c>
      <c r="E682" s="43" t="n">
        <v>0</v>
      </c>
      <c r="F682" s="43" t="n">
        <v>1</v>
      </c>
      <c r="G682" s="43" t="n">
        <v>13</v>
      </c>
      <c r="H682" s="45" t="b">
        <f aca="false">FALSE()</f>
        <v>0</v>
      </c>
      <c r="I682" s="43" t="n">
        <v>1</v>
      </c>
      <c r="J682" s="33" t="str">
        <f aca="false">INDEX(Lookups_Metadata!$E$4:$E$10, MATCH(I682, Lookups_Metadata!$D$4:$D$10, 0))</f>
        <v>Monday</v>
      </c>
      <c r="K682" s="33" t="str">
        <f aca="false">IF(H682=TRUE(), "Holiday", IF(OR(I682=0, I682=6), "Weekend", "Weekday"))</f>
        <v>Weekday</v>
      </c>
      <c r="L682" s="33" t="str">
        <f aca="false">IF(AND(K682="Weekday", OR(AND(G682&gt;=7, G682&lt;=9), AND(G682&gt;=17, G682&lt;=19))), "Peak Commute", "Off-Peak")</f>
        <v>Off-Peak</v>
      </c>
      <c r="M682" s="43" t="n">
        <v>2</v>
      </c>
      <c r="N682" s="33" t="str">
        <f aca="false">VLOOKUP(M682, Lookups_Metadata!$G$4:$H$7, 2, FALSE())</f>
        <v>Mist / Cloudy</v>
      </c>
      <c r="O682" s="46" t="n">
        <v>0.16</v>
      </c>
      <c r="P682" s="46" t="n">
        <v>0.2273</v>
      </c>
      <c r="Q682" s="46" t="n">
        <f aca="false">IF(OR(P682="", ISBLANK(P682)), ROUND(0.9367*O682+0.0175, 4), P682)</f>
        <v>0.2273</v>
      </c>
      <c r="R682" s="33" t="str">
        <f aca="false">IF(OR(P682="", ISBLANK(P682)), "Imputed (Regression/Trend)", "Original")</f>
        <v>Original</v>
      </c>
      <c r="S682" s="46" t="n">
        <v>0.59</v>
      </c>
      <c r="T682" s="46" t="n">
        <v>0</v>
      </c>
      <c r="U682" s="18" t="n">
        <v>2</v>
      </c>
      <c r="V682" s="18" t="n">
        <v>52</v>
      </c>
      <c r="W682" s="18" t="n">
        <f aca="false">U682+V682</f>
        <v>54</v>
      </c>
      <c r="X682" s="47" t="n">
        <f aca="false">U682/W682</f>
        <v>0.037037037037037</v>
      </c>
      <c r="Y682" s="47" t="n">
        <f aca="false">V682/W682</f>
        <v>0.962962962962963</v>
      </c>
      <c r="Z682" s="33" t="str">
        <f aca="false">IF(W682&gt;=150, "High Demand", IF(W682&gt;=50, "Moderate Demand", "Low Demand"))</f>
        <v>Moderate Demand</v>
      </c>
      <c r="AA682" s="45" t="str">
        <f aca="false">TEXT(G682, "00") &amp; ":00"</f>
        <v>13:00</v>
      </c>
      <c r="AB682" s="43" t="n">
        <f aca="false">YEAR(B682)</f>
        <v>2011</v>
      </c>
      <c r="AC682" s="33" t="str">
        <f aca="false">TEXT(B682, "mmmm")</f>
        <v>January</v>
      </c>
      <c r="AD682" s="43" t="n">
        <f aca="false">LEN(TEXT(B682, "YYYY-MM-DD"))</f>
        <v>10</v>
      </c>
      <c r="AE682" s="45" t="str">
        <f aca="false">LEFT(TEXT(B682, "YYYY-MM-DD"), 4)</f>
        <v>2011</v>
      </c>
      <c r="AF682" s="45" t="str">
        <f aca="false">RIGHT(TEXT(B682, "YYYY-MM-DD"), 2)</f>
        <v>31</v>
      </c>
    </row>
    <row r="683" customFormat="false" ht="15" hidden="false" customHeight="false" outlineLevel="0" collapsed="false">
      <c r="A683" s="37" t="n">
        <v>679</v>
      </c>
      <c r="B683" s="38" t="s">
        <v>114</v>
      </c>
      <c r="C683" s="37" t="n">
        <v>1</v>
      </c>
      <c r="D683" s="35" t="str">
        <f aca="false">VLOOKUP(C683, Lookups_Metadata!$A$4:$B$7, 2, FALSE())</f>
        <v>Spring</v>
      </c>
      <c r="E683" s="37" t="n">
        <v>0</v>
      </c>
      <c r="F683" s="37" t="n">
        <v>1</v>
      </c>
      <c r="G683" s="37" t="n">
        <v>14</v>
      </c>
      <c r="H683" s="39" t="b">
        <f aca="false">FALSE()</f>
        <v>0</v>
      </c>
      <c r="I683" s="37" t="n">
        <v>1</v>
      </c>
      <c r="J683" s="35" t="str">
        <f aca="false">INDEX(Lookups_Metadata!$E$4:$E$10, MATCH(I683, Lookups_Metadata!$D$4:$D$10, 0))</f>
        <v>Monday</v>
      </c>
      <c r="K683" s="35" t="str">
        <f aca="false">IF(H683=TRUE(), "Holiday", IF(OR(I683=0, I683=6), "Weekend", "Weekday"))</f>
        <v>Weekday</v>
      </c>
      <c r="L683" s="35" t="str">
        <f aca="false">IF(AND(K683="Weekday", OR(AND(G683&gt;=7, G683&lt;=9), AND(G683&gt;=17, G683&lt;=19))), "Peak Commute", "Off-Peak")</f>
        <v>Off-Peak</v>
      </c>
      <c r="M683" s="37" t="n">
        <v>2</v>
      </c>
      <c r="N683" s="35" t="str">
        <f aca="false">VLOOKUP(M683, Lookups_Metadata!$G$4:$H$7, 2, FALSE())</f>
        <v>Mist / Cloudy</v>
      </c>
      <c r="O683" s="40" t="n">
        <v>0.18</v>
      </c>
      <c r="P683" s="40" t="n">
        <v>0.197</v>
      </c>
      <c r="Q683" s="40" t="n">
        <f aca="false">IF(OR(P683="", ISBLANK(P683)), ROUND(0.9367*O683+0.0175, 4), P683)</f>
        <v>0.197</v>
      </c>
      <c r="R683" s="35" t="str">
        <f aca="false">IF(OR(P683="", ISBLANK(P683)), "Imputed (Regression/Trend)", "Original")</f>
        <v>Original</v>
      </c>
      <c r="S683" s="40" t="n">
        <v>0.55</v>
      </c>
      <c r="T683" s="40" t="n">
        <v>0.1343</v>
      </c>
      <c r="U683" s="41" t="n">
        <v>1</v>
      </c>
      <c r="V683" s="41" t="n">
        <v>85</v>
      </c>
      <c r="W683" s="41" t="n">
        <f aca="false">U683+V683</f>
        <v>86</v>
      </c>
      <c r="X683" s="42" t="n">
        <f aca="false">U683/W683</f>
        <v>0.0116279069767442</v>
      </c>
      <c r="Y683" s="42" t="n">
        <f aca="false">V683/W683</f>
        <v>0.988372093023256</v>
      </c>
      <c r="Z683" s="35" t="str">
        <f aca="false">IF(W683&gt;=150, "High Demand", IF(W683&gt;=50, "Moderate Demand", "Low Demand"))</f>
        <v>Moderate Demand</v>
      </c>
      <c r="AA683" s="39" t="str">
        <f aca="false">TEXT(G683, "00") &amp; ":00"</f>
        <v>14:00</v>
      </c>
      <c r="AB683" s="37" t="n">
        <f aca="false">YEAR(B683)</f>
        <v>2011</v>
      </c>
      <c r="AC683" s="35" t="str">
        <f aca="false">TEXT(B683, "mmmm")</f>
        <v>January</v>
      </c>
      <c r="AD683" s="37" t="n">
        <f aca="false">LEN(TEXT(B683, "YYYY-MM-DD"))</f>
        <v>10</v>
      </c>
      <c r="AE683" s="39" t="str">
        <f aca="false">LEFT(TEXT(B683, "YYYY-MM-DD"), 4)</f>
        <v>2011</v>
      </c>
      <c r="AF683" s="39" t="str">
        <f aca="false">RIGHT(TEXT(B683, "YYYY-MM-DD"), 2)</f>
        <v>31</v>
      </c>
    </row>
    <row r="684" customFormat="false" ht="15" hidden="false" customHeight="false" outlineLevel="0" collapsed="false">
      <c r="A684" s="43" t="n">
        <v>680</v>
      </c>
      <c r="B684" s="44" t="s">
        <v>114</v>
      </c>
      <c r="C684" s="43" t="n">
        <v>1</v>
      </c>
      <c r="D684" s="33" t="str">
        <f aca="false">VLOOKUP(C684, Lookups_Metadata!$A$4:$B$7, 2, FALSE())</f>
        <v>Spring</v>
      </c>
      <c r="E684" s="43" t="n">
        <v>0</v>
      </c>
      <c r="F684" s="43" t="n">
        <v>1</v>
      </c>
      <c r="G684" s="43" t="n">
        <v>15</v>
      </c>
      <c r="H684" s="45" t="b">
        <f aca="false">FALSE()</f>
        <v>0</v>
      </c>
      <c r="I684" s="43" t="n">
        <v>1</v>
      </c>
      <c r="J684" s="33" t="str">
        <f aca="false">INDEX(Lookups_Metadata!$E$4:$E$10, MATCH(I684, Lookups_Metadata!$D$4:$D$10, 0))</f>
        <v>Monday</v>
      </c>
      <c r="K684" s="33" t="str">
        <f aca="false">IF(H684=TRUE(), "Holiday", IF(OR(I684=0, I684=6), "Weekend", "Weekday"))</f>
        <v>Weekday</v>
      </c>
      <c r="L684" s="33" t="str">
        <f aca="false">IF(AND(K684="Weekday", OR(AND(G684&gt;=7, G684&lt;=9), AND(G684&gt;=17, G684&lt;=19))), "Peak Commute", "Off-Peak")</f>
        <v>Off-Peak</v>
      </c>
      <c r="M684" s="43" t="n">
        <v>2</v>
      </c>
      <c r="N684" s="33" t="str">
        <f aca="false">VLOOKUP(M684, Lookups_Metadata!$G$4:$H$7, 2, FALSE())</f>
        <v>Mist / Cloudy</v>
      </c>
      <c r="O684" s="46" t="n">
        <v>0.16</v>
      </c>
      <c r="P684" s="46" t="n">
        <v>0.1818</v>
      </c>
      <c r="Q684" s="46" t="n">
        <f aca="false">IF(OR(P684="", ISBLANK(P684)), ROUND(0.9367*O684+0.0175, 4), P684)</f>
        <v>0.1818</v>
      </c>
      <c r="R684" s="33" t="str">
        <f aca="false">IF(OR(P684="", ISBLANK(P684)), "Imputed (Regression/Trend)", "Original")</f>
        <v>Original</v>
      </c>
      <c r="S684" s="46" t="n">
        <v>0.59</v>
      </c>
      <c r="T684" s="46" t="n">
        <v>0.1343</v>
      </c>
      <c r="U684" s="18" t="n">
        <v>3</v>
      </c>
      <c r="V684" s="18" t="n">
        <v>41</v>
      </c>
      <c r="W684" s="18" t="n">
        <f aca="false">U684+V684</f>
        <v>44</v>
      </c>
      <c r="X684" s="47" t="n">
        <f aca="false">U684/W684</f>
        <v>0.0681818181818182</v>
      </c>
      <c r="Y684" s="47" t="n">
        <f aca="false">V684/W684</f>
        <v>0.931818181818182</v>
      </c>
      <c r="Z684" s="33" t="str">
        <f aca="false">IF(W684&gt;=150, "High Demand", IF(W684&gt;=50, "Moderate Demand", "Low Demand"))</f>
        <v>Low Demand</v>
      </c>
      <c r="AA684" s="45" t="str">
        <f aca="false">TEXT(G684, "00") &amp; ":00"</f>
        <v>15:00</v>
      </c>
      <c r="AB684" s="43" t="n">
        <f aca="false">YEAR(B684)</f>
        <v>2011</v>
      </c>
      <c r="AC684" s="33" t="str">
        <f aca="false">TEXT(B684, "mmmm")</f>
        <v>January</v>
      </c>
      <c r="AD684" s="43" t="n">
        <f aca="false">LEN(TEXT(B684, "YYYY-MM-DD"))</f>
        <v>10</v>
      </c>
      <c r="AE684" s="45" t="str">
        <f aca="false">LEFT(TEXT(B684, "YYYY-MM-DD"), 4)</f>
        <v>2011</v>
      </c>
      <c r="AF684" s="45" t="str">
        <f aca="false">RIGHT(TEXT(B684, "YYYY-MM-DD"), 2)</f>
        <v>31</v>
      </c>
    </row>
    <row r="685" customFormat="false" ht="15" hidden="false" customHeight="false" outlineLevel="0" collapsed="false">
      <c r="A685" s="37" t="n">
        <v>681</v>
      </c>
      <c r="B685" s="38" t="s">
        <v>114</v>
      </c>
      <c r="C685" s="37" t="n">
        <v>1</v>
      </c>
      <c r="D685" s="35" t="str">
        <f aca="false">VLOOKUP(C685, Lookups_Metadata!$A$4:$B$7, 2, FALSE())</f>
        <v>Spring</v>
      </c>
      <c r="E685" s="37" t="n">
        <v>0</v>
      </c>
      <c r="F685" s="37" t="n">
        <v>1</v>
      </c>
      <c r="G685" s="37" t="n">
        <v>16</v>
      </c>
      <c r="H685" s="39" t="b">
        <f aca="false">FALSE()</f>
        <v>0</v>
      </c>
      <c r="I685" s="37" t="n">
        <v>1</v>
      </c>
      <c r="J685" s="35" t="str">
        <f aca="false">INDEX(Lookups_Metadata!$E$4:$E$10, MATCH(I685, Lookups_Metadata!$D$4:$D$10, 0))</f>
        <v>Monday</v>
      </c>
      <c r="K685" s="35" t="str">
        <f aca="false">IF(H685=TRUE(), "Holiday", IF(OR(I685=0, I685=6), "Weekend", "Weekday"))</f>
        <v>Weekday</v>
      </c>
      <c r="L685" s="35" t="str">
        <f aca="false">IF(AND(K685="Weekday", OR(AND(G685&gt;=7, G685&lt;=9), AND(G685&gt;=17, G685&lt;=19))), "Peak Commute", "Off-Peak")</f>
        <v>Off-Peak</v>
      </c>
      <c r="M685" s="37" t="n">
        <v>2</v>
      </c>
      <c r="N685" s="35" t="str">
        <f aca="false">VLOOKUP(M685, Lookups_Metadata!$G$4:$H$7, 2, FALSE())</f>
        <v>Mist / Cloudy</v>
      </c>
      <c r="O685" s="40" t="n">
        <v>0.16</v>
      </c>
      <c r="P685" s="40" t="n">
        <v>0.1818</v>
      </c>
      <c r="Q685" s="40" t="n">
        <f aca="false">IF(OR(P685="", ISBLANK(P685)), ROUND(0.9367*O685+0.0175, 4), P685)</f>
        <v>0.1818</v>
      </c>
      <c r="R685" s="35" t="str">
        <f aca="false">IF(OR(P685="", ISBLANK(P685)), "Imputed (Regression/Trend)", "Original")</f>
        <v>Original</v>
      </c>
      <c r="S685" s="40" t="n">
        <v>0.56</v>
      </c>
      <c r="T685" s="40" t="n">
        <v>0.194</v>
      </c>
      <c r="U685" s="41" t="n">
        <v>3</v>
      </c>
      <c r="V685" s="41" t="n">
        <v>83</v>
      </c>
      <c r="W685" s="41" t="n">
        <f aca="false">U685+V685</f>
        <v>86</v>
      </c>
      <c r="X685" s="42" t="n">
        <f aca="false">U685/W685</f>
        <v>0.0348837209302326</v>
      </c>
      <c r="Y685" s="42" t="n">
        <f aca="false">V685/W685</f>
        <v>0.965116279069768</v>
      </c>
      <c r="Z685" s="35" t="str">
        <f aca="false">IF(W685&gt;=150, "High Demand", IF(W685&gt;=50, "Moderate Demand", "Low Demand"))</f>
        <v>Moderate Demand</v>
      </c>
      <c r="AA685" s="39" t="str">
        <f aca="false">TEXT(G685, "00") &amp; ":00"</f>
        <v>16:00</v>
      </c>
      <c r="AB685" s="37" t="n">
        <f aca="false">YEAR(B685)</f>
        <v>2011</v>
      </c>
      <c r="AC685" s="35" t="str">
        <f aca="false">TEXT(B685, "mmmm")</f>
        <v>January</v>
      </c>
      <c r="AD685" s="37" t="n">
        <f aca="false">LEN(TEXT(B685, "YYYY-MM-DD"))</f>
        <v>10</v>
      </c>
      <c r="AE685" s="39" t="str">
        <f aca="false">LEFT(TEXT(B685, "YYYY-MM-DD"), 4)</f>
        <v>2011</v>
      </c>
      <c r="AF685" s="39" t="str">
        <f aca="false">RIGHT(TEXT(B685, "YYYY-MM-DD"), 2)</f>
        <v>31</v>
      </c>
    </row>
    <row r="686" customFormat="false" ht="15" hidden="false" customHeight="false" outlineLevel="0" collapsed="false">
      <c r="A686" s="43" t="n">
        <v>682</v>
      </c>
      <c r="B686" s="44" t="s">
        <v>114</v>
      </c>
      <c r="C686" s="43" t="n">
        <v>1</v>
      </c>
      <c r="D686" s="33" t="str">
        <f aca="false">VLOOKUP(C686, Lookups_Metadata!$A$4:$B$7, 2, FALSE())</f>
        <v>Spring</v>
      </c>
      <c r="E686" s="43" t="n">
        <v>0</v>
      </c>
      <c r="F686" s="43" t="n">
        <v>1</v>
      </c>
      <c r="G686" s="43" t="n">
        <v>17</v>
      </c>
      <c r="H686" s="45" t="b">
        <f aca="false">FALSE()</f>
        <v>0</v>
      </c>
      <c r="I686" s="43" t="n">
        <v>1</v>
      </c>
      <c r="J686" s="33" t="str">
        <f aca="false">INDEX(Lookups_Metadata!$E$4:$E$10, MATCH(I686, Lookups_Metadata!$D$4:$D$10, 0))</f>
        <v>Monday</v>
      </c>
      <c r="K686" s="33" t="str">
        <f aca="false">IF(H686=TRUE(), "Holiday", IF(OR(I686=0, I686=6), "Weekend", "Weekday"))</f>
        <v>Weekday</v>
      </c>
      <c r="L686" s="33" t="str">
        <f aca="false">IF(AND(K686="Weekday", OR(AND(G686&gt;=7, G686&lt;=9), AND(G686&gt;=17, G686&lt;=19))), "Peak Commute", "Off-Peak")</f>
        <v>Peak Commute</v>
      </c>
      <c r="M686" s="43" t="n">
        <v>2</v>
      </c>
      <c r="N686" s="33" t="str">
        <f aca="false">VLOOKUP(M686, Lookups_Metadata!$G$4:$H$7, 2, FALSE())</f>
        <v>Mist / Cloudy</v>
      </c>
      <c r="O686" s="46" t="n">
        <v>0.16</v>
      </c>
      <c r="P686" s="46" t="n">
        <v>0.1515</v>
      </c>
      <c r="Q686" s="46" t="n">
        <f aca="false">IF(OR(P686="", ISBLANK(P686)), ROUND(0.9367*O686+0.0175, 4), P686)</f>
        <v>0.1515</v>
      </c>
      <c r="R686" s="33" t="str">
        <f aca="false">IF(OR(P686="", ISBLANK(P686)), "Imputed (Regression/Trend)", "Original")</f>
        <v>Original</v>
      </c>
      <c r="S686" s="46" t="n">
        <v>0.59</v>
      </c>
      <c r="T686" s="46" t="n">
        <v>0.194</v>
      </c>
      <c r="U686" s="18" t="n">
        <v>6</v>
      </c>
      <c r="V686" s="18" t="n">
        <v>155</v>
      </c>
      <c r="W686" s="18" t="n">
        <f aca="false">U686+V686</f>
        <v>161</v>
      </c>
      <c r="X686" s="47" t="n">
        <f aca="false">U686/W686</f>
        <v>0.0372670807453416</v>
      </c>
      <c r="Y686" s="47" t="n">
        <f aca="false">V686/W686</f>
        <v>0.962732919254658</v>
      </c>
      <c r="Z686" s="33" t="str">
        <f aca="false">IF(W686&gt;=150, "High Demand", IF(W686&gt;=50, "Moderate Demand", "Low Demand"))</f>
        <v>High Demand</v>
      </c>
      <c r="AA686" s="45" t="str">
        <f aca="false">TEXT(G686, "00") &amp; ":00"</f>
        <v>17:00</v>
      </c>
      <c r="AB686" s="43" t="n">
        <f aca="false">YEAR(B686)</f>
        <v>2011</v>
      </c>
      <c r="AC686" s="33" t="str">
        <f aca="false">TEXT(B686, "mmmm")</f>
        <v>January</v>
      </c>
      <c r="AD686" s="43" t="n">
        <f aca="false">LEN(TEXT(B686, "YYYY-MM-DD"))</f>
        <v>10</v>
      </c>
      <c r="AE686" s="45" t="str">
        <f aca="false">LEFT(TEXT(B686, "YYYY-MM-DD"), 4)</f>
        <v>2011</v>
      </c>
      <c r="AF686" s="45" t="str">
        <f aca="false">RIGHT(TEXT(B686, "YYYY-MM-DD"), 2)</f>
        <v>31</v>
      </c>
    </row>
    <row r="687" customFormat="false" ht="15" hidden="false" customHeight="false" outlineLevel="0" collapsed="false">
      <c r="A687" s="37" t="n">
        <v>683</v>
      </c>
      <c r="B687" s="38" t="s">
        <v>114</v>
      </c>
      <c r="C687" s="37" t="n">
        <v>1</v>
      </c>
      <c r="D687" s="35" t="str">
        <f aca="false">VLOOKUP(C687, Lookups_Metadata!$A$4:$B$7, 2, FALSE())</f>
        <v>Spring</v>
      </c>
      <c r="E687" s="37" t="n">
        <v>0</v>
      </c>
      <c r="F687" s="37" t="n">
        <v>1</v>
      </c>
      <c r="G687" s="37" t="n">
        <v>18</v>
      </c>
      <c r="H687" s="39" t="b">
        <f aca="false">FALSE()</f>
        <v>0</v>
      </c>
      <c r="I687" s="37" t="n">
        <v>1</v>
      </c>
      <c r="J687" s="35" t="str">
        <f aca="false">INDEX(Lookups_Metadata!$E$4:$E$10, MATCH(I687, Lookups_Metadata!$D$4:$D$10, 0))</f>
        <v>Monday</v>
      </c>
      <c r="K687" s="35" t="str">
        <f aca="false">IF(H687=TRUE(), "Holiday", IF(OR(I687=0, I687=6), "Weekend", "Weekday"))</f>
        <v>Weekday</v>
      </c>
      <c r="L687" s="35" t="str">
        <f aca="false">IF(AND(K687="Weekday", OR(AND(G687&gt;=7, G687&lt;=9), AND(G687&gt;=17, G687&lt;=19))), "Peak Commute", "Off-Peak")</f>
        <v>Peak Commute</v>
      </c>
      <c r="M687" s="37" t="n">
        <v>2</v>
      </c>
      <c r="N687" s="35" t="str">
        <f aca="false">VLOOKUP(M687, Lookups_Metadata!$G$4:$H$7, 2, FALSE())</f>
        <v>Mist / Cloudy</v>
      </c>
      <c r="O687" s="40" t="n">
        <v>0.16</v>
      </c>
      <c r="P687" s="40" t="n">
        <v>0.1515</v>
      </c>
      <c r="Q687" s="40" t="n">
        <f aca="false">IF(OR(P687="", ISBLANK(P687)), ROUND(0.9367*O687+0.0175, 4), P687)</f>
        <v>0.1515</v>
      </c>
      <c r="R687" s="35" t="str">
        <f aca="false">IF(OR(P687="", ISBLANK(P687)), "Imputed (Regression/Trend)", "Original")</f>
        <v>Original</v>
      </c>
      <c r="S687" s="40" t="n">
        <v>0.55</v>
      </c>
      <c r="T687" s="40" t="n">
        <v>0.2239</v>
      </c>
      <c r="U687" s="41" t="n">
        <v>3</v>
      </c>
      <c r="V687" s="41" t="n">
        <v>153</v>
      </c>
      <c r="W687" s="41" t="n">
        <f aca="false">U687+V687</f>
        <v>156</v>
      </c>
      <c r="X687" s="42" t="n">
        <f aca="false">U687/W687</f>
        <v>0.0192307692307692</v>
      </c>
      <c r="Y687" s="42" t="n">
        <f aca="false">V687/W687</f>
        <v>0.980769230769231</v>
      </c>
      <c r="Z687" s="35" t="str">
        <f aca="false">IF(W687&gt;=150, "High Demand", IF(W687&gt;=50, "Moderate Demand", "Low Demand"))</f>
        <v>High Demand</v>
      </c>
      <c r="AA687" s="39" t="str">
        <f aca="false">TEXT(G687, "00") &amp; ":00"</f>
        <v>18:00</v>
      </c>
      <c r="AB687" s="37" t="n">
        <f aca="false">YEAR(B687)</f>
        <v>2011</v>
      </c>
      <c r="AC687" s="35" t="str">
        <f aca="false">TEXT(B687, "mmmm")</f>
        <v>January</v>
      </c>
      <c r="AD687" s="37" t="n">
        <f aca="false">LEN(TEXT(B687, "YYYY-MM-DD"))</f>
        <v>10</v>
      </c>
      <c r="AE687" s="39" t="str">
        <f aca="false">LEFT(TEXT(B687, "YYYY-MM-DD"), 4)</f>
        <v>2011</v>
      </c>
      <c r="AF687" s="39" t="str">
        <f aca="false">RIGHT(TEXT(B687, "YYYY-MM-DD"), 2)</f>
        <v>31</v>
      </c>
    </row>
    <row r="688" customFormat="false" ht="15" hidden="false" customHeight="false" outlineLevel="0" collapsed="false">
      <c r="A688" s="43" t="n">
        <v>684</v>
      </c>
      <c r="B688" s="44" t="s">
        <v>114</v>
      </c>
      <c r="C688" s="43" t="n">
        <v>1</v>
      </c>
      <c r="D688" s="33" t="str">
        <f aca="false">VLOOKUP(C688, Lookups_Metadata!$A$4:$B$7, 2, FALSE())</f>
        <v>Spring</v>
      </c>
      <c r="E688" s="43" t="n">
        <v>0</v>
      </c>
      <c r="F688" s="43" t="n">
        <v>1</v>
      </c>
      <c r="G688" s="43" t="n">
        <v>19</v>
      </c>
      <c r="H688" s="45" t="b">
        <f aca="false">FALSE()</f>
        <v>0</v>
      </c>
      <c r="I688" s="43" t="n">
        <v>1</v>
      </c>
      <c r="J688" s="33" t="str">
        <f aca="false">INDEX(Lookups_Metadata!$E$4:$E$10, MATCH(I688, Lookups_Metadata!$D$4:$D$10, 0))</f>
        <v>Monday</v>
      </c>
      <c r="K688" s="33" t="str">
        <f aca="false">IF(H688=TRUE(), "Holiday", IF(OR(I688=0, I688=6), "Weekend", "Weekday"))</f>
        <v>Weekday</v>
      </c>
      <c r="L688" s="33" t="str">
        <f aca="false">IF(AND(K688="Weekday", OR(AND(G688&gt;=7, G688&lt;=9), AND(G688&gt;=17, G688&lt;=19))), "Peak Commute", "Off-Peak")</f>
        <v>Peak Commute</v>
      </c>
      <c r="M688" s="43" t="n">
        <v>1</v>
      </c>
      <c r="N688" s="33" t="str">
        <f aca="false">VLOOKUP(M688, Lookups_Metadata!$G$4:$H$7, 2, FALSE())</f>
        <v>Clear / Few Clouds</v>
      </c>
      <c r="O688" s="46" t="n">
        <v>0.3</v>
      </c>
      <c r="P688" s="46" t="n">
        <v>0.3182</v>
      </c>
      <c r="Q688" s="46" t="n">
        <f aca="false">IF(OR(P688="", ISBLANK(P688)), ROUND(0.9367*O688+0.0175, 4), P688)</f>
        <v>0.3182</v>
      </c>
      <c r="R688" s="33" t="str">
        <f aca="false">IF(OR(P688="", ISBLANK(P688)), "Imputed (Regression/Trend)", "Original")</f>
        <v>Original</v>
      </c>
      <c r="S688" s="46" t="n">
        <v>0.61</v>
      </c>
      <c r="T688" s="46" t="n">
        <v>0.1045</v>
      </c>
      <c r="U688" s="18" t="n">
        <v>3</v>
      </c>
      <c r="V688" s="18" t="n">
        <v>108</v>
      </c>
      <c r="W688" s="18" t="n">
        <f aca="false">U688+V688</f>
        <v>111</v>
      </c>
      <c r="X688" s="47" t="n">
        <f aca="false">U688/W688</f>
        <v>0.027027027027027</v>
      </c>
      <c r="Y688" s="47" t="n">
        <f aca="false">V688/W688</f>
        <v>0.972972972972973</v>
      </c>
      <c r="Z688" s="33" t="str">
        <f aca="false">IF(W688&gt;=150, "High Demand", IF(W688&gt;=50, "Moderate Demand", "Low Demand"))</f>
        <v>Moderate Demand</v>
      </c>
      <c r="AA688" s="45" t="str">
        <f aca="false">TEXT(G688, "00") &amp; ":00"</f>
        <v>19:00</v>
      </c>
      <c r="AB688" s="43" t="n">
        <f aca="false">YEAR(B688)</f>
        <v>2011</v>
      </c>
      <c r="AC688" s="33" t="str">
        <f aca="false">TEXT(B688, "mmmm")</f>
        <v>January</v>
      </c>
      <c r="AD688" s="43" t="n">
        <f aca="false">LEN(TEXT(B688, "YYYY-MM-DD"))</f>
        <v>10</v>
      </c>
      <c r="AE688" s="45" t="str">
        <f aca="false">LEFT(TEXT(B688, "YYYY-MM-DD"), 4)</f>
        <v>2011</v>
      </c>
      <c r="AF688" s="45" t="str">
        <f aca="false">RIGHT(TEXT(B688, "YYYY-MM-DD"), 2)</f>
        <v>31</v>
      </c>
    </row>
    <row r="689" customFormat="false" ht="15" hidden="false" customHeight="false" outlineLevel="0" collapsed="false">
      <c r="A689" s="37" t="n">
        <v>685</v>
      </c>
      <c r="B689" s="38" t="s">
        <v>114</v>
      </c>
      <c r="C689" s="37" t="n">
        <v>1</v>
      </c>
      <c r="D689" s="35" t="str">
        <f aca="false">VLOOKUP(C689, Lookups_Metadata!$A$4:$B$7, 2, FALSE())</f>
        <v>Spring</v>
      </c>
      <c r="E689" s="37" t="n">
        <v>0</v>
      </c>
      <c r="F689" s="37" t="n">
        <v>1</v>
      </c>
      <c r="G689" s="37" t="n">
        <v>20</v>
      </c>
      <c r="H689" s="39" t="b">
        <f aca="false">FALSE()</f>
        <v>0</v>
      </c>
      <c r="I689" s="37" t="n">
        <v>1</v>
      </c>
      <c r="J689" s="35" t="str">
        <f aca="false">INDEX(Lookups_Metadata!$E$4:$E$10, MATCH(I689, Lookups_Metadata!$D$4:$D$10, 0))</f>
        <v>Monday</v>
      </c>
      <c r="K689" s="35" t="str">
        <f aca="false">IF(H689=TRUE(), "Holiday", IF(OR(I689=0, I689=6), "Weekend", "Weekday"))</f>
        <v>Weekday</v>
      </c>
      <c r="L689" s="35" t="str">
        <f aca="false">IF(AND(K689="Weekday", OR(AND(G689&gt;=7, G689&lt;=9), AND(G689&gt;=17, G689&lt;=19))), "Peak Commute", "Off-Peak")</f>
        <v>Off-Peak</v>
      </c>
      <c r="M689" s="37" t="n">
        <v>3</v>
      </c>
      <c r="N689" s="35" t="str">
        <f aca="false">VLOOKUP(M689, Lookups_Metadata!$G$4:$H$7, 2, FALSE())</f>
        <v>Light Snow / Light Rain</v>
      </c>
      <c r="O689" s="40" t="n">
        <v>0.16</v>
      </c>
      <c r="P689" s="40" t="n">
        <v>0.1667</v>
      </c>
      <c r="Q689" s="40" t="n">
        <f aca="false">IF(OR(P689="", ISBLANK(P689)), ROUND(0.9367*O689+0.0175, 4), P689)</f>
        <v>0.1667</v>
      </c>
      <c r="R689" s="35" t="str">
        <f aca="false">IF(OR(P689="", ISBLANK(P689)), "Imputed (Regression/Trend)", "Original")</f>
        <v>Original</v>
      </c>
      <c r="S689" s="40" t="n">
        <v>0.59</v>
      </c>
      <c r="T689" s="40" t="n">
        <v>0.1642</v>
      </c>
      <c r="U689" s="41" t="n">
        <v>0</v>
      </c>
      <c r="V689" s="41" t="n">
        <v>78</v>
      </c>
      <c r="W689" s="41" t="n">
        <f aca="false">U689+V689</f>
        <v>78</v>
      </c>
      <c r="X689" s="42" t="n">
        <f aca="false">U689/W689</f>
        <v>0</v>
      </c>
      <c r="Y689" s="42" t="n">
        <f aca="false">V689/W689</f>
        <v>1</v>
      </c>
      <c r="Z689" s="35" t="str">
        <f aca="false">IF(W689&gt;=150, "High Demand", IF(W689&gt;=50, "Moderate Demand", "Low Demand"))</f>
        <v>Moderate Demand</v>
      </c>
      <c r="AA689" s="39" t="str">
        <f aca="false">TEXT(G689, "00") &amp; ":00"</f>
        <v>20:00</v>
      </c>
      <c r="AB689" s="37" t="n">
        <f aca="false">YEAR(B689)</f>
        <v>2011</v>
      </c>
      <c r="AC689" s="35" t="str">
        <f aca="false">TEXT(B689, "mmmm")</f>
        <v>January</v>
      </c>
      <c r="AD689" s="37" t="n">
        <f aca="false">LEN(TEXT(B689, "YYYY-MM-DD"))</f>
        <v>10</v>
      </c>
      <c r="AE689" s="39" t="str">
        <f aca="false">LEFT(TEXT(B689, "YYYY-MM-DD"), 4)</f>
        <v>2011</v>
      </c>
      <c r="AF689" s="39" t="str">
        <f aca="false">RIGHT(TEXT(B689, "YYYY-MM-DD"), 2)</f>
        <v>31</v>
      </c>
    </row>
    <row r="690" customFormat="false" ht="15" hidden="false" customHeight="false" outlineLevel="0" collapsed="false">
      <c r="A690" s="43" t="n">
        <v>686</v>
      </c>
      <c r="B690" s="44" t="s">
        <v>114</v>
      </c>
      <c r="C690" s="43" t="n">
        <v>1</v>
      </c>
      <c r="D690" s="33" t="str">
        <f aca="false">VLOOKUP(C690, Lookups_Metadata!$A$4:$B$7, 2, FALSE())</f>
        <v>Spring</v>
      </c>
      <c r="E690" s="43" t="n">
        <v>0</v>
      </c>
      <c r="F690" s="43" t="n">
        <v>1</v>
      </c>
      <c r="G690" s="43" t="n">
        <v>21</v>
      </c>
      <c r="H690" s="45" t="b">
        <f aca="false">FALSE()</f>
        <v>0</v>
      </c>
      <c r="I690" s="43" t="n">
        <v>1</v>
      </c>
      <c r="J690" s="33" t="str">
        <f aca="false">INDEX(Lookups_Metadata!$E$4:$E$10, MATCH(I690, Lookups_Metadata!$D$4:$D$10, 0))</f>
        <v>Monday</v>
      </c>
      <c r="K690" s="33" t="str">
        <f aca="false">IF(H690=TRUE(), "Holiday", IF(OR(I690=0, I690=6), "Weekend", "Weekday"))</f>
        <v>Weekday</v>
      </c>
      <c r="L690" s="33" t="str">
        <f aca="false">IF(AND(K690="Weekday", OR(AND(G690&gt;=7, G690&lt;=9), AND(G690&gt;=17, G690&lt;=19))), "Peak Commute", "Off-Peak")</f>
        <v>Off-Peak</v>
      </c>
      <c r="M690" s="43" t="n">
        <v>3</v>
      </c>
      <c r="N690" s="33" t="str">
        <f aca="false">VLOOKUP(M690, Lookups_Metadata!$G$4:$H$7, 2, FALSE())</f>
        <v>Light Snow / Light Rain</v>
      </c>
      <c r="O690" s="46" t="n">
        <v>0.16</v>
      </c>
      <c r="P690" s="46" t="n">
        <v>0.197</v>
      </c>
      <c r="Q690" s="46" t="n">
        <f aca="false">IF(OR(P690="", ISBLANK(P690)), ROUND(0.9367*O690+0.0175, 4), P690)</f>
        <v>0.197</v>
      </c>
      <c r="R690" s="33" t="str">
        <f aca="false">IF(OR(P690="", ISBLANK(P690)), "Imputed (Regression/Trend)", "Original")</f>
        <v>Original</v>
      </c>
      <c r="S690" s="46" t="n">
        <v>0.59</v>
      </c>
      <c r="T690" s="46" t="n">
        <v>0.0896</v>
      </c>
      <c r="U690" s="18" t="n">
        <v>3</v>
      </c>
      <c r="V690" s="18" t="n">
        <v>53</v>
      </c>
      <c r="W690" s="18" t="n">
        <f aca="false">U690+V690</f>
        <v>56</v>
      </c>
      <c r="X690" s="47" t="n">
        <f aca="false">U690/W690</f>
        <v>0.0535714285714286</v>
      </c>
      <c r="Y690" s="47" t="n">
        <f aca="false">V690/W690</f>
        <v>0.946428571428571</v>
      </c>
      <c r="Z690" s="33" t="str">
        <f aca="false">IF(W690&gt;=150, "High Demand", IF(W690&gt;=50, "Moderate Demand", "Low Demand"))</f>
        <v>Moderate Demand</v>
      </c>
      <c r="AA690" s="45" t="str">
        <f aca="false">TEXT(G690, "00") &amp; ":00"</f>
        <v>21:00</v>
      </c>
      <c r="AB690" s="43" t="n">
        <f aca="false">YEAR(B690)</f>
        <v>2011</v>
      </c>
      <c r="AC690" s="33" t="str">
        <f aca="false">TEXT(B690, "mmmm")</f>
        <v>January</v>
      </c>
      <c r="AD690" s="43" t="n">
        <f aca="false">LEN(TEXT(B690, "YYYY-MM-DD"))</f>
        <v>10</v>
      </c>
      <c r="AE690" s="45" t="str">
        <f aca="false">LEFT(TEXT(B690, "YYYY-MM-DD"), 4)</f>
        <v>2011</v>
      </c>
      <c r="AF690" s="45" t="str">
        <f aca="false">RIGHT(TEXT(B690, "YYYY-MM-DD"), 2)</f>
        <v>31</v>
      </c>
    </row>
    <row r="691" customFormat="false" ht="15" hidden="false" customHeight="false" outlineLevel="0" collapsed="false">
      <c r="A691" s="37" t="n">
        <v>687</v>
      </c>
      <c r="B691" s="38" t="s">
        <v>114</v>
      </c>
      <c r="C691" s="37" t="n">
        <v>1</v>
      </c>
      <c r="D691" s="35" t="str">
        <f aca="false">VLOOKUP(C691, Lookups_Metadata!$A$4:$B$7, 2, FALSE())</f>
        <v>Spring</v>
      </c>
      <c r="E691" s="37" t="n">
        <v>0</v>
      </c>
      <c r="F691" s="37" t="n">
        <v>1</v>
      </c>
      <c r="G691" s="37" t="n">
        <v>22</v>
      </c>
      <c r="H691" s="39" t="b">
        <f aca="false">FALSE()</f>
        <v>0</v>
      </c>
      <c r="I691" s="37" t="n">
        <v>1</v>
      </c>
      <c r="J691" s="35" t="str">
        <f aca="false">INDEX(Lookups_Metadata!$E$4:$E$10, MATCH(I691, Lookups_Metadata!$D$4:$D$10, 0))</f>
        <v>Monday</v>
      </c>
      <c r="K691" s="35" t="str">
        <f aca="false">IF(H691=TRUE(), "Holiday", IF(OR(I691=0, I691=6), "Weekend", "Weekday"))</f>
        <v>Weekday</v>
      </c>
      <c r="L691" s="35" t="str">
        <f aca="false">IF(AND(K691="Weekday", OR(AND(G691&gt;=7, G691&lt;=9), AND(G691&gt;=17, G691&lt;=19))), "Peak Commute", "Off-Peak")</f>
        <v>Off-Peak</v>
      </c>
      <c r="M691" s="37" t="n">
        <v>2</v>
      </c>
      <c r="N691" s="35" t="str">
        <f aca="false">VLOOKUP(M691, Lookups_Metadata!$G$4:$H$7, 2, FALSE())</f>
        <v>Mist / Cloudy</v>
      </c>
      <c r="O691" s="40" t="n">
        <v>0.16</v>
      </c>
      <c r="P691" s="40" t="n">
        <v>0.1818</v>
      </c>
      <c r="Q691" s="40" t="n">
        <f aca="false">IF(OR(P691="", ISBLANK(P691)), ROUND(0.9367*O691+0.0175, 4), P691)</f>
        <v>0.1818</v>
      </c>
      <c r="R691" s="35" t="str">
        <f aca="false">IF(OR(P691="", ISBLANK(P691)), "Imputed (Regression/Trend)", "Original")</f>
        <v>Original</v>
      </c>
      <c r="S691" s="40" t="n">
        <v>0.59</v>
      </c>
      <c r="T691" s="40" t="n">
        <v>0.1045</v>
      </c>
      <c r="U691" s="41" t="n">
        <v>0</v>
      </c>
      <c r="V691" s="41" t="n">
        <v>34</v>
      </c>
      <c r="W691" s="41" t="n">
        <f aca="false">U691+V691</f>
        <v>34</v>
      </c>
      <c r="X691" s="42" t="n">
        <f aca="false">U691/W691</f>
        <v>0</v>
      </c>
      <c r="Y691" s="42" t="n">
        <f aca="false">V691/W691</f>
        <v>1</v>
      </c>
      <c r="Z691" s="35" t="str">
        <f aca="false">IF(W691&gt;=150, "High Demand", IF(W691&gt;=50, "Moderate Demand", "Low Demand"))</f>
        <v>Low Demand</v>
      </c>
      <c r="AA691" s="39" t="str">
        <f aca="false">TEXT(G691, "00") &amp; ":00"</f>
        <v>22:00</v>
      </c>
      <c r="AB691" s="37" t="n">
        <f aca="false">YEAR(B691)</f>
        <v>2011</v>
      </c>
      <c r="AC691" s="35" t="str">
        <f aca="false">TEXT(B691, "mmmm")</f>
        <v>January</v>
      </c>
      <c r="AD691" s="37" t="n">
        <f aca="false">LEN(TEXT(B691, "YYYY-MM-DD"))</f>
        <v>10</v>
      </c>
      <c r="AE691" s="39" t="str">
        <f aca="false">LEFT(TEXT(B691, "YYYY-MM-DD"), 4)</f>
        <v>2011</v>
      </c>
      <c r="AF691" s="39" t="str">
        <f aca="false">RIGHT(TEXT(B691, "YYYY-MM-DD"), 2)</f>
        <v>31</v>
      </c>
    </row>
    <row r="692" customFormat="false" ht="15" hidden="false" customHeight="false" outlineLevel="0" collapsed="false">
      <c r="A692" s="43" t="n">
        <v>688</v>
      </c>
      <c r="B692" s="44" t="s">
        <v>114</v>
      </c>
      <c r="C692" s="43" t="n">
        <v>1</v>
      </c>
      <c r="D692" s="33" t="str">
        <f aca="false">VLOOKUP(C692, Lookups_Metadata!$A$4:$B$7, 2, FALSE())</f>
        <v>Spring</v>
      </c>
      <c r="E692" s="43" t="n">
        <v>0</v>
      </c>
      <c r="F692" s="43" t="n">
        <v>1</v>
      </c>
      <c r="G692" s="43" t="n">
        <v>23</v>
      </c>
      <c r="H692" s="45" t="b">
        <f aca="false">FALSE()</f>
        <v>0</v>
      </c>
      <c r="I692" s="43" t="n">
        <v>1</v>
      </c>
      <c r="J692" s="33" t="str">
        <f aca="false">INDEX(Lookups_Metadata!$E$4:$E$10, MATCH(I692, Lookups_Metadata!$D$4:$D$10, 0))</f>
        <v>Monday</v>
      </c>
      <c r="K692" s="33" t="str">
        <f aca="false">IF(H692=TRUE(), "Holiday", IF(OR(I692=0, I692=6), "Weekend", "Weekday"))</f>
        <v>Weekday</v>
      </c>
      <c r="L692" s="33" t="str">
        <f aca="false">IF(AND(K692="Weekday", OR(AND(G692&gt;=7, G692&lt;=9), AND(G692&gt;=17, G692&lt;=19))), "Peak Commute", "Off-Peak")</f>
        <v>Off-Peak</v>
      </c>
      <c r="M692" s="43" t="n">
        <v>2</v>
      </c>
      <c r="N692" s="33" t="str">
        <f aca="false">VLOOKUP(M692, Lookups_Metadata!$G$4:$H$7, 2, FALSE())</f>
        <v>Mist / Cloudy</v>
      </c>
      <c r="O692" s="46" t="n">
        <v>0.16</v>
      </c>
      <c r="P692" s="46" t="n">
        <v>0.197</v>
      </c>
      <c r="Q692" s="46" t="n">
        <f aca="false">IF(OR(P692="", ISBLANK(P692)), ROUND(0.9367*O692+0.0175, 4), P692)</f>
        <v>0.197</v>
      </c>
      <c r="R692" s="33" t="str">
        <f aca="false">IF(OR(P692="", ISBLANK(P692)), "Imputed (Regression/Trend)", "Original")</f>
        <v>Original</v>
      </c>
      <c r="S692" s="46" t="n">
        <v>0.64</v>
      </c>
      <c r="T692" s="46" t="n">
        <v>0.0896</v>
      </c>
      <c r="U692" s="18" t="n">
        <v>2</v>
      </c>
      <c r="V692" s="18" t="n">
        <v>15</v>
      </c>
      <c r="W692" s="18" t="n">
        <f aca="false">U692+V692</f>
        <v>17</v>
      </c>
      <c r="X692" s="47" t="n">
        <f aca="false">U692/W692</f>
        <v>0.117647058823529</v>
      </c>
      <c r="Y692" s="47" t="n">
        <f aca="false">V692/W692</f>
        <v>0.882352941176471</v>
      </c>
      <c r="Z692" s="33" t="str">
        <f aca="false">IF(W692&gt;=150, "High Demand", IF(W692&gt;=50, "Moderate Demand", "Low Demand"))</f>
        <v>Low Demand</v>
      </c>
      <c r="AA692" s="45" t="str">
        <f aca="false">TEXT(G692, "00") &amp; ":00"</f>
        <v>23:00</v>
      </c>
      <c r="AB692" s="43" t="n">
        <f aca="false">YEAR(B692)</f>
        <v>2011</v>
      </c>
      <c r="AC692" s="33" t="str">
        <f aca="false">TEXT(B692, "mmmm")</f>
        <v>January</v>
      </c>
      <c r="AD692" s="43" t="n">
        <f aca="false">LEN(TEXT(B692, "YYYY-MM-DD"))</f>
        <v>10</v>
      </c>
      <c r="AE692" s="45" t="str">
        <f aca="false">LEFT(TEXT(B692, "YYYY-MM-DD"), 4)</f>
        <v>2011</v>
      </c>
      <c r="AF692" s="45" t="str">
        <f aca="false">RIGHT(TEXT(B692, "YYYY-MM-DD"), 2)</f>
        <v>31</v>
      </c>
    </row>
    <row r="693" customFormat="false" ht="15" hidden="false" customHeight="false" outlineLevel="0" collapsed="false">
      <c r="A693" s="37" t="n">
        <v>689</v>
      </c>
      <c r="B693" s="38" t="s">
        <v>115</v>
      </c>
      <c r="C693" s="37" t="n">
        <v>1</v>
      </c>
      <c r="D693" s="35" t="str">
        <f aca="false">VLOOKUP(C693, Lookups_Metadata!$A$4:$B$7, 2, FALSE())</f>
        <v>Spring</v>
      </c>
      <c r="E693" s="37" t="n">
        <v>0</v>
      </c>
      <c r="F693" s="37" t="n">
        <v>2</v>
      </c>
      <c r="G693" s="37" t="n">
        <v>0</v>
      </c>
      <c r="H693" s="39" t="b">
        <f aca="false">FALSE()</f>
        <v>0</v>
      </c>
      <c r="I693" s="37" t="n">
        <v>2</v>
      </c>
      <c r="J693" s="35" t="str">
        <f aca="false">INDEX(Lookups_Metadata!$E$4:$E$10, MATCH(I693, Lookups_Metadata!$D$4:$D$10, 0))</f>
        <v>Tuesday</v>
      </c>
      <c r="K693" s="35" t="str">
        <f aca="false">IF(H693=TRUE(), "Holiday", IF(OR(I693=0, I693=6), "Weekend", "Weekday"))</f>
        <v>Weekday</v>
      </c>
      <c r="L693" s="35" t="str">
        <f aca="false">IF(AND(K693="Weekday", OR(AND(G693&gt;=7, G693&lt;=9), AND(G693&gt;=17, G693&lt;=19))), "Peak Commute", "Off-Peak")</f>
        <v>Off-Peak</v>
      </c>
      <c r="M693" s="37" t="n">
        <v>2</v>
      </c>
      <c r="N693" s="35" t="str">
        <f aca="false">VLOOKUP(M693, Lookups_Metadata!$G$4:$H$7, 2, FALSE())</f>
        <v>Mist / Cloudy</v>
      </c>
      <c r="O693" s="40" t="n">
        <v>0.16</v>
      </c>
      <c r="P693" s="40" t="n">
        <v>0.1818</v>
      </c>
      <c r="Q693" s="40" t="n">
        <f aca="false">IF(OR(P693="", ISBLANK(P693)), ROUND(0.9367*O693+0.0175, 4), P693)</f>
        <v>0.1818</v>
      </c>
      <c r="R693" s="35" t="str">
        <f aca="false">IF(OR(P693="", ISBLANK(P693)), "Imputed (Regression/Trend)", "Original")</f>
        <v>Original</v>
      </c>
      <c r="S693" s="40" t="n">
        <v>0.64</v>
      </c>
      <c r="T693" s="40" t="n">
        <v>0.1045</v>
      </c>
      <c r="U693" s="41" t="n">
        <v>2</v>
      </c>
      <c r="V693" s="41" t="n">
        <v>6</v>
      </c>
      <c r="W693" s="41" t="n">
        <f aca="false">U693+V693</f>
        <v>8</v>
      </c>
      <c r="X693" s="42" t="n">
        <f aca="false">U693/W693</f>
        <v>0.25</v>
      </c>
      <c r="Y693" s="42" t="n">
        <f aca="false">V693/W693</f>
        <v>0.75</v>
      </c>
      <c r="Z693" s="35" t="str">
        <f aca="false">IF(W693&gt;=150, "High Demand", IF(W693&gt;=50, "Moderate Demand", "Low Demand"))</f>
        <v>Low Demand</v>
      </c>
      <c r="AA693" s="39" t="str">
        <f aca="false">TEXT(G693, "00") &amp; ":00"</f>
        <v>00:00</v>
      </c>
      <c r="AB693" s="37" t="n">
        <f aca="false">YEAR(B693)</f>
        <v>2011</v>
      </c>
      <c r="AC693" s="35" t="str">
        <f aca="false">TEXT(B693, "mmmm")</f>
        <v>February</v>
      </c>
      <c r="AD693" s="37" t="n">
        <f aca="false">LEN(TEXT(B693, "YYYY-MM-DD"))</f>
        <v>10</v>
      </c>
      <c r="AE693" s="39" t="str">
        <f aca="false">LEFT(TEXT(B693, "YYYY-MM-DD"), 4)</f>
        <v>2011</v>
      </c>
      <c r="AF693" s="39" t="str">
        <f aca="false">RIGHT(TEXT(B693, "YYYY-MM-DD"), 2)</f>
        <v>01</v>
      </c>
    </row>
    <row r="694" customFormat="false" ht="15" hidden="false" customHeight="false" outlineLevel="0" collapsed="false">
      <c r="A694" s="43" t="n">
        <v>690</v>
      </c>
      <c r="B694" s="44" t="s">
        <v>115</v>
      </c>
      <c r="C694" s="43" t="n">
        <v>1</v>
      </c>
      <c r="D694" s="33" t="str">
        <f aca="false">VLOOKUP(C694, Lookups_Metadata!$A$4:$B$7, 2, FALSE())</f>
        <v>Spring</v>
      </c>
      <c r="E694" s="43" t="n">
        <v>0</v>
      </c>
      <c r="F694" s="43" t="n">
        <v>2</v>
      </c>
      <c r="G694" s="43" t="n">
        <v>1</v>
      </c>
      <c r="H694" s="45" t="b">
        <f aca="false">FALSE()</f>
        <v>0</v>
      </c>
      <c r="I694" s="43" t="n">
        <v>2</v>
      </c>
      <c r="J694" s="33" t="str">
        <f aca="false">INDEX(Lookups_Metadata!$E$4:$E$10, MATCH(I694, Lookups_Metadata!$D$4:$D$10, 0))</f>
        <v>Tuesday</v>
      </c>
      <c r="K694" s="33" t="str">
        <f aca="false">IF(H694=TRUE(), "Holiday", IF(OR(I694=0, I694=6), "Weekend", "Weekday"))</f>
        <v>Weekday</v>
      </c>
      <c r="L694" s="33" t="str">
        <f aca="false">IF(AND(K694="Weekday", OR(AND(G694&gt;=7, G694&lt;=9), AND(G694&gt;=17, G694&lt;=19))), "Peak Commute", "Off-Peak")</f>
        <v>Off-Peak</v>
      </c>
      <c r="M694" s="43" t="n">
        <v>2</v>
      </c>
      <c r="N694" s="33" t="str">
        <f aca="false">VLOOKUP(M694, Lookups_Metadata!$G$4:$H$7, 2, FALSE())</f>
        <v>Mist / Cloudy</v>
      </c>
      <c r="O694" s="46" t="n">
        <v>0.16</v>
      </c>
      <c r="P694" s="46" t="n">
        <v>0.1818</v>
      </c>
      <c r="Q694" s="46" t="n">
        <f aca="false">IF(OR(P694="", ISBLANK(P694)), ROUND(0.9367*O694+0.0175, 4), P694)</f>
        <v>0.1818</v>
      </c>
      <c r="R694" s="33" t="str">
        <f aca="false">IF(OR(P694="", ISBLANK(P694)), "Imputed (Regression/Trend)", "Original")</f>
        <v>Original</v>
      </c>
      <c r="S694" s="46" t="n">
        <v>0.69</v>
      </c>
      <c r="T694" s="46" t="n">
        <v>0.1045</v>
      </c>
      <c r="U694" s="18" t="n">
        <v>0</v>
      </c>
      <c r="V694" s="18" t="n">
        <v>3</v>
      </c>
      <c r="W694" s="18" t="n">
        <f aca="false">U694+V694</f>
        <v>3</v>
      </c>
      <c r="X694" s="47" t="n">
        <f aca="false">U694/W694</f>
        <v>0</v>
      </c>
      <c r="Y694" s="47" t="n">
        <f aca="false">V694/W694</f>
        <v>1</v>
      </c>
      <c r="Z694" s="33" t="str">
        <f aca="false">IF(W694&gt;=150, "High Demand", IF(W694&gt;=50, "Moderate Demand", "Low Demand"))</f>
        <v>Low Demand</v>
      </c>
      <c r="AA694" s="45" t="str">
        <f aca="false">TEXT(G694, "00") &amp; ":00"</f>
        <v>01:00</v>
      </c>
      <c r="AB694" s="43" t="n">
        <f aca="false">YEAR(B694)</f>
        <v>2011</v>
      </c>
      <c r="AC694" s="33" t="str">
        <f aca="false">TEXT(B694, "mmmm")</f>
        <v>February</v>
      </c>
      <c r="AD694" s="43" t="n">
        <f aca="false">LEN(TEXT(B694, "YYYY-MM-DD"))</f>
        <v>10</v>
      </c>
      <c r="AE694" s="45" t="str">
        <f aca="false">LEFT(TEXT(B694, "YYYY-MM-DD"), 4)</f>
        <v>2011</v>
      </c>
      <c r="AF694" s="45" t="str">
        <f aca="false">RIGHT(TEXT(B694, "YYYY-MM-DD"), 2)</f>
        <v>01</v>
      </c>
    </row>
    <row r="695" customFormat="false" ht="15" hidden="false" customHeight="false" outlineLevel="0" collapsed="false">
      <c r="A695" s="37" t="n">
        <v>691</v>
      </c>
      <c r="B695" s="38" t="s">
        <v>115</v>
      </c>
      <c r="C695" s="37" t="n">
        <v>1</v>
      </c>
      <c r="D695" s="35" t="str">
        <f aca="false">VLOOKUP(C695, Lookups_Metadata!$A$4:$B$7, 2, FALSE())</f>
        <v>Spring</v>
      </c>
      <c r="E695" s="37" t="n">
        <v>0</v>
      </c>
      <c r="F695" s="37" t="n">
        <v>2</v>
      </c>
      <c r="G695" s="37" t="n">
        <v>2</v>
      </c>
      <c r="H695" s="39" t="b">
        <f aca="false">FALSE()</f>
        <v>0</v>
      </c>
      <c r="I695" s="37" t="n">
        <v>2</v>
      </c>
      <c r="J695" s="35" t="str">
        <f aca="false">INDEX(Lookups_Metadata!$E$4:$E$10, MATCH(I695, Lookups_Metadata!$D$4:$D$10, 0))</f>
        <v>Tuesday</v>
      </c>
      <c r="K695" s="35" t="str">
        <f aca="false">IF(H695=TRUE(), "Holiday", IF(OR(I695=0, I695=6), "Weekend", "Weekday"))</f>
        <v>Weekday</v>
      </c>
      <c r="L695" s="35" t="str">
        <f aca="false">IF(AND(K695="Weekday", OR(AND(G695&gt;=7, G695&lt;=9), AND(G695&gt;=17, G695&lt;=19))), "Peak Commute", "Off-Peak")</f>
        <v>Off-Peak</v>
      </c>
      <c r="M695" s="37" t="n">
        <v>2</v>
      </c>
      <c r="N695" s="35" t="str">
        <f aca="false">VLOOKUP(M695, Lookups_Metadata!$G$4:$H$7, 2, FALSE())</f>
        <v>Mist / Cloudy</v>
      </c>
      <c r="O695" s="40" t="n">
        <v>0.16</v>
      </c>
      <c r="P695" s="40" t="n">
        <v>0.2273</v>
      </c>
      <c r="Q695" s="40" t="n">
        <f aca="false">IF(OR(P695="", ISBLANK(P695)), ROUND(0.9367*O695+0.0175, 4), P695)</f>
        <v>0.2273</v>
      </c>
      <c r="R695" s="35" t="str">
        <f aca="false">IF(OR(P695="", ISBLANK(P695)), "Imputed (Regression/Trend)", "Original")</f>
        <v>Original</v>
      </c>
      <c r="S695" s="40" t="n">
        <v>0.69</v>
      </c>
      <c r="T695" s="40" t="n">
        <v>0</v>
      </c>
      <c r="U695" s="41" t="n">
        <v>0</v>
      </c>
      <c r="V695" s="41" t="n">
        <v>2</v>
      </c>
      <c r="W695" s="41" t="n">
        <f aca="false">U695+V695</f>
        <v>2</v>
      </c>
      <c r="X695" s="42" t="n">
        <f aca="false">U695/W695</f>
        <v>0</v>
      </c>
      <c r="Y695" s="42" t="n">
        <f aca="false">V695/W695</f>
        <v>1</v>
      </c>
      <c r="Z695" s="35" t="str">
        <f aca="false">IF(W695&gt;=150, "High Demand", IF(W695&gt;=50, "Moderate Demand", "Low Demand"))</f>
        <v>Low Demand</v>
      </c>
      <c r="AA695" s="39" t="str">
        <f aca="false">TEXT(G695, "00") &amp; ":00"</f>
        <v>02:00</v>
      </c>
      <c r="AB695" s="37" t="n">
        <f aca="false">YEAR(B695)</f>
        <v>2011</v>
      </c>
      <c r="AC695" s="35" t="str">
        <f aca="false">TEXT(B695, "mmmm")</f>
        <v>February</v>
      </c>
      <c r="AD695" s="37" t="n">
        <f aca="false">LEN(TEXT(B695, "YYYY-MM-DD"))</f>
        <v>10</v>
      </c>
      <c r="AE695" s="39" t="str">
        <f aca="false">LEFT(TEXT(B695, "YYYY-MM-DD"), 4)</f>
        <v>2011</v>
      </c>
      <c r="AF695" s="39" t="str">
        <f aca="false">RIGHT(TEXT(B695, "YYYY-MM-DD"), 2)</f>
        <v>01</v>
      </c>
    </row>
    <row r="696" customFormat="false" ht="15" hidden="false" customHeight="false" outlineLevel="0" collapsed="false">
      <c r="A696" s="43" t="n">
        <v>692</v>
      </c>
      <c r="B696" s="44" t="s">
        <v>115</v>
      </c>
      <c r="C696" s="43" t="n">
        <v>1</v>
      </c>
      <c r="D696" s="33" t="str">
        <f aca="false">VLOOKUP(C696, Lookups_Metadata!$A$4:$B$7, 2, FALSE())</f>
        <v>Spring</v>
      </c>
      <c r="E696" s="43" t="n">
        <v>0</v>
      </c>
      <c r="F696" s="43" t="n">
        <v>2</v>
      </c>
      <c r="G696" s="43" t="n">
        <v>3</v>
      </c>
      <c r="H696" s="45" t="b">
        <f aca="false">FALSE()</f>
        <v>0</v>
      </c>
      <c r="I696" s="43" t="n">
        <v>2</v>
      </c>
      <c r="J696" s="33" t="str">
        <f aca="false">INDEX(Lookups_Metadata!$E$4:$E$10, MATCH(I696, Lookups_Metadata!$D$4:$D$10, 0))</f>
        <v>Tuesday</v>
      </c>
      <c r="K696" s="33" t="str">
        <f aca="false">IF(H696=TRUE(), "Holiday", IF(OR(I696=0, I696=6), "Weekend", "Weekday"))</f>
        <v>Weekday</v>
      </c>
      <c r="L696" s="33" t="str">
        <f aca="false">IF(AND(K696="Weekday", OR(AND(G696&gt;=7, G696&lt;=9), AND(G696&gt;=17, G696&lt;=19))), "Peak Commute", "Off-Peak")</f>
        <v>Off-Peak</v>
      </c>
      <c r="M696" s="43" t="n">
        <v>2</v>
      </c>
      <c r="N696" s="33" t="str">
        <f aca="false">VLOOKUP(M696, Lookups_Metadata!$G$4:$H$7, 2, FALSE())</f>
        <v>Mist / Cloudy</v>
      </c>
      <c r="O696" s="46" t="n">
        <v>0.16</v>
      </c>
      <c r="P696" s="46" t="n">
        <v>0.2273</v>
      </c>
      <c r="Q696" s="46" t="n">
        <f aca="false">IF(OR(P696="", ISBLANK(P696)), ROUND(0.9367*O696+0.0175, 4), P696)</f>
        <v>0.2273</v>
      </c>
      <c r="R696" s="33" t="str">
        <f aca="false">IF(OR(P696="", ISBLANK(P696)), "Imputed (Regression/Trend)", "Original")</f>
        <v>Original</v>
      </c>
      <c r="S696" s="46" t="n">
        <v>0.69</v>
      </c>
      <c r="T696" s="46" t="n">
        <v>0</v>
      </c>
      <c r="U696" s="18" t="n">
        <v>0</v>
      </c>
      <c r="V696" s="18" t="n">
        <v>2</v>
      </c>
      <c r="W696" s="18" t="n">
        <f aca="false">U696+V696</f>
        <v>2</v>
      </c>
      <c r="X696" s="47" t="n">
        <f aca="false">U696/W696</f>
        <v>0</v>
      </c>
      <c r="Y696" s="47" t="n">
        <f aca="false">V696/W696</f>
        <v>1</v>
      </c>
      <c r="Z696" s="33" t="str">
        <f aca="false">IF(W696&gt;=150, "High Demand", IF(W696&gt;=50, "Moderate Demand", "Low Demand"))</f>
        <v>Low Demand</v>
      </c>
      <c r="AA696" s="45" t="str">
        <f aca="false">TEXT(G696, "00") &amp; ":00"</f>
        <v>03:00</v>
      </c>
      <c r="AB696" s="43" t="n">
        <f aca="false">YEAR(B696)</f>
        <v>2011</v>
      </c>
      <c r="AC696" s="33" t="str">
        <f aca="false">TEXT(B696, "mmmm")</f>
        <v>February</v>
      </c>
      <c r="AD696" s="43" t="n">
        <f aca="false">LEN(TEXT(B696, "YYYY-MM-DD"))</f>
        <v>10</v>
      </c>
      <c r="AE696" s="45" t="str">
        <f aca="false">LEFT(TEXT(B696, "YYYY-MM-DD"), 4)</f>
        <v>2011</v>
      </c>
      <c r="AF696" s="45" t="str">
        <f aca="false">RIGHT(TEXT(B696, "YYYY-MM-DD"), 2)</f>
        <v>01</v>
      </c>
    </row>
    <row r="697" customFormat="false" ht="15" hidden="false" customHeight="false" outlineLevel="0" collapsed="false">
      <c r="A697" s="37" t="n">
        <v>693</v>
      </c>
      <c r="B697" s="38" t="s">
        <v>115</v>
      </c>
      <c r="C697" s="37" t="n">
        <v>1</v>
      </c>
      <c r="D697" s="35" t="str">
        <f aca="false">VLOOKUP(C697, Lookups_Metadata!$A$4:$B$7, 2, FALSE())</f>
        <v>Spring</v>
      </c>
      <c r="E697" s="37" t="n">
        <v>0</v>
      </c>
      <c r="F697" s="37" t="n">
        <v>2</v>
      </c>
      <c r="G697" s="37" t="n">
        <v>5</v>
      </c>
      <c r="H697" s="39" t="b">
        <f aca="false">FALSE()</f>
        <v>0</v>
      </c>
      <c r="I697" s="37" t="n">
        <v>2</v>
      </c>
      <c r="J697" s="35" t="str">
        <f aca="false">INDEX(Lookups_Metadata!$E$4:$E$10, MATCH(I697, Lookups_Metadata!$D$4:$D$10, 0))</f>
        <v>Tuesday</v>
      </c>
      <c r="K697" s="35" t="str">
        <f aca="false">IF(H697=TRUE(), "Holiday", IF(OR(I697=0, I697=6), "Weekend", "Weekday"))</f>
        <v>Weekday</v>
      </c>
      <c r="L697" s="35" t="str">
        <f aca="false">IF(AND(K697="Weekday", OR(AND(G697&gt;=7, G697&lt;=9), AND(G697&gt;=17, G697&lt;=19))), "Peak Commute", "Off-Peak")</f>
        <v>Off-Peak</v>
      </c>
      <c r="M697" s="37" t="n">
        <v>3</v>
      </c>
      <c r="N697" s="35" t="str">
        <f aca="false">VLOOKUP(M697, Lookups_Metadata!$G$4:$H$7, 2, FALSE())</f>
        <v>Light Snow / Light Rain</v>
      </c>
      <c r="O697" s="40" t="n">
        <v>0.14</v>
      </c>
      <c r="P697" s="40" t="n">
        <v>0.2121</v>
      </c>
      <c r="Q697" s="40" t="n">
        <f aca="false">IF(OR(P697="", ISBLANK(P697)), ROUND(0.9367*O697+0.0175, 4), P697)</f>
        <v>0.2121</v>
      </c>
      <c r="R697" s="35" t="str">
        <f aca="false">IF(OR(P697="", ISBLANK(P697)), "Imputed (Regression/Trend)", "Original")</f>
        <v>Original</v>
      </c>
      <c r="S697" s="40" t="n">
        <v>0.93</v>
      </c>
      <c r="T697" s="40" t="n">
        <v>0</v>
      </c>
      <c r="U697" s="41" t="n">
        <v>0</v>
      </c>
      <c r="V697" s="41" t="n">
        <v>3</v>
      </c>
      <c r="W697" s="41" t="n">
        <f aca="false">U697+V697</f>
        <v>3</v>
      </c>
      <c r="X697" s="42" t="n">
        <f aca="false">U697/W697</f>
        <v>0</v>
      </c>
      <c r="Y697" s="42" t="n">
        <f aca="false">V697/W697</f>
        <v>1</v>
      </c>
      <c r="Z697" s="35" t="str">
        <f aca="false">IF(W697&gt;=150, "High Demand", IF(W697&gt;=50, "Moderate Demand", "Low Demand"))</f>
        <v>Low Demand</v>
      </c>
      <c r="AA697" s="39" t="str">
        <f aca="false">TEXT(G697, "00") &amp; ":00"</f>
        <v>05:00</v>
      </c>
      <c r="AB697" s="37" t="n">
        <f aca="false">YEAR(B697)</f>
        <v>2011</v>
      </c>
      <c r="AC697" s="35" t="str">
        <f aca="false">TEXT(B697, "mmmm")</f>
        <v>February</v>
      </c>
      <c r="AD697" s="37" t="n">
        <f aca="false">LEN(TEXT(B697, "YYYY-MM-DD"))</f>
        <v>10</v>
      </c>
      <c r="AE697" s="39" t="str">
        <f aca="false">LEFT(TEXT(B697, "YYYY-MM-DD"), 4)</f>
        <v>2011</v>
      </c>
      <c r="AF697" s="39" t="str">
        <f aca="false">RIGHT(TEXT(B697, "YYYY-MM-DD"), 2)</f>
        <v>01</v>
      </c>
    </row>
    <row r="698" customFormat="false" ht="15" hidden="false" customHeight="false" outlineLevel="0" collapsed="false">
      <c r="A698" s="43" t="n">
        <v>694</v>
      </c>
      <c r="B698" s="44" t="s">
        <v>115</v>
      </c>
      <c r="C698" s="43" t="n">
        <v>1</v>
      </c>
      <c r="D698" s="33" t="str">
        <f aca="false">VLOOKUP(C698, Lookups_Metadata!$A$4:$B$7, 2, FALSE())</f>
        <v>Spring</v>
      </c>
      <c r="E698" s="43" t="n">
        <v>0</v>
      </c>
      <c r="F698" s="43" t="n">
        <v>2</v>
      </c>
      <c r="G698" s="43" t="n">
        <v>6</v>
      </c>
      <c r="H698" s="45" t="b">
        <f aca="false">FALSE()</f>
        <v>0</v>
      </c>
      <c r="I698" s="43" t="n">
        <v>2</v>
      </c>
      <c r="J698" s="33" t="str">
        <f aca="false">INDEX(Lookups_Metadata!$E$4:$E$10, MATCH(I698, Lookups_Metadata!$D$4:$D$10, 0))</f>
        <v>Tuesday</v>
      </c>
      <c r="K698" s="33" t="str">
        <f aca="false">IF(H698=TRUE(), "Holiday", IF(OR(I698=0, I698=6), "Weekend", "Weekday"))</f>
        <v>Weekday</v>
      </c>
      <c r="L698" s="33" t="str">
        <f aca="false">IF(AND(K698="Weekday", OR(AND(G698&gt;=7, G698&lt;=9), AND(G698&gt;=17, G698&lt;=19))), "Peak Commute", "Off-Peak")</f>
        <v>Off-Peak</v>
      </c>
      <c r="M698" s="43" t="n">
        <v>3</v>
      </c>
      <c r="N698" s="33" t="str">
        <f aca="false">VLOOKUP(M698, Lookups_Metadata!$G$4:$H$7, 2, FALSE())</f>
        <v>Light Snow / Light Rain</v>
      </c>
      <c r="O698" s="46" t="n">
        <v>0.14</v>
      </c>
      <c r="P698" s="46" t="n">
        <v>0.2121</v>
      </c>
      <c r="Q698" s="46" t="n">
        <f aca="false">IF(OR(P698="", ISBLANK(P698)), ROUND(0.9367*O698+0.0175, 4), P698)</f>
        <v>0.2121</v>
      </c>
      <c r="R698" s="33" t="str">
        <f aca="false">IF(OR(P698="", ISBLANK(P698)), "Imputed (Regression/Trend)", "Original")</f>
        <v>Original</v>
      </c>
      <c r="S698" s="46" t="n">
        <v>0.93</v>
      </c>
      <c r="T698" s="46" t="n">
        <v>0</v>
      </c>
      <c r="U698" s="18" t="n">
        <v>0</v>
      </c>
      <c r="V698" s="18" t="n">
        <v>22</v>
      </c>
      <c r="W698" s="18" t="n">
        <f aca="false">U698+V698</f>
        <v>22</v>
      </c>
      <c r="X698" s="47" t="n">
        <f aca="false">U698/W698</f>
        <v>0</v>
      </c>
      <c r="Y698" s="47" t="n">
        <f aca="false">V698/W698</f>
        <v>1</v>
      </c>
      <c r="Z698" s="33" t="str">
        <f aca="false">IF(W698&gt;=150, "High Demand", IF(W698&gt;=50, "Moderate Demand", "Low Demand"))</f>
        <v>Low Demand</v>
      </c>
      <c r="AA698" s="45" t="str">
        <f aca="false">TEXT(G698, "00") &amp; ":00"</f>
        <v>06:00</v>
      </c>
      <c r="AB698" s="43" t="n">
        <f aca="false">YEAR(B698)</f>
        <v>2011</v>
      </c>
      <c r="AC698" s="33" t="str">
        <f aca="false">TEXT(B698, "mmmm")</f>
        <v>February</v>
      </c>
      <c r="AD698" s="43" t="n">
        <f aca="false">LEN(TEXT(B698, "YYYY-MM-DD"))</f>
        <v>10</v>
      </c>
      <c r="AE698" s="45" t="str">
        <f aca="false">LEFT(TEXT(B698, "YYYY-MM-DD"), 4)</f>
        <v>2011</v>
      </c>
      <c r="AF698" s="45" t="str">
        <f aca="false">RIGHT(TEXT(B698, "YYYY-MM-DD"), 2)</f>
        <v>01</v>
      </c>
    </row>
    <row r="699" customFormat="false" ht="15" hidden="false" customHeight="false" outlineLevel="0" collapsed="false">
      <c r="A699" s="37" t="n">
        <v>695</v>
      </c>
      <c r="B699" s="38" t="s">
        <v>115</v>
      </c>
      <c r="C699" s="37" t="n">
        <v>1</v>
      </c>
      <c r="D699" s="35" t="str">
        <f aca="false">VLOOKUP(C699, Lookups_Metadata!$A$4:$B$7, 2, FALSE())</f>
        <v>Spring</v>
      </c>
      <c r="E699" s="37" t="n">
        <v>0</v>
      </c>
      <c r="F699" s="37" t="n">
        <v>2</v>
      </c>
      <c r="G699" s="37" t="n">
        <v>7</v>
      </c>
      <c r="H699" s="39" t="b">
        <f aca="false">FALSE()</f>
        <v>0</v>
      </c>
      <c r="I699" s="37" t="n">
        <v>2</v>
      </c>
      <c r="J699" s="35" t="str">
        <f aca="false">INDEX(Lookups_Metadata!$E$4:$E$10, MATCH(I699, Lookups_Metadata!$D$4:$D$10, 0))</f>
        <v>Tuesday</v>
      </c>
      <c r="K699" s="35" t="str">
        <f aca="false">IF(H699=TRUE(), "Holiday", IF(OR(I699=0, I699=6), "Weekend", "Weekday"))</f>
        <v>Weekday</v>
      </c>
      <c r="L699" s="35" t="str">
        <f aca="false">IF(AND(K699="Weekday", OR(AND(G699&gt;=7, G699&lt;=9), AND(G699&gt;=17, G699&lt;=19))), "Peak Commute", "Off-Peak")</f>
        <v>Peak Commute</v>
      </c>
      <c r="M699" s="37" t="n">
        <v>3</v>
      </c>
      <c r="N699" s="35" t="str">
        <f aca="false">VLOOKUP(M699, Lookups_Metadata!$G$4:$H$7, 2, FALSE())</f>
        <v>Light Snow / Light Rain</v>
      </c>
      <c r="O699" s="40" t="n">
        <v>0.16</v>
      </c>
      <c r="P699" s="40" t="n">
        <v>0.2273</v>
      </c>
      <c r="Q699" s="40" t="n">
        <f aca="false">IF(OR(P699="", ISBLANK(P699)), ROUND(0.9367*O699+0.0175, 4), P699)</f>
        <v>0.2273</v>
      </c>
      <c r="R699" s="35" t="str">
        <f aca="false">IF(OR(P699="", ISBLANK(P699)), "Imputed (Regression/Trend)", "Original")</f>
        <v>Original</v>
      </c>
      <c r="S699" s="40" t="n">
        <v>0.93</v>
      </c>
      <c r="T699" s="40" t="n">
        <v>0</v>
      </c>
      <c r="U699" s="41" t="n">
        <v>0</v>
      </c>
      <c r="V699" s="41" t="n">
        <v>52</v>
      </c>
      <c r="W699" s="41" t="n">
        <f aca="false">U699+V699</f>
        <v>52</v>
      </c>
      <c r="X699" s="42" t="n">
        <f aca="false">U699/W699</f>
        <v>0</v>
      </c>
      <c r="Y699" s="42" t="n">
        <f aca="false">V699/W699</f>
        <v>1</v>
      </c>
      <c r="Z699" s="35" t="str">
        <f aca="false">IF(W699&gt;=150, "High Demand", IF(W699&gt;=50, "Moderate Demand", "Low Demand"))</f>
        <v>Moderate Demand</v>
      </c>
      <c r="AA699" s="39" t="str">
        <f aca="false">TEXT(G699, "00") &amp; ":00"</f>
        <v>07:00</v>
      </c>
      <c r="AB699" s="37" t="n">
        <f aca="false">YEAR(B699)</f>
        <v>2011</v>
      </c>
      <c r="AC699" s="35" t="str">
        <f aca="false">TEXT(B699, "mmmm")</f>
        <v>February</v>
      </c>
      <c r="AD699" s="37" t="n">
        <f aca="false">LEN(TEXT(B699, "YYYY-MM-DD"))</f>
        <v>10</v>
      </c>
      <c r="AE699" s="39" t="str">
        <f aca="false">LEFT(TEXT(B699, "YYYY-MM-DD"), 4)</f>
        <v>2011</v>
      </c>
      <c r="AF699" s="39" t="str">
        <f aca="false">RIGHT(TEXT(B699, "YYYY-MM-DD"), 2)</f>
        <v>01</v>
      </c>
    </row>
    <row r="700" customFormat="false" ht="15" hidden="false" customHeight="false" outlineLevel="0" collapsed="false">
      <c r="A700" s="43" t="n">
        <v>696</v>
      </c>
      <c r="B700" s="44" t="s">
        <v>115</v>
      </c>
      <c r="C700" s="43" t="n">
        <v>1</v>
      </c>
      <c r="D700" s="33" t="str">
        <f aca="false">VLOOKUP(C700, Lookups_Metadata!$A$4:$B$7, 2, FALSE())</f>
        <v>Spring</v>
      </c>
      <c r="E700" s="43" t="n">
        <v>0</v>
      </c>
      <c r="F700" s="43" t="n">
        <v>2</v>
      </c>
      <c r="G700" s="43" t="n">
        <v>8</v>
      </c>
      <c r="H700" s="45" t="b">
        <f aca="false">FALSE()</f>
        <v>0</v>
      </c>
      <c r="I700" s="43" t="n">
        <v>2</v>
      </c>
      <c r="J700" s="33" t="str">
        <f aca="false">INDEX(Lookups_Metadata!$E$4:$E$10, MATCH(I700, Lookups_Metadata!$D$4:$D$10, 0))</f>
        <v>Tuesday</v>
      </c>
      <c r="K700" s="33" t="str">
        <f aca="false">IF(H700=TRUE(), "Holiday", IF(OR(I700=0, I700=6), "Weekend", "Weekday"))</f>
        <v>Weekday</v>
      </c>
      <c r="L700" s="33" t="str">
        <f aca="false">IF(AND(K700="Weekday", OR(AND(G700&gt;=7, G700&lt;=9), AND(G700&gt;=17, G700&lt;=19))), "Peak Commute", "Off-Peak")</f>
        <v>Peak Commute</v>
      </c>
      <c r="M700" s="43" t="n">
        <v>3</v>
      </c>
      <c r="N700" s="33" t="str">
        <f aca="false">VLOOKUP(M700, Lookups_Metadata!$G$4:$H$7, 2, FALSE())</f>
        <v>Light Snow / Light Rain</v>
      </c>
      <c r="O700" s="46" t="n">
        <v>0.16</v>
      </c>
      <c r="P700" s="46" t="n">
        <v>0.2273</v>
      </c>
      <c r="Q700" s="46" t="n">
        <f aca="false">IF(OR(P700="", ISBLANK(P700)), ROUND(0.9367*O700+0.0175, 4), P700)</f>
        <v>0.2273</v>
      </c>
      <c r="R700" s="33" t="str">
        <f aca="false">IF(OR(P700="", ISBLANK(P700)), "Imputed (Regression/Trend)", "Original")</f>
        <v>Original</v>
      </c>
      <c r="S700" s="46" t="n">
        <v>0.93</v>
      </c>
      <c r="T700" s="46" t="n">
        <v>0</v>
      </c>
      <c r="U700" s="18" t="n">
        <v>3</v>
      </c>
      <c r="V700" s="18" t="n">
        <v>132</v>
      </c>
      <c r="W700" s="18" t="n">
        <f aca="false">U700+V700</f>
        <v>135</v>
      </c>
      <c r="X700" s="47" t="n">
        <f aca="false">U700/W700</f>
        <v>0.0222222222222222</v>
      </c>
      <c r="Y700" s="47" t="n">
        <f aca="false">V700/W700</f>
        <v>0.977777777777778</v>
      </c>
      <c r="Z700" s="33" t="str">
        <f aca="false">IF(W700&gt;=150, "High Demand", IF(W700&gt;=50, "Moderate Demand", "Low Demand"))</f>
        <v>Moderate Demand</v>
      </c>
      <c r="AA700" s="45" t="str">
        <f aca="false">TEXT(G700, "00") &amp; ":00"</f>
        <v>08:00</v>
      </c>
      <c r="AB700" s="43" t="n">
        <f aca="false">YEAR(B700)</f>
        <v>2011</v>
      </c>
      <c r="AC700" s="33" t="str">
        <f aca="false">TEXT(B700, "mmmm")</f>
        <v>February</v>
      </c>
      <c r="AD700" s="43" t="n">
        <f aca="false">LEN(TEXT(B700, "YYYY-MM-DD"))</f>
        <v>10</v>
      </c>
      <c r="AE700" s="45" t="str">
        <f aca="false">LEFT(TEXT(B700, "YYYY-MM-DD"), 4)</f>
        <v>2011</v>
      </c>
      <c r="AF700" s="45" t="str">
        <f aca="false">RIGHT(TEXT(B700, "YYYY-MM-DD"), 2)</f>
        <v>01</v>
      </c>
    </row>
    <row r="701" customFormat="false" ht="15" hidden="false" customHeight="false" outlineLevel="0" collapsed="false">
      <c r="A701" s="37" t="n">
        <v>697</v>
      </c>
      <c r="B701" s="38" t="s">
        <v>115</v>
      </c>
      <c r="C701" s="37" t="n">
        <v>1</v>
      </c>
      <c r="D701" s="35" t="str">
        <f aca="false">VLOOKUP(C701, Lookups_Metadata!$A$4:$B$7, 2, FALSE())</f>
        <v>Spring</v>
      </c>
      <c r="E701" s="37" t="n">
        <v>0</v>
      </c>
      <c r="F701" s="37" t="n">
        <v>2</v>
      </c>
      <c r="G701" s="37" t="n">
        <v>9</v>
      </c>
      <c r="H701" s="39" t="b">
        <f aca="false">FALSE()</f>
        <v>0</v>
      </c>
      <c r="I701" s="37" t="n">
        <v>2</v>
      </c>
      <c r="J701" s="35" t="str">
        <f aca="false">INDEX(Lookups_Metadata!$E$4:$E$10, MATCH(I701, Lookups_Metadata!$D$4:$D$10, 0))</f>
        <v>Tuesday</v>
      </c>
      <c r="K701" s="35" t="str">
        <f aca="false">IF(H701=TRUE(), "Holiday", IF(OR(I701=0, I701=6), "Weekend", "Weekday"))</f>
        <v>Weekday</v>
      </c>
      <c r="L701" s="35" t="str">
        <f aca="false">IF(AND(K701="Weekday", OR(AND(G701&gt;=7, G701&lt;=9), AND(G701&gt;=17, G701&lt;=19))), "Peak Commute", "Off-Peak")</f>
        <v>Peak Commute</v>
      </c>
      <c r="M701" s="37" t="n">
        <v>2</v>
      </c>
      <c r="N701" s="35" t="str">
        <f aca="false">VLOOKUP(M701, Lookups_Metadata!$G$4:$H$7, 2, FALSE())</f>
        <v>Mist / Cloudy</v>
      </c>
      <c r="O701" s="40" t="n">
        <v>0.16</v>
      </c>
      <c r="P701" s="40" t="n">
        <v>0.2273</v>
      </c>
      <c r="Q701" s="40" t="n">
        <f aca="false">IF(OR(P701="", ISBLANK(P701)), ROUND(0.9367*O701+0.0175, 4), P701)</f>
        <v>0.2273</v>
      </c>
      <c r="R701" s="35" t="str">
        <f aca="false">IF(OR(P701="", ISBLANK(P701)), "Imputed (Regression/Trend)", "Original")</f>
        <v>Original</v>
      </c>
      <c r="S701" s="40" t="n">
        <v>0.93</v>
      </c>
      <c r="T701" s="40" t="n">
        <v>0</v>
      </c>
      <c r="U701" s="41" t="n">
        <v>2</v>
      </c>
      <c r="V701" s="41" t="n">
        <v>114</v>
      </c>
      <c r="W701" s="41" t="n">
        <f aca="false">U701+V701</f>
        <v>116</v>
      </c>
      <c r="X701" s="42" t="n">
        <f aca="false">U701/W701</f>
        <v>0.0172413793103448</v>
      </c>
      <c r="Y701" s="42" t="n">
        <f aca="false">V701/W701</f>
        <v>0.982758620689655</v>
      </c>
      <c r="Z701" s="35" t="str">
        <f aca="false">IF(W701&gt;=150, "High Demand", IF(W701&gt;=50, "Moderate Demand", "Low Demand"))</f>
        <v>Moderate Demand</v>
      </c>
      <c r="AA701" s="39" t="str">
        <f aca="false">TEXT(G701, "00") &amp; ":00"</f>
        <v>09:00</v>
      </c>
      <c r="AB701" s="37" t="n">
        <f aca="false">YEAR(B701)</f>
        <v>2011</v>
      </c>
      <c r="AC701" s="35" t="str">
        <f aca="false">TEXT(B701, "mmmm")</f>
        <v>February</v>
      </c>
      <c r="AD701" s="37" t="n">
        <f aca="false">LEN(TEXT(B701, "YYYY-MM-DD"))</f>
        <v>10</v>
      </c>
      <c r="AE701" s="39" t="str">
        <f aca="false">LEFT(TEXT(B701, "YYYY-MM-DD"), 4)</f>
        <v>2011</v>
      </c>
      <c r="AF701" s="39" t="str">
        <f aca="false">RIGHT(TEXT(B701, "YYYY-MM-DD"), 2)</f>
        <v>01</v>
      </c>
    </row>
    <row r="702" customFormat="false" ht="15" hidden="false" customHeight="false" outlineLevel="0" collapsed="false">
      <c r="A702" s="43" t="n">
        <v>698</v>
      </c>
      <c r="B702" s="44" t="s">
        <v>115</v>
      </c>
      <c r="C702" s="43" t="n">
        <v>1</v>
      </c>
      <c r="D702" s="33" t="str">
        <f aca="false">VLOOKUP(C702, Lookups_Metadata!$A$4:$B$7, 2, FALSE())</f>
        <v>Spring</v>
      </c>
      <c r="E702" s="43" t="n">
        <v>0</v>
      </c>
      <c r="F702" s="43" t="n">
        <v>2</v>
      </c>
      <c r="G702" s="43" t="n">
        <v>10</v>
      </c>
      <c r="H702" s="45" t="b">
        <f aca="false">FALSE()</f>
        <v>0</v>
      </c>
      <c r="I702" s="43" t="n">
        <v>2</v>
      </c>
      <c r="J702" s="33" t="str">
        <f aca="false">INDEX(Lookups_Metadata!$E$4:$E$10, MATCH(I702, Lookups_Metadata!$D$4:$D$10, 0))</f>
        <v>Tuesday</v>
      </c>
      <c r="K702" s="33" t="str">
        <f aca="false">IF(H702=TRUE(), "Holiday", IF(OR(I702=0, I702=6), "Weekend", "Weekday"))</f>
        <v>Weekday</v>
      </c>
      <c r="L702" s="33" t="str">
        <f aca="false">IF(AND(K702="Weekday", OR(AND(G702&gt;=7, G702&lt;=9), AND(G702&gt;=17, G702&lt;=19))), "Peak Commute", "Off-Peak")</f>
        <v>Off-Peak</v>
      </c>
      <c r="M702" s="43" t="n">
        <v>2</v>
      </c>
      <c r="N702" s="33" t="str">
        <f aca="false">VLOOKUP(M702, Lookups_Metadata!$G$4:$H$7, 2, FALSE())</f>
        <v>Mist / Cloudy</v>
      </c>
      <c r="O702" s="46" t="n">
        <v>0.16</v>
      </c>
      <c r="P702" s="46" t="n">
        <v>0.2273</v>
      </c>
      <c r="Q702" s="46" t="n">
        <f aca="false">IF(OR(P702="", ISBLANK(P702)), ROUND(0.9367*O702+0.0175, 4), P702)</f>
        <v>0.2273</v>
      </c>
      <c r="R702" s="33" t="str">
        <f aca="false">IF(OR(P702="", ISBLANK(P702)), "Imputed (Regression/Trend)", "Original")</f>
        <v>Original</v>
      </c>
      <c r="S702" s="46" t="n">
        <v>0.93</v>
      </c>
      <c r="T702" s="46" t="n">
        <v>0</v>
      </c>
      <c r="U702" s="18" t="n">
        <v>0</v>
      </c>
      <c r="V702" s="18" t="n">
        <v>47</v>
      </c>
      <c r="W702" s="18" t="n">
        <f aca="false">U702+V702</f>
        <v>47</v>
      </c>
      <c r="X702" s="47" t="n">
        <f aca="false">U702/W702</f>
        <v>0</v>
      </c>
      <c r="Y702" s="47" t="n">
        <f aca="false">V702/W702</f>
        <v>1</v>
      </c>
      <c r="Z702" s="33" t="str">
        <f aca="false">IF(W702&gt;=150, "High Demand", IF(W702&gt;=50, "Moderate Demand", "Low Demand"))</f>
        <v>Low Demand</v>
      </c>
      <c r="AA702" s="45" t="str">
        <f aca="false">TEXT(G702, "00") &amp; ":00"</f>
        <v>10:00</v>
      </c>
      <c r="AB702" s="43" t="n">
        <f aca="false">YEAR(B702)</f>
        <v>2011</v>
      </c>
      <c r="AC702" s="33" t="str">
        <f aca="false">TEXT(B702, "mmmm")</f>
        <v>February</v>
      </c>
      <c r="AD702" s="43" t="n">
        <f aca="false">LEN(TEXT(B702, "YYYY-MM-DD"))</f>
        <v>10</v>
      </c>
      <c r="AE702" s="45" t="str">
        <f aca="false">LEFT(TEXT(B702, "YYYY-MM-DD"), 4)</f>
        <v>2011</v>
      </c>
      <c r="AF702" s="45" t="str">
        <f aca="false">RIGHT(TEXT(B702, "YYYY-MM-DD"), 2)</f>
        <v>01</v>
      </c>
    </row>
    <row r="703" customFormat="false" ht="15" hidden="false" customHeight="false" outlineLevel="0" collapsed="false">
      <c r="A703" s="37" t="n">
        <v>699</v>
      </c>
      <c r="B703" s="38" t="s">
        <v>115</v>
      </c>
      <c r="C703" s="37" t="n">
        <v>1</v>
      </c>
      <c r="D703" s="35" t="str">
        <f aca="false">VLOOKUP(C703, Lookups_Metadata!$A$4:$B$7, 2, FALSE())</f>
        <v>Spring</v>
      </c>
      <c r="E703" s="37" t="n">
        <v>0</v>
      </c>
      <c r="F703" s="37" t="n">
        <v>2</v>
      </c>
      <c r="G703" s="37" t="n">
        <v>11</v>
      </c>
      <c r="H703" s="39" t="b">
        <f aca="false">FALSE()</f>
        <v>0</v>
      </c>
      <c r="I703" s="37" t="n">
        <v>2</v>
      </c>
      <c r="J703" s="35" t="str">
        <f aca="false">INDEX(Lookups_Metadata!$E$4:$E$10, MATCH(I703, Lookups_Metadata!$D$4:$D$10, 0))</f>
        <v>Tuesday</v>
      </c>
      <c r="K703" s="35" t="str">
        <f aca="false">IF(H703=TRUE(), "Holiday", IF(OR(I703=0, I703=6), "Weekend", "Weekday"))</f>
        <v>Weekday</v>
      </c>
      <c r="L703" s="35" t="str">
        <f aca="false">IF(AND(K703="Weekday", OR(AND(G703&gt;=7, G703&lt;=9), AND(G703&gt;=17, G703&lt;=19))), "Peak Commute", "Off-Peak")</f>
        <v>Off-Peak</v>
      </c>
      <c r="M703" s="37" t="n">
        <v>2</v>
      </c>
      <c r="N703" s="35" t="str">
        <f aca="false">VLOOKUP(M703, Lookups_Metadata!$G$4:$H$7, 2, FALSE())</f>
        <v>Mist / Cloudy</v>
      </c>
      <c r="O703" s="40" t="n">
        <v>0.18</v>
      </c>
      <c r="P703" s="40" t="n">
        <v>0.2424</v>
      </c>
      <c r="Q703" s="40" t="n">
        <f aca="false">IF(OR(P703="", ISBLANK(P703)), ROUND(0.9367*O703+0.0175, 4), P703)</f>
        <v>0.2424</v>
      </c>
      <c r="R703" s="35" t="str">
        <f aca="false">IF(OR(P703="", ISBLANK(P703)), "Imputed (Regression/Trend)", "Original")</f>
        <v>Original</v>
      </c>
      <c r="S703" s="40" t="n">
        <v>0.86</v>
      </c>
      <c r="T703" s="40" t="n">
        <v>0</v>
      </c>
      <c r="U703" s="41" t="n">
        <v>2</v>
      </c>
      <c r="V703" s="41" t="n">
        <v>49</v>
      </c>
      <c r="W703" s="41" t="n">
        <f aca="false">U703+V703</f>
        <v>51</v>
      </c>
      <c r="X703" s="42" t="n">
        <f aca="false">U703/W703</f>
        <v>0.0392156862745098</v>
      </c>
      <c r="Y703" s="42" t="n">
        <f aca="false">V703/W703</f>
        <v>0.96078431372549</v>
      </c>
      <c r="Z703" s="35" t="str">
        <f aca="false">IF(W703&gt;=150, "High Demand", IF(W703&gt;=50, "Moderate Demand", "Low Demand"))</f>
        <v>Moderate Demand</v>
      </c>
      <c r="AA703" s="39" t="str">
        <f aca="false">TEXT(G703, "00") &amp; ":00"</f>
        <v>11:00</v>
      </c>
      <c r="AB703" s="37" t="n">
        <f aca="false">YEAR(B703)</f>
        <v>2011</v>
      </c>
      <c r="AC703" s="35" t="str">
        <f aca="false">TEXT(B703, "mmmm")</f>
        <v>February</v>
      </c>
      <c r="AD703" s="37" t="n">
        <f aca="false">LEN(TEXT(B703, "YYYY-MM-DD"))</f>
        <v>10</v>
      </c>
      <c r="AE703" s="39" t="str">
        <f aca="false">LEFT(TEXT(B703, "YYYY-MM-DD"), 4)</f>
        <v>2011</v>
      </c>
      <c r="AF703" s="39" t="str">
        <f aca="false">RIGHT(TEXT(B703, "YYYY-MM-DD"), 2)</f>
        <v>01</v>
      </c>
    </row>
    <row r="704" customFormat="false" ht="15" hidden="false" customHeight="false" outlineLevel="0" collapsed="false">
      <c r="A704" s="43" t="n">
        <v>700</v>
      </c>
      <c r="B704" s="44" t="s">
        <v>115</v>
      </c>
      <c r="C704" s="43" t="n">
        <v>1</v>
      </c>
      <c r="D704" s="33" t="str">
        <f aca="false">VLOOKUP(C704, Lookups_Metadata!$A$4:$B$7, 2, FALSE())</f>
        <v>Spring</v>
      </c>
      <c r="E704" s="43" t="n">
        <v>0</v>
      </c>
      <c r="F704" s="43" t="n">
        <v>2</v>
      </c>
      <c r="G704" s="43" t="n">
        <v>12</v>
      </c>
      <c r="H704" s="45" t="b">
        <f aca="false">FALSE()</f>
        <v>0</v>
      </c>
      <c r="I704" s="43" t="n">
        <v>2</v>
      </c>
      <c r="J704" s="33" t="str">
        <f aca="false">INDEX(Lookups_Metadata!$E$4:$E$10, MATCH(I704, Lookups_Metadata!$D$4:$D$10, 0))</f>
        <v>Tuesday</v>
      </c>
      <c r="K704" s="33" t="str">
        <f aca="false">IF(H704=TRUE(), "Holiday", IF(OR(I704=0, I704=6), "Weekend", "Weekday"))</f>
        <v>Weekday</v>
      </c>
      <c r="L704" s="33" t="str">
        <f aca="false">IF(AND(K704="Weekday", OR(AND(G704&gt;=7, G704&lt;=9), AND(G704&gt;=17, G704&lt;=19))), "Peak Commute", "Off-Peak")</f>
        <v>Off-Peak</v>
      </c>
      <c r="M704" s="43" t="n">
        <v>2</v>
      </c>
      <c r="N704" s="33" t="str">
        <f aca="false">VLOOKUP(M704, Lookups_Metadata!$G$4:$H$7, 2, FALSE())</f>
        <v>Mist / Cloudy</v>
      </c>
      <c r="O704" s="46" t="n">
        <v>0.2</v>
      </c>
      <c r="P704" s="46" t="n">
        <v>0.2576</v>
      </c>
      <c r="Q704" s="46" t="n">
        <f aca="false">IF(OR(P704="", ISBLANK(P704)), ROUND(0.9367*O704+0.0175, 4), P704)</f>
        <v>0.2576</v>
      </c>
      <c r="R704" s="33" t="str">
        <f aca="false">IF(OR(P704="", ISBLANK(P704)), "Imputed (Regression/Trend)", "Original")</f>
        <v>Original</v>
      </c>
      <c r="S704" s="46" t="n">
        <v>0.86</v>
      </c>
      <c r="T704" s="46" t="n">
        <v>0</v>
      </c>
      <c r="U704" s="18" t="n">
        <v>2</v>
      </c>
      <c r="V704" s="18" t="n">
        <v>53</v>
      </c>
      <c r="W704" s="18" t="n">
        <f aca="false">U704+V704</f>
        <v>55</v>
      </c>
      <c r="X704" s="47" t="n">
        <f aca="false">U704/W704</f>
        <v>0.0363636363636364</v>
      </c>
      <c r="Y704" s="47" t="n">
        <f aca="false">V704/W704</f>
        <v>0.963636363636364</v>
      </c>
      <c r="Z704" s="33" t="str">
        <f aca="false">IF(W704&gt;=150, "High Demand", IF(W704&gt;=50, "Moderate Demand", "Low Demand"))</f>
        <v>Moderate Demand</v>
      </c>
      <c r="AA704" s="45" t="str">
        <f aca="false">TEXT(G704, "00") &amp; ":00"</f>
        <v>12:00</v>
      </c>
      <c r="AB704" s="43" t="n">
        <f aca="false">YEAR(B704)</f>
        <v>2011</v>
      </c>
      <c r="AC704" s="33" t="str">
        <f aca="false">TEXT(B704, "mmmm")</f>
        <v>February</v>
      </c>
      <c r="AD704" s="43" t="n">
        <f aca="false">LEN(TEXT(B704, "YYYY-MM-DD"))</f>
        <v>10</v>
      </c>
      <c r="AE704" s="45" t="str">
        <f aca="false">LEFT(TEXT(B704, "YYYY-MM-DD"), 4)</f>
        <v>2011</v>
      </c>
      <c r="AF704" s="45" t="str">
        <f aca="false">RIGHT(TEXT(B704, "YYYY-MM-DD"), 2)</f>
        <v>01</v>
      </c>
    </row>
    <row r="705" customFormat="false" ht="15" hidden="false" customHeight="false" outlineLevel="0" collapsed="false">
      <c r="A705" s="37" t="n">
        <v>701</v>
      </c>
      <c r="B705" s="38" t="s">
        <v>115</v>
      </c>
      <c r="C705" s="37" t="n">
        <v>1</v>
      </c>
      <c r="D705" s="35" t="str">
        <f aca="false">VLOOKUP(C705, Lookups_Metadata!$A$4:$B$7, 2, FALSE())</f>
        <v>Spring</v>
      </c>
      <c r="E705" s="37" t="n">
        <v>0</v>
      </c>
      <c r="F705" s="37" t="n">
        <v>2</v>
      </c>
      <c r="G705" s="37" t="n">
        <v>13</v>
      </c>
      <c r="H705" s="39" t="b">
        <f aca="false">FALSE()</f>
        <v>0</v>
      </c>
      <c r="I705" s="37" t="n">
        <v>2</v>
      </c>
      <c r="J705" s="35" t="str">
        <f aca="false">INDEX(Lookups_Metadata!$E$4:$E$10, MATCH(I705, Lookups_Metadata!$D$4:$D$10, 0))</f>
        <v>Tuesday</v>
      </c>
      <c r="K705" s="35" t="str">
        <f aca="false">IF(H705=TRUE(), "Holiday", IF(OR(I705=0, I705=6), "Weekend", "Weekday"))</f>
        <v>Weekday</v>
      </c>
      <c r="L705" s="35" t="str">
        <f aca="false">IF(AND(K705="Weekday", OR(AND(G705&gt;=7, G705&lt;=9), AND(G705&gt;=17, G705&lt;=19))), "Peak Commute", "Off-Peak")</f>
        <v>Off-Peak</v>
      </c>
      <c r="M705" s="37" t="n">
        <v>2</v>
      </c>
      <c r="N705" s="35" t="str">
        <f aca="false">VLOOKUP(M705, Lookups_Metadata!$G$4:$H$7, 2, FALSE())</f>
        <v>Mist / Cloudy</v>
      </c>
      <c r="O705" s="40" t="n">
        <v>0.2</v>
      </c>
      <c r="P705" s="40" t="n">
        <v>0.2576</v>
      </c>
      <c r="Q705" s="40" t="n">
        <f aca="false">IF(OR(P705="", ISBLANK(P705)), ROUND(0.9367*O705+0.0175, 4), P705)</f>
        <v>0.2576</v>
      </c>
      <c r="R705" s="35" t="str">
        <f aca="false">IF(OR(P705="", ISBLANK(P705)), "Imputed (Regression/Trend)", "Original")</f>
        <v>Original</v>
      </c>
      <c r="S705" s="40" t="n">
        <v>0.86</v>
      </c>
      <c r="T705" s="40" t="n">
        <v>0</v>
      </c>
      <c r="U705" s="41" t="n">
        <v>3</v>
      </c>
      <c r="V705" s="41" t="n">
        <v>49</v>
      </c>
      <c r="W705" s="41" t="n">
        <f aca="false">U705+V705</f>
        <v>52</v>
      </c>
      <c r="X705" s="42" t="n">
        <f aca="false">U705/W705</f>
        <v>0.0576923076923077</v>
      </c>
      <c r="Y705" s="42" t="n">
        <f aca="false">V705/W705</f>
        <v>0.942307692307692</v>
      </c>
      <c r="Z705" s="35" t="str">
        <f aca="false">IF(W705&gt;=150, "High Demand", IF(W705&gt;=50, "Moderate Demand", "Low Demand"))</f>
        <v>Moderate Demand</v>
      </c>
      <c r="AA705" s="39" t="str">
        <f aca="false">TEXT(G705, "00") &amp; ":00"</f>
        <v>13:00</v>
      </c>
      <c r="AB705" s="37" t="n">
        <f aca="false">YEAR(B705)</f>
        <v>2011</v>
      </c>
      <c r="AC705" s="35" t="str">
        <f aca="false">TEXT(B705, "mmmm")</f>
        <v>February</v>
      </c>
      <c r="AD705" s="37" t="n">
        <f aca="false">LEN(TEXT(B705, "YYYY-MM-DD"))</f>
        <v>10</v>
      </c>
      <c r="AE705" s="39" t="str">
        <f aca="false">LEFT(TEXT(B705, "YYYY-MM-DD"), 4)</f>
        <v>2011</v>
      </c>
      <c r="AF705" s="39" t="str">
        <f aca="false">RIGHT(TEXT(B705, "YYYY-MM-DD"), 2)</f>
        <v>01</v>
      </c>
    </row>
    <row r="706" customFormat="false" ht="15" hidden="false" customHeight="false" outlineLevel="0" collapsed="false">
      <c r="A706" s="43" t="n">
        <v>702</v>
      </c>
      <c r="B706" s="44" t="s">
        <v>115</v>
      </c>
      <c r="C706" s="43" t="n">
        <v>1</v>
      </c>
      <c r="D706" s="33" t="str">
        <f aca="false">VLOOKUP(C706, Lookups_Metadata!$A$4:$B$7, 2, FALSE())</f>
        <v>Spring</v>
      </c>
      <c r="E706" s="43" t="n">
        <v>0</v>
      </c>
      <c r="F706" s="43" t="n">
        <v>2</v>
      </c>
      <c r="G706" s="43" t="n">
        <v>14</v>
      </c>
      <c r="H706" s="45" t="b">
        <f aca="false">FALSE()</f>
        <v>0</v>
      </c>
      <c r="I706" s="43" t="n">
        <v>2</v>
      </c>
      <c r="J706" s="33" t="str">
        <f aca="false">INDEX(Lookups_Metadata!$E$4:$E$10, MATCH(I706, Lookups_Metadata!$D$4:$D$10, 0))</f>
        <v>Tuesday</v>
      </c>
      <c r="K706" s="33" t="str">
        <f aca="false">IF(H706=TRUE(), "Holiday", IF(OR(I706=0, I706=6), "Weekend", "Weekday"))</f>
        <v>Weekday</v>
      </c>
      <c r="L706" s="33" t="str">
        <f aca="false">IF(AND(K706="Weekday", OR(AND(G706&gt;=7, G706&lt;=9), AND(G706&gt;=17, G706&lt;=19))), "Peak Commute", "Off-Peak")</f>
        <v>Off-Peak</v>
      </c>
      <c r="M706" s="43" t="n">
        <v>2</v>
      </c>
      <c r="N706" s="33" t="str">
        <f aca="false">VLOOKUP(M706, Lookups_Metadata!$G$4:$H$7, 2, FALSE())</f>
        <v>Mist / Cloudy</v>
      </c>
      <c r="O706" s="46" t="n">
        <v>0.22</v>
      </c>
      <c r="P706" s="46" t="n">
        <v>0.2576</v>
      </c>
      <c r="Q706" s="46" t="n">
        <f aca="false">IF(OR(P706="", ISBLANK(P706)), ROUND(0.9367*O706+0.0175, 4), P706)</f>
        <v>0.2576</v>
      </c>
      <c r="R706" s="33" t="str">
        <f aca="false">IF(OR(P706="", ISBLANK(P706)), "Imputed (Regression/Trend)", "Original")</f>
        <v>Original</v>
      </c>
      <c r="S706" s="46" t="n">
        <v>0.8</v>
      </c>
      <c r="T706" s="46" t="n">
        <v>0.0896</v>
      </c>
      <c r="U706" s="18" t="n">
        <v>5</v>
      </c>
      <c r="V706" s="18" t="n">
        <v>49</v>
      </c>
      <c r="W706" s="18" t="n">
        <f aca="false">U706+V706</f>
        <v>54</v>
      </c>
      <c r="X706" s="47" t="n">
        <f aca="false">U706/W706</f>
        <v>0.0925925925925926</v>
      </c>
      <c r="Y706" s="47" t="n">
        <f aca="false">V706/W706</f>
        <v>0.907407407407407</v>
      </c>
      <c r="Z706" s="33" t="str">
        <f aca="false">IF(W706&gt;=150, "High Demand", IF(W706&gt;=50, "Moderate Demand", "Low Demand"))</f>
        <v>Moderate Demand</v>
      </c>
      <c r="AA706" s="45" t="str">
        <f aca="false">TEXT(G706, "00") &amp; ":00"</f>
        <v>14:00</v>
      </c>
      <c r="AB706" s="43" t="n">
        <f aca="false">YEAR(B706)</f>
        <v>2011</v>
      </c>
      <c r="AC706" s="33" t="str">
        <f aca="false">TEXT(B706, "mmmm")</f>
        <v>February</v>
      </c>
      <c r="AD706" s="43" t="n">
        <f aca="false">LEN(TEXT(B706, "YYYY-MM-DD"))</f>
        <v>10</v>
      </c>
      <c r="AE706" s="45" t="str">
        <f aca="false">LEFT(TEXT(B706, "YYYY-MM-DD"), 4)</f>
        <v>2011</v>
      </c>
      <c r="AF706" s="45" t="str">
        <f aca="false">RIGHT(TEXT(B706, "YYYY-MM-DD"), 2)</f>
        <v>01</v>
      </c>
    </row>
    <row r="707" customFormat="false" ht="15" hidden="false" customHeight="false" outlineLevel="0" collapsed="false">
      <c r="A707" s="37" t="n">
        <v>703</v>
      </c>
      <c r="B707" s="38" t="s">
        <v>115</v>
      </c>
      <c r="C707" s="37" t="n">
        <v>1</v>
      </c>
      <c r="D707" s="35" t="str">
        <f aca="false">VLOOKUP(C707, Lookups_Metadata!$A$4:$B$7, 2, FALSE())</f>
        <v>Spring</v>
      </c>
      <c r="E707" s="37" t="n">
        <v>0</v>
      </c>
      <c r="F707" s="37" t="n">
        <v>2</v>
      </c>
      <c r="G707" s="37" t="n">
        <v>15</v>
      </c>
      <c r="H707" s="39" t="b">
        <f aca="false">FALSE()</f>
        <v>0</v>
      </c>
      <c r="I707" s="37" t="n">
        <v>2</v>
      </c>
      <c r="J707" s="35" t="str">
        <f aca="false">INDEX(Lookups_Metadata!$E$4:$E$10, MATCH(I707, Lookups_Metadata!$D$4:$D$10, 0))</f>
        <v>Tuesday</v>
      </c>
      <c r="K707" s="35" t="str">
        <f aca="false">IF(H707=TRUE(), "Holiday", IF(OR(I707=0, I707=6), "Weekend", "Weekday"))</f>
        <v>Weekday</v>
      </c>
      <c r="L707" s="35" t="str">
        <f aca="false">IF(AND(K707="Weekday", OR(AND(G707&gt;=7, G707&lt;=9), AND(G707&gt;=17, G707&lt;=19))), "Peak Commute", "Off-Peak")</f>
        <v>Off-Peak</v>
      </c>
      <c r="M707" s="37" t="n">
        <v>2</v>
      </c>
      <c r="N707" s="35" t="str">
        <f aca="false">VLOOKUP(M707, Lookups_Metadata!$G$4:$H$7, 2, FALSE())</f>
        <v>Mist / Cloudy</v>
      </c>
      <c r="O707" s="40" t="n">
        <v>0.24</v>
      </c>
      <c r="P707" s="40" t="n">
        <v>0.2879</v>
      </c>
      <c r="Q707" s="40" t="n">
        <f aca="false">IF(OR(P707="", ISBLANK(P707)), ROUND(0.9367*O707+0.0175, 4), P707)</f>
        <v>0.2879</v>
      </c>
      <c r="R707" s="35" t="str">
        <f aca="false">IF(OR(P707="", ISBLANK(P707)), "Imputed (Regression/Trend)", "Original")</f>
        <v>Original</v>
      </c>
      <c r="S707" s="40" t="n">
        <v>0.75</v>
      </c>
      <c r="T707" s="40" t="n">
        <v>0</v>
      </c>
      <c r="U707" s="41" t="n">
        <v>7</v>
      </c>
      <c r="V707" s="41" t="n">
        <v>45</v>
      </c>
      <c r="W707" s="41" t="n">
        <f aca="false">U707+V707</f>
        <v>52</v>
      </c>
      <c r="X707" s="42" t="n">
        <f aca="false">U707/W707</f>
        <v>0.134615384615385</v>
      </c>
      <c r="Y707" s="42" t="n">
        <f aca="false">V707/W707</f>
        <v>0.865384615384615</v>
      </c>
      <c r="Z707" s="35" t="str">
        <f aca="false">IF(W707&gt;=150, "High Demand", IF(W707&gt;=50, "Moderate Demand", "Low Demand"))</f>
        <v>Moderate Demand</v>
      </c>
      <c r="AA707" s="39" t="str">
        <f aca="false">TEXT(G707, "00") &amp; ":00"</f>
        <v>15:00</v>
      </c>
      <c r="AB707" s="37" t="n">
        <f aca="false">YEAR(B707)</f>
        <v>2011</v>
      </c>
      <c r="AC707" s="35" t="str">
        <f aca="false">TEXT(B707, "mmmm")</f>
        <v>February</v>
      </c>
      <c r="AD707" s="37" t="n">
        <f aca="false">LEN(TEXT(B707, "YYYY-MM-DD"))</f>
        <v>10</v>
      </c>
      <c r="AE707" s="39" t="str">
        <f aca="false">LEFT(TEXT(B707, "YYYY-MM-DD"), 4)</f>
        <v>2011</v>
      </c>
      <c r="AF707" s="39" t="str">
        <f aca="false">RIGHT(TEXT(B707, "YYYY-MM-DD"), 2)</f>
        <v>01</v>
      </c>
    </row>
    <row r="708" customFormat="false" ht="15" hidden="false" customHeight="false" outlineLevel="0" collapsed="false">
      <c r="A708" s="43" t="n">
        <v>704</v>
      </c>
      <c r="B708" s="44" t="s">
        <v>115</v>
      </c>
      <c r="C708" s="43" t="n">
        <v>1</v>
      </c>
      <c r="D708" s="33" t="str">
        <f aca="false">VLOOKUP(C708, Lookups_Metadata!$A$4:$B$7, 2, FALSE())</f>
        <v>Spring</v>
      </c>
      <c r="E708" s="43" t="n">
        <v>0</v>
      </c>
      <c r="F708" s="43" t="n">
        <v>2</v>
      </c>
      <c r="G708" s="43" t="n">
        <v>16</v>
      </c>
      <c r="H708" s="45" t="b">
        <f aca="false">FALSE()</f>
        <v>0</v>
      </c>
      <c r="I708" s="43" t="n">
        <v>2</v>
      </c>
      <c r="J708" s="33" t="str">
        <f aca="false">INDEX(Lookups_Metadata!$E$4:$E$10, MATCH(I708, Lookups_Metadata!$D$4:$D$10, 0))</f>
        <v>Tuesday</v>
      </c>
      <c r="K708" s="33" t="str">
        <f aca="false">IF(H708=TRUE(), "Holiday", IF(OR(I708=0, I708=6), "Weekend", "Weekday"))</f>
        <v>Weekday</v>
      </c>
      <c r="L708" s="33" t="str">
        <f aca="false">IF(AND(K708="Weekday", OR(AND(G708&gt;=7, G708&lt;=9), AND(G708&gt;=17, G708&lt;=19))), "Peak Commute", "Off-Peak")</f>
        <v>Off-Peak</v>
      </c>
      <c r="M708" s="43" t="n">
        <v>2</v>
      </c>
      <c r="N708" s="33" t="str">
        <f aca="false">VLOOKUP(M708, Lookups_Metadata!$G$4:$H$7, 2, FALSE())</f>
        <v>Mist / Cloudy</v>
      </c>
      <c r="O708" s="46" t="n">
        <v>0.24</v>
      </c>
      <c r="P708" s="46" t="n">
        <v>0.2424</v>
      </c>
      <c r="Q708" s="46" t="n">
        <f aca="false">IF(OR(P708="", ISBLANK(P708)), ROUND(0.9367*O708+0.0175, 4), P708)</f>
        <v>0.2424</v>
      </c>
      <c r="R708" s="33" t="str">
        <f aca="false">IF(OR(P708="", ISBLANK(P708)), "Imputed (Regression/Trend)", "Original")</f>
        <v>Original</v>
      </c>
      <c r="S708" s="46" t="n">
        <v>0.75</v>
      </c>
      <c r="T708" s="46" t="n">
        <v>0.1343</v>
      </c>
      <c r="U708" s="18" t="n">
        <v>3</v>
      </c>
      <c r="V708" s="18" t="n">
        <v>61</v>
      </c>
      <c r="W708" s="18" t="n">
        <f aca="false">U708+V708</f>
        <v>64</v>
      </c>
      <c r="X708" s="47" t="n">
        <f aca="false">U708/W708</f>
        <v>0.046875</v>
      </c>
      <c r="Y708" s="47" t="n">
        <f aca="false">V708/W708</f>
        <v>0.953125</v>
      </c>
      <c r="Z708" s="33" t="str">
        <f aca="false">IF(W708&gt;=150, "High Demand", IF(W708&gt;=50, "Moderate Demand", "Low Demand"))</f>
        <v>Moderate Demand</v>
      </c>
      <c r="AA708" s="45" t="str">
        <f aca="false">TEXT(G708, "00") &amp; ":00"</f>
        <v>16:00</v>
      </c>
      <c r="AB708" s="43" t="n">
        <f aca="false">YEAR(B708)</f>
        <v>2011</v>
      </c>
      <c r="AC708" s="33" t="str">
        <f aca="false">TEXT(B708, "mmmm")</f>
        <v>February</v>
      </c>
      <c r="AD708" s="43" t="n">
        <f aca="false">LEN(TEXT(B708, "YYYY-MM-DD"))</f>
        <v>10</v>
      </c>
      <c r="AE708" s="45" t="str">
        <f aca="false">LEFT(TEXT(B708, "YYYY-MM-DD"), 4)</f>
        <v>2011</v>
      </c>
      <c r="AF708" s="45" t="str">
        <f aca="false">RIGHT(TEXT(B708, "YYYY-MM-DD"), 2)</f>
        <v>01</v>
      </c>
    </row>
    <row r="709" customFormat="false" ht="15" hidden="false" customHeight="false" outlineLevel="0" collapsed="false">
      <c r="A709" s="37" t="n">
        <v>705</v>
      </c>
      <c r="B709" s="38" t="s">
        <v>115</v>
      </c>
      <c r="C709" s="37" t="n">
        <v>1</v>
      </c>
      <c r="D709" s="35" t="str">
        <f aca="false">VLOOKUP(C709, Lookups_Metadata!$A$4:$B$7, 2, FALSE())</f>
        <v>Spring</v>
      </c>
      <c r="E709" s="37" t="n">
        <v>0</v>
      </c>
      <c r="F709" s="37" t="n">
        <v>2</v>
      </c>
      <c r="G709" s="37" t="n">
        <v>17</v>
      </c>
      <c r="H709" s="39" t="b">
        <f aca="false">FALSE()</f>
        <v>0</v>
      </c>
      <c r="I709" s="37" t="n">
        <v>2</v>
      </c>
      <c r="J709" s="35" t="str">
        <f aca="false">INDEX(Lookups_Metadata!$E$4:$E$10, MATCH(I709, Lookups_Metadata!$D$4:$D$10, 0))</f>
        <v>Tuesday</v>
      </c>
      <c r="K709" s="35" t="str">
        <f aca="false">IF(H709=TRUE(), "Holiday", IF(OR(I709=0, I709=6), "Weekend", "Weekday"))</f>
        <v>Weekday</v>
      </c>
      <c r="L709" s="35" t="str">
        <f aca="false">IF(AND(K709="Weekday", OR(AND(G709&gt;=7, G709&lt;=9), AND(G709&gt;=17, G709&lt;=19))), "Peak Commute", "Off-Peak")</f>
        <v>Peak Commute</v>
      </c>
      <c r="M709" s="37" t="n">
        <v>2</v>
      </c>
      <c r="N709" s="35" t="str">
        <f aca="false">VLOOKUP(M709, Lookups_Metadata!$G$4:$H$7, 2, FALSE())</f>
        <v>Mist / Cloudy</v>
      </c>
      <c r="O709" s="40" t="n">
        <v>0.24</v>
      </c>
      <c r="P709" s="40" t="n">
        <v>0.2879</v>
      </c>
      <c r="Q709" s="40" t="n">
        <f aca="false">IF(OR(P709="", ISBLANK(P709)), ROUND(0.9367*O709+0.0175, 4), P709)</f>
        <v>0.2879</v>
      </c>
      <c r="R709" s="35" t="str">
        <f aca="false">IF(OR(P709="", ISBLANK(P709)), "Imputed (Regression/Trend)", "Original")</f>
        <v>Original</v>
      </c>
      <c r="S709" s="40" t="n">
        <v>0.75</v>
      </c>
      <c r="T709" s="40" t="n">
        <v>0</v>
      </c>
      <c r="U709" s="41" t="n">
        <v>4</v>
      </c>
      <c r="V709" s="41" t="n">
        <v>172</v>
      </c>
      <c r="W709" s="41" t="n">
        <f aca="false">U709+V709</f>
        <v>176</v>
      </c>
      <c r="X709" s="42" t="n">
        <f aca="false">U709/W709</f>
        <v>0.0227272727272727</v>
      </c>
      <c r="Y709" s="42" t="n">
        <f aca="false">V709/W709</f>
        <v>0.977272727272727</v>
      </c>
      <c r="Z709" s="35" t="str">
        <f aca="false">IF(W709&gt;=150, "High Demand", IF(W709&gt;=50, "Moderate Demand", "Low Demand"))</f>
        <v>High Demand</v>
      </c>
      <c r="AA709" s="39" t="str">
        <f aca="false">TEXT(G709, "00") &amp; ":00"</f>
        <v>17:00</v>
      </c>
      <c r="AB709" s="37" t="n">
        <f aca="false">YEAR(B709)</f>
        <v>2011</v>
      </c>
      <c r="AC709" s="35" t="str">
        <f aca="false">TEXT(B709, "mmmm")</f>
        <v>February</v>
      </c>
      <c r="AD709" s="37" t="n">
        <f aca="false">LEN(TEXT(B709, "YYYY-MM-DD"))</f>
        <v>10</v>
      </c>
      <c r="AE709" s="39" t="str">
        <f aca="false">LEFT(TEXT(B709, "YYYY-MM-DD"), 4)</f>
        <v>2011</v>
      </c>
      <c r="AF709" s="39" t="str">
        <f aca="false">RIGHT(TEXT(B709, "YYYY-MM-DD"), 2)</f>
        <v>01</v>
      </c>
    </row>
    <row r="710" customFormat="false" ht="15" hidden="false" customHeight="false" outlineLevel="0" collapsed="false">
      <c r="A710" s="43" t="n">
        <v>706</v>
      </c>
      <c r="B710" s="44" t="s">
        <v>115</v>
      </c>
      <c r="C710" s="43" t="n">
        <v>1</v>
      </c>
      <c r="D710" s="33" t="str">
        <f aca="false">VLOOKUP(C710, Lookups_Metadata!$A$4:$B$7, 2, FALSE())</f>
        <v>Spring</v>
      </c>
      <c r="E710" s="43" t="n">
        <v>0</v>
      </c>
      <c r="F710" s="43" t="n">
        <v>2</v>
      </c>
      <c r="G710" s="43" t="n">
        <v>18</v>
      </c>
      <c r="H710" s="45" t="b">
        <f aca="false">FALSE()</f>
        <v>0</v>
      </c>
      <c r="I710" s="43" t="n">
        <v>2</v>
      </c>
      <c r="J710" s="33" t="str">
        <f aca="false">INDEX(Lookups_Metadata!$E$4:$E$10, MATCH(I710, Lookups_Metadata!$D$4:$D$10, 0))</f>
        <v>Tuesday</v>
      </c>
      <c r="K710" s="33" t="str">
        <f aca="false">IF(H710=TRUE(), "Holiday", IF(OR(I710=0, I710=6), "Weekend", "Weekday"))</f>
        <v>Weekday</v>
      </c>
      <c r="L710" s="33" t="str">
        <f aca="false">IF(AND(K710="Weekday", OR(AND(G710&gt;=7, G710&lt;=9), AND(G710&gt;=17, G710&lt;=19))), "Peak Commute", "Off-Peak")</f>
        <v>Peak Commute</v>
      </c>
      <c r="M710" s="43" t="n">
        <v>2</v>
      </c>
      <c r="N710" s="33" t="str">
        <f aca="false">VLOOKUP(M710, Lookups_Metadata!$G$4:$H$7, 2, FALSE())</f>
        <v>Mist / Cloudy</v>
      </c>
      <c r="O710" s="46" t="n">
        <v>0.24</v>
      </c>
      <c r="P710" s="46" t="n">
        <v>0.2576</v>
      </c>
      <c r="Q710" s="46" t="n">
        <f aca="false">IF(OR(P710="", ISBLANK(P710)), ROUND(0.9367*O710+0.0175, 4), P710)</f>
        <v>0.2576</v>
      </c>
      <c r="R710" s="33" t="str">
        <f aca="false">IF(OR(P710="", ISBLANK(P710)), "Imputed (Regression/Trend)", "Original")</f>
        <v>Original</v>
      </c>
      <c r="S710" s="46" t="n">
        <v>0.81</v>
      </c>
      <c r="T710" s="46" t="n">
        <v>0.1045</v>
      </c>
      <c r="U710" s="18" t="n">
        <v>3</v>
      </c>
      <c r="V710" s="18" t="n">
        <v>165</v>
      </c>
      <c r="W710" s="18" t="n">
        <f aca="false">U710+V710</f>
        <v>168</v>
      </c>
      <c r="X710" s="47" t="n">
        <f aca="false">U710/W710</f>
        <v>0.0178571428571429</v>
      </c>
      <c r="Y710" s="47" t="n">
        <f aca="false">V710/W710</f>
        <v>0.982142857142857</v>
      </c>
      <c r="Z710" s="33" t="str">
        <f aca="false">IF(W710&gt;=150, "High Demand", IF(W710&gt;=50, "Moderate Demand", "Low Demand"))</f>
        <v>High Demand</v>
      </c>
      <c r="AA710" s="45" t="str">
        <f aca="false">TEXT(G710, "00") &amp; ":00"</f>
        <v>18:00</v>
      </c>
      <c r="AB710" s="43" t="n">
        <f aca="false">YEAR(B710)</f>
        <v>2011</v>
      </c>
      <c r="AC710" s="33" t="str">
        <f aca="false">TEXT(B710, "mmmm")</f>
        <v>February</v>
      </c>
      <c r="AD710" s="43" t="n">
        <f aca="false">LEN(TEXT(B710, "YYYY-MM-DD"))</f>
        <v>10</v>
      </c>
      <c r="AE710" s="45" t="str">
        <f aca="false">LEFT(TEXT(B710, "YYYY-MM-DD"), 4)</f>
        <v>2011</v>
      </c>
      <c r="AF710" s="45" t="str">
        <f aca="false">RIGHT(TEXT(B710, "YYYY-MM-DD"), 2)</f>
        <v>01</v>
      </c>
    </row>
    <row r="711" customFormat="false" ht="15" hidden="false" customHeight="false" outlineLevel="0" collapsed="false">
      <c r="A711" s="37" t="n">
        <v>707</v>
      </c>
      <c r="B711" s="38" t="s">
        <v>115</v>
      </c>
      <c r="C711" s="37" t="n">
        <v>1</v>
      </c>
      <c r="D711" s="35" t="str">
        <f aca="false">VLOOKUP(C711, Lookups_Metadata!$A$4:$B$7, 2, FALSE())</f>
        <v>Spring</v>
      </c>
      <c r="E711" s="37" t="n">
        <v>0</v>
      </c>
      <c r="F711" s="37" t="n">
        <v>2</v>
      </c>
      <c r="G711" s="37" t="n">
        <v>19</v>
      </c>
      <c r="H711" s="39" t="b">
        <f aca="false">FALSE()</f>
        <v>0</v>
      </c>
      <c r="I711" s="37" t="n">
        <v>2</v>
      </c>
      <c r="J711" s="35" t="str">
        <f aca="false">INDEX(Lookups_Metadata!$E$4:$E$10, MATCH(I711, Lookups_Metadata!$D$4:$D$10, 0))</f>
        <v>Tuesday</v>
      </c>
      <c r="K711" s="35" t="str">
        <f aca="false">IF(H711=TRUE(), "Holiday", IF(OR(I711=0, I711=6), "Weekend", "Weekday"))</f>
        <v>Weekday</v>
      </c>
      <c r="L711" s="35" t="str">
        <f aca="false">IF(AND(K711="Weekday", OR(AND(G711&gt;=7, G711&lt;=9), AND(G711&gt;=17, G711&lt;=19))), "Peak Commute", "Off-Peak")</f>
        <v>Peak Commute</v>
      </c>
      <c r="M711" s="37" t="n">
        <v>2</v>
      </c>
      <c r="N711" s="35" t="str">
        <f aca="false">VLOOKUP(M711, Lookups_Metadata!$G$4:$H$7, 2, FALSE())</f>
        <v>Mist / Cloudy</v>
      </c>
      <c r="O711" s="40" t="n">
        <v>0.24</v>
      </c>
      <c r="P711" s="40" t="n">
        <v>0.2424</v>
      </c>
      <c r="Q711" s="40" t="n">
        <f aca="false">IF(OR(P711="", ISBLANK(P711)), ROUND(0.9367*O711+0.0175, 4), P711)</f>
        <v>0.2424</v>
      </c>
      <c r="R711" s="35" t="str">
        <f aca="false">IF(OR(P711="", ISBLANK(P711)), "Imputed (Regression/Trend)", "Original")</f>
        <v>Original</v>
      </c>
      <c r="S711" s="40" t="n">
        <v>0.81</v>
      </c>
      <c r="T711" s="40" t="n">
        <v>0.1343</v>
      </c>
      <c r="U711" s="41" t="n">
        <v>3</v>
      </c>
      <c r="V711" s="41" t="n">
        <v>105</v>
      </c>
      <c r="W711" s="41" t="n">
        <f aca="false">U711+V711</f>
        <v>108</v>
      </c>
      <c r="X711" s="42" t="n">
        <f aca="false">U711/W711</f>
        <v>0.0277777777777778</v>
      </c>
      <c r="Y711" s="42" t="n">
        <f aca="false">V711/W711</f>
        <v>0.972222222222222</v>
      </c>
      <c r="Z711" s="35" t="str">
        <f aca="false">IF(W711&gt;=150, "High Demand", IF(W711&gt;=50, "Moderate Demand", "Low Demand"))</f>
        <v>Moderate Demand</v>
      </c>
      <c r="AA711" s="39" t="str">
        <f aca="false">TEXT(G711, "00") &amp; ":00"</f>
        <v>19:00</v>
      </c>
      <c r="AB711" s="37" t="n">
        <f aca="false">YEAR(B711)</f>
        <v>2011</v>
      </c>
      <c r="AC711" s="35" t="str">
        <f aca="false">TEXT(B711, "mmmm")</f>
        <v>February</v>
      </c>
      <c r="AD711" s="37" t="n">
        <f aca="false">LEN(TEXT(B711, "YYYY-MM-DD"))</f>
        <v>10</v>
      </c>
      <c r="AE711" s="39" t="str">
        <f aca="false">LEFT(TEXT(B711, "YYYY-MM-DD"), 4)</f>
        <v>2011</v>
      </c>
      <c r="AF711" s="39" t="str">
        <f aca="false">RIGHT(TEXT(B711, "YYYY-MM-DD"), 2)</f>
        <v>01</v>
      </c>
    </row>
    <row r="712" customFormat="false" ht="15" hidden="false" customHeight="false" outlineLevel="0" collapsed="false">
      <c r="A712" s="43" t="n">
        <v>708</v>
      </c>
      <c r="B712" s="44" t="s">
        <v>115</v>
      </c>
      <c r="C712" s="43" t="n">
        <v>1</v>
      </c>
      <c r="D712" s="33" t="str">
        <f aca="false">VLOOKUP(C712, Lookups_Metadata!$A$4:$B$7, 2, FALSE())</f>
        <v>Spring</v>
      </c>
      <c r="E712" s="43" t="n">
        <v>0</v>
      </c>
      <c r="F712" s="43" t="n">
        <v>2</v>
      </c>
      <c r="G712" s="43" t="n">
        <v>20</v>
      </c>
      <c r="H712" s="45" t="b">
        <f aca="false">FALSE()</f>
        <v>0</v>
      </c>
      <c r="I712" s="43" t="n">
        <v>2</v>
      </c>
      <c r="J712" s="33" t="str">
        <f aca="false">INDEX(Lookups_Metadata!$E$4:$E$10, MATCH(I712, Lookups_Metadata!$D$4:$D$10, 0))</f>
        <v>Tuesday</v>
      </c>
      <c r="K712" s="33" t="str">
        <f aca="false">IF(H712=TRUE(), "Holiday", IF(OR(I712=0, I712=6), "Weekend", "Weekday"))</f>
        <v>Weekday</v>
      </c>
      <c r="L712" s="33" t="str">
        <f aca="false">IF(AND(K712="Weekday", OR(AND(G712&gt;=7, G712&lt;=9), AND(G712&gt;=17, G712&lt;=19))), "Peak Commute", "Off-Peak")</f>
        <v>Off-Peak</v>
      </c>
      <c r="M712" s="43" t="n">
        <v>2</v>
      </c>
      <c r="N712" s="33" t="str">
        <f aca="false">VLOOKUP(M712, Lookups_Metadata!$G$4:$H$7, 2, FALSE())</f>
        <v>Mist / Cloudy</v>
      </c>
      <c r="O712" s="46" t="n">
        <v>0.22</v>
      </c>
      <c r="P712" s="46" t="n">
        <v>0.2273</v>
      </c>
      <c r="Q712" s="46" t="n">
        <f aca="false">IF(OR(P712="", ISBLANK(P712)), ROUND(0.9367*O712+0.0175, 4), P712)</f>
        <v>0.2273</v>
      </c>
      <c r="R712" s="33" t="str">
        <f aca="false">IF(OR(P712="", ISBLANK(P712)), "Imputed (Regression/Trend)", "Original")</f>
        <v>Original</v>
      </c>
      <c r="S712" s="46" t="n">
        <v>0.87</v>
      </c>
      <c r="T712" s="46" t="n">
        <v>0.1343</v>
      </c>
      <c r="U712" s="18" t="n">
        <v>5</v>
      </c>
      <c r="V712" s="18" t="n">
        <v>69</v>
      </c>
      <c r="W712" s="18" t="n">
        <f aca="false">U712+V712</f>
        <v>74</v>
      </c>
      <c r="X712" s="47" t="n">
        <f aca="false">U712/W712</f>
        <v>0.0675675675675676</v>
      </c>
      <c r="Y712" s="47" t="n">
        <f aca="false">V712/W712</f>
        <v>0.932432432432433</v>
      </c>
      <c r="Z712" s="33" t="str">
        <f aca="false">IF(W712&gt;=150, "High Demand", IF(W712&gt;=50, "Moderate Demand", "Low Demand"))</f>
        <v>Moderate Demand</v>
      </c>
      <c r="AA712" s="45" t="str">
        <f aca="false">TEXT(G712, "00") &amp; ":00"</f>
        <v>20:00</v>
      </c>
      <c r="AB712" s="43" t="n">
        <f aca="false">YEAR(B712)</f>
        <v>2011</v>
      </c>
      <c r="AC712" s="33" t="str">
        <f aca="false">TEXT(B712, "mmmm")</f>
        <v>February</v>
      </c>
      <c r="AD712" s="43" t="n">
        <f aca="false">LEN(TEXT(B712, "YYYY-MM-DD"))</f>
        <v>10</v>
      </c>
      <c r="AE712" s="45" t="str">
        <f aca="false">LEFT(TEXT(B712, "YYYY-MM-DD"), 4)</f>
        <v>2011</v>
      </c>
      <c r="AF712" s="45" t="str">
        <f aca="false">RIGHT(TEXT(B712, "YYYY-MM-DD"), 2)</f>
        <v>01</v>
      </c>
    </row>
    <row r="713" customFormat="false" ht="15" hidden="false" customHeight="false" outlineLevel="0" collapsed="false">
      <c r="A713" s="37" t="n">
        <v>709</v>
      </c>
      <c r="B713" s="38" t="s">
        <v>115</v>
      </c>
      <c r="C713" s="37" t="n">
        <v>1</v>
      </c>
      <c r="D713" s="35" t="str">
        <f aca="false">VLOOKUP(C713, Lookups_Metadata!$A$4:$B$7, 2, FALSE())</f>
        <v>Spring</v>
      </c>
      <c r="E713" s="37" t="n">
        <v>0</v>
      </c>
      <c r="F713" s="37" t="n">
        <v>2</v>
      </c>
      <c r="G713" s="37" t="n">
        <v>21</v>
      </c>
      <c r="H713" s="39" t="b">
        <f aca="false">FALSE()</f>
        <v>0</v>
      </c>
      <c r="I713" s="37" t="n">
        <v>2</v>
      </c>
      <c r="J713" s="35" t="str">
        <f aca="false">INDEX(Lookups_Metadata!$E$4:$E$10, MATCH(I713, Lookups_Metadata!$D$4:$D$10, 0))</f>
        <v>Tuesday</v>
      </c>
      <c r="K713" s="35" t="str">
        <f aca="false">IF(H713=TRUE(), "Holiday", IF(OR(I713=0, I713=6), "Weekend", "Weekday"))</f>
        <v>Weekday</v>
      </c>
      <c r="L713" s="35" t="str">
        <f aca="false">IF(AND(K713="Weekday", OR(AND(G713&gt;=7, G713&lt;=9), AND(G713&gt;=17, G713&lt;=19))), "Peak Commute", "Off-Peak")</f>
        <v>Off-Peak</v>
      </c>
      <c r="M713" s="37" t="n">
        <v>2</v>
      </c>
      <c r="N713" s="35" t="str">
        <f aca="false">VLOOKUP(M713, Lookups_Metadata!$G$4:$H$7, 2, FALSE())</f>
        <v>Mist / Cloudy</v>
      </c>
      <c r="O713" s="40" t="n">
        <v>0.22</v>
      </c>
      <c r="P713" s="40" t="n">
        <v>0.2273</v>
      </c>
      <c r="Q713" s="40" t="n">
        <f aca="false">IF(OR(P713="", ISBLANK(P713)), ROUND(0.9367*O713+0.0175, 4), P713)</f>
        <v>0.2273</v>
      </c>
      <c r="R713" s="35" t="str">
        <f aca="false">IF(OR(P713="", ISBLANK(P713)), "Imputed (Regression/Trend)", "Original")</f>
        <v>Original</v>
      </c>
      <c r="S713" s="40" t="n">
        <v>0.87</v>
      </c>
      <c r="T713" s="40" t="n">
        <v>0.1343</v>
      </c>
      <c r="U713" s="41" t="n">
        <v>0</v>
      </c>
      <c r="V713" s="41" t="n">
        <v>64</v>
      </c>
      <c r="W713" s="41" t="n">
        <f aca="false">U713+V713</f>
        <v>64</v>
      </c>
      <c r="X713" s="42" t="n">
        <f aca="false">U713/W713</f>
        <v>0</v>
      </c>
      <c r="Y713" s="42" t="n">
        <f aca="false">V713/W713</f>
        <v>1</v>
      </c>
      <c r="Z713" s="35" t="str">
        <f aca="false">IF(W713&gt;=150, "High Demand", IF(W713&gt;=50, "Moderate Demand", "Low Demand"))</f>
        <v>Moderate Demand</v>
      </c>
      <c r="AA713" s="39" t="str">
        <f aca="false">TEXT(G713, "00") &amp; ":00"</f>
        <v>21:00</v>
      </c>
      <c r="AB713" s="37" t="n">
        <f aca="false">YEAR(B713)</f>
        <v>2011</v>
      </c>
      <c r="AC713" s="35" t="str">
        <f aca="false">TEXT(B713, "mmmm")</f>
        <v>February</v>
      </c>
      <c r="AD713" s="37" t="n">
        <f aca="false">LEN(TEXT(B713, "YYYY-MM-DD"))</f>
        <v>10</v>
      </c>
      <c r="AE713" s="39" t="str">
        <f aca="false">LEFT(TEXT(B713, "YYYY-MM-DD"), 4)</f>
        <v>2011</v>
      </c>
      <c r="AF713" s="39" t="str">
        <f aca="false">RIGHT(TEXT(B713, "YYYY-MM-DD"), 2)</f>
        <v>01</v>
      </c>
    </row>
    <row r="714" customFormat="false" ht="15" hidden="false" customHeight="false" outlineLevel="0" collapsed="false">
      <c r="A714" s="43" t="n">
        <v>710</v>
      </c>
      <c r="B714" s="44" t="s">
        <v>115</v>
      </c>
      <c r="C714" s="43" t="n">
        <v>1</v>
      </c>
      <c r="D714" s="33" t="str">
        <f aca="false">VLOOKUP(C714, Lookups_Metadata!$A$4:$B$7, 2, FALSE())</f>
        <v>Spring</v>
      </c>
      <c r="E714" s="43" t="n">
        <v>0</v>
      </c>
      <c r="F714" s="43" t="n">
        <v>2</v>
      </c>
      <c r="G714" s="43" t="n">
        <v>22</v>
      </c>
      <c r="H714" s="45" t="b">
        <f aca="false">FALSE()</f>
        <v>0</v>
      </c>
      <c r="I714" s="43" t="n">
        <v>2</v>
      </c>
      <c r="J714" s="33" t="str">
        <f aca="false">INDEX(Lookups_Metadata!$E$4:$E$10, MATCH(I714, Lookups_Metadata!$D$4:$D$10, 0))</f>
        <v>Tuesday</v>
      </c>
      <c r="K714" s="33" t="str">
        <f aca="false">IF(H714=TRUE(), "Holiday", IF(OR(I714=0, I714=6), "Weekend", "Weekday"))</f>
        <v>Weekday</v>
      </c>
      <c r="L714" s="33" t="str">
        <f aca="false">IF(AND(K714="Weekday", OR(AND(G714&gt;=7, G714&lt;=9), AND(G714&gt;=17, G714&lt;=19))), "Peak Commute", "Off-Peak")</f>
        <v>Off-Peak</v>
      </c>
      <c r="M714" s="43" t="n">
        <v>2</v>
      </c>
      <c r="N714" s="33" t="str">
        <f aca="false">VLOOKUP(M714, Lookups_Metadata!$G$4:$H$7, 2, FALSE())</f>
        <v>Mist / Cloudy</v>
      </c>
      <c r="O714" s="46" t="n">
        <v>0.22</v>
      </c>
      <c r="P714" s="46" t="n">
        <v>0.2576</v>
      </c>
      <c r="Q714" s="46" t="n">
        <f aca="false">IF(OR(P714="", ISBLANK(P714)), ROUND(0.9367*O714+0.0175, 4), P714)</f>
        <v>0.2576</v>
      </c>
      <c r="R714" s="33" t="str">
        <f aca="false">IF(OR(P714="", ISBLANK(P714)), "Imputed (Regression/Trend)", "Original")</f>
        <v>Original</v>
      </c>
      <c r="S714" s="46" t="n">
        <v>0.87</v>
      </c>
      <c r="T714" s="46" t="n">
        <v>0.0896</v>
      </c>
      <c r="U714" s="18" t="n">
        <v>2</v>
      </c>
      <c r="V714" s="18" t="n">
        <v>34</v>
      </c>
      <c r="W714" s="18" t="n">
        <f aca="false">U714+V714</f>
        <v>36</v>
      </c>
      <c r="X714" s="47" t="n">
        <f aca="false">U714/W714</f>
        <v>0.0555555555555556</v>
      </c>
      <c r="Y714" s="47" t="n">
        <f aca="false">V714/W714</f>
        <v>0.944444444444444</v>
      </c>
      <c r="Z714" s="33" t="str">
        <f aca="false">IF(W714&gt;=150, "High Demand", IF(W714&gt;=50, "Moderate Demand", "Low Demand"))</f>
        <v>Low Demand</v>
      </c>
      <c r="AA714" s="45" t="str">
        <f aca="false">TEXT(G714, "00") &amp; ":00"</f>
        <v>22:00</v>
      </c>
      <c r="AB714" s="43" t="n">
        <f aca="false">YEAR(B714)</f>
        <v>2011</v>
      </c>
      <c r="AC714" s="33" t="str">
        <f aca="false">TEXT(B714, "mmmm")</f>
        <v>February</v>
      </c>
      <c r="AD714" s="43" t="n">
        <f aca="false">LEN(TEXT(B714, "YYYY-MM-DD"))</f>
        <v>10</v>
      </c>
      <c r="AE714" s="45" t="str">
        <f aca="false">LEFT(TEXT(B714, "YYYY-MM-DD"), 4)</f>
        <v>2011</v>
      </c>
      <c r="AF714" s="45" t="str">
        <f aca="false">RIGHT(TEXT(B714, "YYYY-MM-DD"), 2)</f>
        <v>01</v>
      </c>
    </row>
    <row r="715" customFormat="false" ht="15" hidden="false" customHeight="false" outlineLevel="0" collapsed="false">
      <c r="A715" s="37" t="n">
        <v>711</v>
      </c>
      <c r="B715" s="38" t="s">
        <v>115</v>
      </c>
      <c r="C715" s="37" t="n">
        <v>1</v>
      </c>
      <c r="D715" s="35" t="str">
        <f aca="false">VLOOKUP(C715, Lookups_Metadata!$A$4:$B$7, 2, FALSE())</f>
        <v>Spring</v>
      </c>
      <c r="E715" s="37" t="n">
        <v>0</v>
      </c>
      <c r="F715" s="37" t="n">
        <v>2</v>
      </c>
      <c r="G715" s="37" t="n">
        <v>23</v>
      </c>
      <c r="H715" s="39" t="b">
        <f aca="false">FALSE()</f>
        <v>0</v>
      </c>
      <c r="I715" s="37" t="n">
        <v>2</v>
      </c>
      <c r="J715" s="35" t="str">
        <f aca="false">INDEX(Lookups_Metadata!$E$4:$E$10, MATCH(I715, Lookups_Metadata!$D$4:$D$10, 0))</f>
        <v>Tuesday</v>
      </c>
      <c r="K715" s="35" t="str">
        <f aca="false">IF(H715=TRUE(), "Holiday", IF(OR(I715=0, I715=6), "Weekend", "Weekday"))</f>
        <v>Weekday</v>
      </c>
      <c r="L715" s="35" t="str">
        <f aca="false">IF(AND(K715="Weekday", OR(AND(G715&gt;=7, G715&lt;=9), AND(G715&gt;=17, G715&lt;=19))), "Peak Commute", "Off-Peak")</f>
        <v>Off-Peak</v>
      </c>
      <c r="M715" s="37" t="n">
        <v>3</v>
      </c>
      <c r="N715" s="35" t="str">
        <f aca="false">VLOOKUP(M715, Lookups_Metadata!$G$4:$H$7, 2, FALSE())</f>
        <v>Light Snow / Light Rain</v>
      </c>
      <c r="O715" s="40" t="n">
        <v>0.2</v>
      </c>
      <c r="P715" s="40" t="n">
        <v>0.197</v>
      </c>
      <c r="Q715" s="40" t="n">
        <f aca="false">IF(OR(P715="", ISBLANK(P715)), ROUND(0.9367*O715+0.0175, 4), P715)</f>
        <v>0.197</v>
      </c>
      <c r="R715" s="35" t="str">
        <f aca="false">IF(OR(P715="", ISBLANK(P715)), "Imputed (Regression/Trend)", "Original")</f>
        <v>Original</v>
      </c>
      <c r="S715" s="40" t="n">
        <v>0.93</v>
      </c>
      <c r="T715" s="40" t="n">
        <v>0.194</v>
      </c>
      <c r="U715" s="41" t="n">
        <v>1</v>
      </c>
      <c r="V715" s="41" t="n">
        <v>15</v>
      </c>
      <c r="W715" s="41" t="n">
        <f aca="false">U715+V715</f>
        <v>16</v>
      </c>
      <c r="X715" s="42" t="n">
        <f aca="false">U715/W715</f>
        <v>0.0625</v>
      </c>
      <c r="Y715" s="42" t="n">
        <f aca="false">V715/W715</f>
        <v>0.9375</v>
      </c>
      <c r="Z715" s="35" t="str">
        <f aca="false">IF(W715&gt;=150, "High Demand", IF(W715&gt;=50, "Moderate Demand", "Low Demand"))</f>
        <v>Low Demand</v>
      </c>
      <c r="AA715" s="39" t="str">
        <f aca="false">TEXT(G715, "00") &amp; ":00"</f>
        <v>23:00</v>
      </c>
      <c r="AB715" s="37" t="n">
        <f aca="false">YEAR(B715)</f>
        <v>2011</v>
      </c>
      <c r="AC715" s="35" t="str">
        <f aca="false">TEXT(B715, "mmmm")</f>
        <v>February</v>
      </c>
      <c r="AD715" s="37" t="n">
        <f aca="false">LEN(TEXT(B715, "YYYY-MM-DD"))</f>
        <v>10</v>
      </c>
      <c r="AE715" s="39" t="str">
        <f aca="false">LEFT(TEXT(B715, "YYYY-MM-DD"), 4)</f>
        <v>2011</v>
      </c>
      <c r="AF715" s="39" t="str">
        <f aca="false">RIGHT(TEXT(B715, "YYYY-MM-DD"), 2)</f>
        <v>01</v>
      </c>
    </row>
    <row r="716" customFormat="false" ht="15" hidden="false" customHeight="false" outlineLevel="0" collapsed="false">
      <c r="A716" s="43" t="n">
        <v>712</v>
      </c>
      <c r="B716" s="44" t="s">
        <v>116</v>
      </c>
      <c r="C716" s="43" t="n">
        <v>1</v>
      </c>
      <c r="D716" s="33" t="str">
        <f aca="false">VLOOKUP(C716, Lookups_Metadata!$A$4:$B$7, 2, FALSE())</f>
        <v>Spring</v>
      </c>
      <c r="E716" s="43" t="n">
        <v>0</v>
      </c>
      <c r="F716" s="43" t="n">
        <v>2</v>
      </c>
      <c r="G716" s="43" t="n">
        <v>0</v>
      </c>
      <c r="H716" s="45" t="b">
        <f aca="false">FALSE()</f>
        <v>0</v>
      </c>
      <c r="I716" s="43" t="n">
        <v>3</v>
      </c>
      <c r="J716" s="33" t="str">
        <f aca="false">INDEX(Lookups_Metadata!$E$4:$E$10, MATCH(I716, Lookups_Metadata!$D$4:$D$10, 0))</f>
        <v>Wednesday</v>
      </c>
      <c r="K716" s="33" t="str">
        <f aca="false">IF(H716=TRUE(), "Holiday", IF(OR(I716=0, I716=6), "Weekend", "Weekday"))</f>
        <v>Weekday</v>
      </c>
      <c r="L716" s="33" t="str">
        <f aca="false">IF(AND(K716="Weekday", OR(AND(G716&gt;=7, G716&lt;=9), AND(G716&gt;=17, G716&lt;=19))), "Peak Commute", "Off-Peak")</f>
        <v>Off-Peak</v>
      </c>
      <c r="M716" s="43" t="n">
        <v>3</v>
      </c>
      <c r="N716" s="33" t="str">
        <f aca="false">VLOOKUP(M716, Lookups_Metadata!$G$4:$H$7, 2, FALSE())</f>
        <v>Light Snow / Light Rain</v>
      </c>
      <c r="O716" s="46" t="n">
        <v>0.22</v>
      </c>
      <c r="P716" s="46" t="n">
        <v>0.2424</v>
      </c>
      <c r="Q716" s="46" t="n">
        <f aca="false">IF(OR(P716="", ISBLANK(P716)), ROUND(0.9367*O716+0.0175, 4), P716)</f>
        <v>0.2424</v>
      </c>
      <c r="R716" s="33" t="str">
        <f aca="false">IF(OR(P716="", ISBLANK(P716)), "Imputed (Regression/Trend)", "Original")</f>
        <v>Original</v>
      </c>
      <c r="S716" s="46" t="n">
        <v>0.93</v>
      </c>
      <c r="T716" s="46" t="n">
        <v>0.1045</v>
      </c>
      <c r="U716" s="18" t="n">
        <v>0</v>
      </c>
      <c r="V716" s="18" t="n">
        <v>2</v>
      </c>
      <c r="W716" s="18" t="n">
        <f aca="false">U716+V716</f>
        <v>2</v>
      </c>
      <c r="X716" s="47" t="n">
        <f aca="false">U716/W716</f>
        <v>0</v>
      </c>
      <c r="Y716" s="47" t="n">
        <f aca="false">V716/W716</f>
        <v>1</v>
      </c>
      <c r="Z716" s="33" t="str">
        <f aca="false">IF(W716&gt;=150, "High Demand", IF(W716&gt;=50, "Moderate Demand", "Low Demand"))</f>
        <v>Low Demand</v>
      </c>
      <c r="AA716" s="45" t="str">
        <f aca="false">TEXT(G716, "00") &amp; ":00"</f>
        <v>00:00</v>
      </c>
      <c r="AB716" s="43" t="n">
        <f aca="false">YEAR(B716)</f>
        <v>2011</v>
      </c>
      <c r="AC716" s="33" t="str">
        <f aca="false">TEXT(B716, "mmmm")</f>
        <v>February</v>
      </c>
      <c r="AD716" s="43" t="n">
        <f aca="false">LEN(TEXT(B716, "YYYY-MM-DD"))</f>
        <v>10</v>
      </c>
      <c r="AE716" s="45" t="str">
        <f aca="false">LEFT(TEXT(B716, "YYYY-MM-DD"), 4)</f>
        <v>2011</v>
      </c>
      <c r="AF716" s="45" t="str">
        <f aca="false">RIGHT(TEXT(B716, "YYYY-MM-DD"), 2)</f>
        <v>02</v>
      </c>
    </row>
    <row r="717" customFormat="false" ht="15" hidden="false" customHeight="false" outlineLevel="0" collapsed="false">
      <c r="A717" s="37" t="n">
        <v>713</v>
      </c>
      <c r="B717" s="38" t="s">
        <v>116</v>
      </c>
      <c r="C717" s="37" t="n">
        <v>1</v>
      </c>
      <c r="D717" s="35" t="str">
        <f aca="false">VLOOKUP(C717, Lookups_Metadata!$A$4:$B$7, 2, FALSE())</f>
        <v>Spring</v>
      </c>
      <c r="E717" s="37" t="n">
        <v>0</v>
      </c>
      <c r="F717" s="37" t="n">
        <v>2</v>
      </c>
      <c r="G717" s="37" t="n">
        <v>1</v>
      </c>
      <c r="H717" s="39" t="b">
        <f aca="false">FALSE()</f>
        <v>0</v>
      </c>
      <c r="I717" s="37" t="n">
        <v>3</v>
      </c>
      <c r="J717" s="35" t="str">
        <f aca="false">INDEX(Lookups_Metadata!$E$4:$E$10, MATCH(I717, Lookups_Metadata!$D$4:$D$10, 0))</f>
        <v>Wednesday</v>
      </c>
      <c r="K717" s="35" t="str">
        <f aca="false">IF(H717=TRUE(), "Holiday", IF(OR(I717=0, I717=6), "Weekend", "Weekday"))</f>
        <v>Weekday</v>
      </c>
      <c r="L717" s="35" t="str">
        <f aca="false">IF(AND(K717="Weekday", OR(AND(G717&gt;=7, G717&lt;=9), AND(G717&gt;=17, G717&lt;=19))), "Peak Commute", "Off-Peak")</f>
        <v>Off-Peak</v>
      </c>
      <c r="M717" s="37" t="n">
        <v>3</v>
      </c>
      <c r="N717" s="35" t="str">
        <f aca="false">VLOOKUP(M717, Lookups_Metadata!$G$4:$H$7, 2, FALSE())</f>
        <v>Light Snow / Light Rain</v>
      </c>
      <c r="O717" s="40" t="n">
        <v>0.22</v>
      </c>
      <c r="P717" s="40" t="n">
        <v>0.2273</v>
      </c>
      <c r="Q717" s="40" t="n">
        <f aca="false">IF(OR(P717="", ISBLANK(P717)), ROUND(0.9367*O717+0.0175, 4), P717)</f>
        <v>0.2273</v>
      </c>
      <c r="R717" s="35" t="str">
        <f aca="false">IF(OR(P717="", ISBLANK(P717)), "Imputed (Regression/Trend)", "Original")</f>
        <v>Original</v>
      </c>
      <c r="S717" s="40" t="n">
        <v>0.93</v>
      </c>
      <c r="T717" s="40" t="n">
        <v>0.194</v>
      </c>
      <c r="U717" s="41" t="n">
        <v>0</v>
      </c>
      <c r="V717" s="41" t="n">
        <v>3</v>
      </c>
      <c r="W717" s="41" t="n">
        <f aca="false">U717+V717</f>
        <v>3</v>
      </c>
      <c r="X717" s="42" t="n">
        <f aca="false">U717/W717</f>
        <v>0</v>
      </c>
      <c r="Y717" s="42" t="n">
        <f aca="false">V717/W717</f>
        <v>1</v>
      </c>
      <c r="Z717" s="35" t="str">
        <f aca="false">IF(W717&gt;=150, "High Demand", IF(W717&gt;=50, "Moderate Demand", "Low Demand"))</f>
        <v>Low Demand</v>
      </c>
      <c r="AA717" s="39" t="str">
        <f aca="false">TEXT(G717, "00") &amp; ":00"</f>
        <v>01:00</v>
      </c>
      <c r="AB717" s="37" t="n">
        <f aca="false">YEAR(B717)</f>
        <v>2011</v>
      </c>
      <c r="AC717" s="35" t="str">
        <f aca="false">TEXT(B717, "mmmm")</f>
        <v>February</v>
      </c>
      <c r="AD717" s="37" t="n">
        <f aca="false">LEN(TEXT(B717, "YYYY-MM-DD"))</f>
        <v>10</v>
      </c>
      <c r="AE717" s="39" t="str">
        <f aca="false">LEFT(TEXT(B717, "YYYY-MM-DD"), 4)</f>
        <v>2011</v>
      </c>
      <c r="AF717" s="39" t="str">
        <f aca="false">RIGHT(TEXT(B717, "YYYY-MM-DD"), 2)</f>
        <v>02</v>
      </c>
    </row>
    <row r="718" customFormat="false" ht="15" hidden="false" customHeight="false" outlineLevel="0" collapsed="false">
      <c r="A718" s="43" t="n">
        <v>714</v>
      </c>
      <c r="B718" s="44" t="s">
        <v>116</v>
      </c>
      <c r="C718" s="43" t="n">
        <v>1</v>
      </c>
      <c r="D718" s="33" t="str">
        <f aca="false">VLOOKUP(C718, Lookups_Metadata!$A$4:$B$7, 2, FALSE())</f>
        <v>Spring</v>
      </c>
      <c r="E718" s="43" t="n">
        <v>0</v>
      </c>
      <c r="F718" s="43" t="n">
        <v>2</v>
      </c>
      <c r="G718" s="43" t="n">
        <v>2</v>
      </c>
      <c r="H718" s="45" t="b">
        <f aca="false">FALSE()</f>
        <v>0</v>
      </c>
      <c r="I718" s="43" t="n">
        <v>3</v>
      </c>
      <c r="J718" s="33" t="str">
        <f aca="false">INDEX(Lookups_Metadata!$E$4:$E$10, MATCH(I718, Lookups_Metadata!$D$4:$D$10, 0))</f>
        <v>Wednesday</v>
      </c>
      <c r="K718" s="33" t="str">
        <f aca="false">IF(H718=TRUE(), "Holiday", IF(OR(I718=0, I718=6), "Weekend", "Weekday"))</f>
        <v>Weekday</v>
      </c>
      <c r="L718" s="33" t="str">
        <f aca="false">IF(AND(K718="Weekday", OR(AND(G718&gt;=7, G718&lt;=9), AND(G718&gt;=17, G718&lt;=19))), "Peak Commute", "Off-Peak")</f>
        <v>Off-Peak</v>
      </c>
      <c r="M718" s="43" t="n">
        <v>3</v>
      </c>
      <c r="N718" s="33" t="str">
        <f aca="false">VLOOKUP(M718, Lookups_Metadata!$G$4:$H$7, 2, FALSE())</f>
        <v>Light Snow / Light Rain</v>
      </c>
      <c r="O718" s="46" t="n">
        <v>0.22</v>
      </c>
      <c r="P718" s="46" t="n">
        <v>0.2273</v>
      </c>
      <c r="Q718" s="46" t="n">
        <f aca="false">IF(OR(P718="", ISBLANK(P718)), ROUND(0.9367*O718+0.0175, 4), P718)</f>
        <v>0.2273</v>
      </c>
      <c r="R718" s="33" t="str">
        <f aca="false">IF(OR(P718="", ISBLANK(P718)), "Imputed (Regression/Trend)", "Original")</f>
        <v>Original</v>
      </c>
      <c r="S718" s="46" t="n">
        <v>0.93</v>
      </c>
      <c r="T718" s="46" t="n">
        <v>0.1343</v>
      </c>
      <c r="U718" s="18" t="n">
        <v>4</v>
      </c>
      <c r="V718" s="18" t="n">
        <v>0</v>
      </c>
      <c r="W718" s="18" t="n">
        <f aca="false">U718+V718</f>
        <v>4</v>
      </c>
      <c r="X718" s="47" t="n">
        <f aca="false">U718/W718</f>
        <v>1</v>
      </c>
      <c r="Y718" s="47" t="n">
        <f aca="false">V718/W718</f>
        <v>0</v>
      </c>
      <c r="Z718" s="33" t="str">
        <f aca="false">IF(W718&gt;=150, "High Demand", IF(W718&gt;=50, "Moderate Demand", "Low Demand"))</f>
        <v>Low Demand</v>
      </c>
      <c r="AA718" s="45" t="str">
        <f aca="false">TEXT(G718, "00") &amp; ":00"</f>
        <v>02:00</v>
      </c>
      <c r="AB718" s="43" t="n">
        <f aca="false">YEAR(B718)</f>
        <v>2011</v>
      </c>
      <c r="AC718" s="33" t="str">
        <f aca="false">TEXT(B718, "mmmm")</f>
        <v>February</v>
      </c>
      <c r="AD718" s="43" t="n">
        <f aca="false">LEN(TEXT(B718, "YYYY-MM-DD"))</f>
        <v>10</v>
      </c>
      <c r="AE718" s="45" t="str">
        <f aca="false">LEFT(TEXT(B718, "YYYY-MM-DD"), 4)</f>
        <v>2011</v>
      </c>
      <c r="AF718" s="45" t="str">
        <f aca="false">RIGHT(TEXT(B718, "YYYY-MM-DD"), 2)</f>
        <v>02</v>
      </c>
    </row>
    <row r="719" customFormat="false" ht="15" hidden="false" customHeight="false" outlineLevel="0" collapsed="false">
      <c r="A719" s="37" t="n">
        <v>715</v>
      </c>
      <c r="B719" s="38" t="s">
        <v>116</v>
      </c>
      <c r="C719" s="37" t="n">
        <v>1</v>
      </c>
      <c r="D719" s="35" t="str">
        <f aca="false">VLOOKUP(C719, Lookups_Metadata!$A$4:$B$7, 2, FALSE())</f>
        <v>Spring</v>
      </c>
      <c r="E719" s="37" t="n">
        <v>0</v>
      </c>
      <c r="F719" s="37" t="n">
        <v>2</v>
      </c>
      <c r="G719" s="37" t="n">
        <v>3</v>
      </c>
      <c r="H719" s="39" t="b">
        <f aca="false">FALSE()</f>
        <v>0</v>
      </c>
      <c r="I719" s="37" t="n">
        <v>3</v>
      </c>
      <c r="J719" s="35" t="str">
        <f aca="false">INDEX(Lookups_Metadata!$E$4:$E$10, MATCH(I719, Lookups_Metadata!$D$4:$D$10, 0))</f>
        <v>Wednesday</v>
      </c>
      <c r="K719" s="35" t="str">
        <f aca="false">IF(H719=TRUE(), "Holiday", IF(OR(I719=0, I719=6), "Weekend", "Weekday"))</f>
        <v>Weekday</v>
      </c>
      <c r="L719" s="35" t="str">
        <f aca="false">IF(AND(K719="Weekday", OR(AND(G719&gt;=7, G719&lt;=9), AND(G719&gt;=17, G719&lt;=19))), "Peak Commute", "Off-Peak")</f>
        <v>Off-Peak</v>
      </c>
      <c r="M719" s="37" t="n">
        <v>3</v>
      </c>
      <c r="N719" s="35" t="str">
        <f aca="false">VLOOKUP(M719, Lookups_Metadata!$G$4:$H$7, 2, FALSE())</f>
        <v>Light Snow / Light Rain</v>
      </c>
      <c r="O719" s="40" t="n">
        <v>0.22</v>
      </c>
      <c r="P719" s="40" t="n">
        <v>0.2273</v>
      </c>
      <c r="Q719" s="40" t="n">
        <f aca="false">IF(OR(P719="", ISBLANK(P719)), ROUND(0.9367*O719+0.0175, 4), P719)</f>
        <v>0.2273</v>
      </c>
      <c r="R719" s="35" t="str">
        <f aca="false">IF(OR(P719="", ISBLANK(P719)), "Imputed (Regression/Trend)", "Original")</f>
        <v>Original</v>
      </c>
      <c r="S719" s="40" t="n">
        <v>0.93</v>
      </c>
      <c r="T719" s="40" t="n">
        <v>0.1343</v>
      </c>
      <c r="U719" s="41" t="n">
        <v>0</v>
      </c>
      <c r="V719" s="41" t="n">
        <v>1</v>
      </c>
      <c r="W719" s="41" t="n">
        <f aca="false">U719+V719</f>
        <v>1</v>
      </c>
      <c r="X719" s="42" t="n">
        <f aca="false">U719/W719</f>
        <v>0</v>
      </c>
      <c r="Y719" s="42" t="n">
        <f aca="false">V719/W719</f>
        <v>1</v>
      </c>
      <c r="Z719" s="35" t="str">
        <f aca="false">IF(W719&gt;=150, "High Demand", IF(W719&gt;=50, "Moderate Demand", "Low Demand"))</f>
        <v>Low Demand</v>
      </c>
      <c r="AA719" s="39" t="str">
        <f aca="false">TEXT(G719, "00") &amp; ":00"</f>
        <v>03:00</v>
      </c>
      <c r="AB719" s="37" t="n">
        <f aca="false">YEAR(B719)</f>
        <v>2011</v>
      </c>
      <c r="AC719" s="35" t="str">
        <f aca="false">TEXT(B719, "mmmm")</f>
        <v>February</v>
      </c>
      <c r="AD719" s="37" t="n">
        <f aca="false">LEN(TEXT(B719, "YYYY-MM-DD"))</f>
        <v>10</v>
      </c>
      <c r="AE719" s="39" t="str">
        <f aca="false">LEFT(TEXT(B719, "YYYY-MM-DD"), 4)</f>
        <v>2011</v>
      </c>
      <c r="AF719" s="39" t="str">
        <f aca="false">RIGHT(TEXT(B719, "YYYY-MM-DD"), 2)</f>
        <v>02</v>
      </c>
    </row>
    <row r="720" customFormat="false" ht="15" hidden="false" customHeight="false" outlineLevel="0" collapsed="false">
      <c r="A720" s="43" t="n">
        <v>716</v>
      </c>
      <c r="B720" s="44" t="s">
        <v>116</v>
      </c>
      <c r="C720" s="43" t="n">
        <v>1</v>
      </c>
      <c r="D720" s="33" t="str">
        <f aca="false">VLOOKUP(C720, Lookups_Metadata!$A$4:$B$7, 2, FALSE())</f>
        <v>Spring</v>
      </c>
      <c r="E720" s="43" t="n">
        <v>0</v>
      </c>
      <c r="F720" s="43" t="n">
        <v>2</v>
      </c>
      <c r="G720" s="43" t="n">
        <v>4</v>
      </c>
      <c r="H720" s="45" t="b">
        <f aca="false">FALSE()</f>
        <v>0</v>
      </c>
      <c r="I720" s="43" t="n">
        <v>3</v>
      </c>
      <c r="J720" s="33" t="str">
        <f aca="false">INDEX(Lookups_Metadata!$E$4:$E$10, MATCH(I720, Lookups_Metadata!$D$4:$D$10, 0))</f>
        <v>Wednesday</v>
      </c>
      <c r="K720" s="33" t="str">
        <f aca="false">IF(H720=TRUE(), "Holiday", IF(OR(I720=0, I720=6), "Weekend", "Weekday"))</f>
        <v>Weekday</v>
      </c>
      <c r="L720" s="33" t="str">
        <f aca="false">IF(AND(K720="Weekday", OR(AND(G720&gt;=7, G720&lt;=9), AND(G720&gt;=17, G720&lt;=19))), "Peak Commute", "Off-Peak")</f>
        <v>Off-Peak</v>
      </c>
      <c r="M720" s="43" t="n">
        <v>3</v>
      </c>
      <c r="N720" s="33" t="str">
        <f aca="false">VLOOKUP(M720, Lookups_Metadata!$G$4:$H$7, 2, FALSE())</f>
        <v>Light Snow / Light Rain</v>
      </c>
      <c r="O720" s="46" t="n">
        <v>0.22</v>
      </c>
      <c r="P720" s="46" t="n">
        <v>0.2121</v>
      </c>
      <c r="Q720" s="46" t="n">
        <f aca="false">IF(OR(P720="", ISBLANK(P720)), ROUND(0.9367*O720+0.0175, 4), P720)</f>
        <v>0.2121</v>
      </c>
      <c r="R720" s="33" t="str">
        <f aca="false">IF(OR(P720="", ISBLANK(P720)), "Imputed (Regression/Trend)", "Original")</f>
        <v>Original</v>
      </c>
      <c r="S720" s="46" t="n">
        <v>0.93</v>
      </c>
      <c r="T720" s="46" t="n">
        <v>0.2836</v>
      </c>
      <c r="U720" s="18" t="n">
        <v>0</v>
      </c>
      <c r="V720" s="18" t="n">
        <v>1</v>
      </c>
      <c r="W720" s="18" t="n">
        <f aca="false">U720+V720</f>
        <v>1</v>
      </c>
      <c r="X720" s="47" t="n">
        <f aca="false">U720/W720</f>
        <v>0</v>
      </c>
      <c r="Y720" s="47" t="n">
        <f aca="false">V720/W720</f>
        <v>1</v>
      </c>
      <c r="Z720" s="33" t="str">
        <f aca="false">IF(W720&gt;=150, "High Demand", IF(W720&gt;=50, "Moderate Demand", "Low Demand"))</f>
        <v>Low Demand</v>
      </c>
      <c r="AA720" s="45" t="str">
        <f aca="false">TEXT(G720, "00") &amp; ":00"</f>
        <v>04:00</v>
      </c>
      <c r="AB720" s="43" t="n">
        <f aca="false">YEAR(B720)</f>
        <v>2011</v>
      </c>
      <c r="AC720" s="33" t="str">
        <f aca="false">TEXT(B720, "mmmm")</f>
        <v>February</v>
      </c>
      <c r="AD720" s="43" t="n">
        <f aca="false">LEN(TEXT(B720, "YYYY-MM-DD"))</f>
        <v>10</v>
      </c>
      <c r="AE720" s="45" t="str">
        <f aca="false">LEFT(TEXT(B720, "YYYY-MM-DD"), 4)</f>
        <v>2011</v>
      </c>
      <c r="AF720" s="45" t="str">
        <f aca="false">RIGHT(TEXT(B720, "YYYY-MM-DD"), 2)</f>
        <v>02</v>
      </c>
    </row>
    <row r="721" customFormat="false" ht="15" hidden="false" customHeight="false" outlineLevel="0" collapsed="false">
      <c r="A721" s="37" t="n">
        <v>717</v>
      </c>
      <c r="B721" s="38" t="s">
        <v>116</v>
      </c>
      <c r="C721" s="37" t="n">
        <v>1</v>
      </c>
      <c r="D721" s="35" t="str">
        <f aca="false">VLOOKUP(C721, Lookups_Metadata!$A$4:$B$7, 2, FALSE())</f>
        <v>Spring</v>
      </c>
      <c r="E721" s="37" t="n">
        <v>0</v>
      </c>
      <c r="F721" s="37" t="n">
        <v>2</v>
      </c>
      <c r="G721" s="37" t="n">
        <v>5</v>
      </c>
      <c r="H721" s="39" t="b">
        <f aca="false">FALSE()</f>
        <v>0</v>
      </c>
      <c r="I721" s="37" t="n">
        <v>3</v>
      </c>
      <c r="J721" s="35" t="str">
        <f aca="false">INDEX(Lookups_Metadata!$E$4:$E$10, MATCH(I721, Lookups_Metadata!$D$4:$D$10, 0))</f>
        <v>Wednesday</v>
      </c>
      <c r="K721" s="35" t="str">
        <f aca="false">IF(H721=TRUE(), "Holiday", IF(OR(I721=0, I721=6), "Weekend", "Weekday"))</f>
        <v>Weekday</v>
      </c>
      <c r="L721" s="35" t="str">
        <f aca="false">IF(AND(K721="Weekday", OR(AND(G721&gt;=7, G721&lt;=9), AND(G721&gt;=17, G721&lt;=19))), "Peak Commute", "Off-Peak")</f>
        <v>Off-Peak</v>
      </c>
      <c r="M721" s="37" t="n">
        <v>3</v>
      </c>
      <c r="N721" s="35" t="str">
        <f aca="false">VLOOKUP(M721, Lookups_Metadata!$G$4:$H$7, 2, FALSE())</f>
        <v>Light Snow / Light Rain</v>
      </c>
      <c r="O721" s="40" t="n">
        <v>0.22</v>
      </c>
      <c r="P721" s="40" t="n">
        <v>0.2424</v>
      </c>
      <c r="Q721" s="40" t="n">
        <f aca="false">IF(OR(P721="", ISBLANK(P721)), ROUND(0.9367*O721+0.0175, 4), P721)</f>
        <v>0.2424</v>
      </c>
      <c r="R721" s="35" t="str">
        <f aca="false">IF(OR(P721="", ISBLANK(P721)), "Imputed (Regression/Trend)", "Original")</f>
        <v>Original</v>
      </c>
      <c r="S721" s="40" t="n">
        <v>0.93</v>
      </c>
      <c r="T721" s="40" t="n">
        <v>0.1045</v>
      </c>
      <c r="U721" s="41" t="n">
        <v>0</v>
      </c>
      <c r="V721" s="41" t="n">
        <v>3</v>
      </c>
      <c r="W721" s="41" t="n">
        <f aca="false">U721+V721</f>
        <v>3</v>
      </c>
      <c r="X721" s="42" t="n">
        <f aca="false">U721/W721</f>
        <v>0</v>
      </c>
      <c r="Y721" s="42" t="n">
        <f aca="false">V721/W721</f>
        <v>1</v>
      </c>
      <c r="Z721" s="35" t="str">
        <f aca="false">IF(W721&gt;=150, "High Demand", IF(W721&gt;=50, "Moderate Demand", "Low Demand"))</f>
        <v>Low Demand</v>
      </c>
      <c r="AA721" s="39" t="str">
        <f aca="false">TEXT(G721, "00") &amp; ":00"</f>
        <v>05:00</v>
      </c>
      <c r="AB721" s="37" t="n">
        <f aca="false">YEAR(B721)</f>
        <v>2011</v>
      </c>
      <c r="AC721" s="35" t="str">
        <f aca="false">TEXT(B721, "mmmm")</f>
        <v>February</v>
      </c>
      <c r="AD721" s="37" t="n">
        <f aca="false">LEN(TEXT(B721, "YYYY-MM-DD"))</f>
        <v>10</v>
      </c>
      <c r="AE721" s="39" t="str">
        <f aca="false">LEFT(TEXT(B721, "YYYY-MM-DD"), 4)</f>
        <v>2011</v>
      </c>
      <c r="AF721" s="39" t="str">
        <f aca="false">RIGHT(TEXT(B721, "YYYY-MM-DD"), 2)</f>
        <v>02</v>
      </c>
    </row>
    <row r="722" customFormat="false" ht="15" hidden="false" customHeight="false" outlineLevel="0" collapsed="false">
      <c r="A722" s="43" t="n">
        <v>718</v>
      </c>
      <c r="B722" s="44" t="s">
        <v>116</v>
      </c>
      <c r="C722" s="43" t="n">
        <v>1</v>
      </c>
      <c r="D722" s="33" t="str">
        <f aca="false">VLOOKUP(C722, Lookups_Metadata!$A$4:$B$7, 2, FALSE())</f>
        <v>Spring</v>
      </c>
      <c r="E722" s="43" t="n">
        <v>0</v>
      </c>
      <c r="F722" s="43" t="n">
        <v>2</v>
      </c>
      <c r="G722" s="43" t="n">
        <v>6</v>
      </c>
      <c r="H722" s="45" t="b">
        <f aca="false">FALSE()</f>
        <v>0</v>
      </c>
      <c r="I722" s="43" t="n">
        <v>3</v>
      </c>
      <c r="J722" s="33" t="str">
        <f aca="false">INDEX(Lookups_Metadata!$E$4:$E$10, MATCH(I722, Lookups_Metadata!$D$4:$D$10, 0))</f>
        <v>Wednesday</v>
      </c>
      <c r="K722" s="33" t="str">
        <f aca="false">IF(H722=TRUE(), "Holiday", IF(OR(I722=0, I722=6), "Weekend", "Weekday"))</f>
        <v>Weekday</v>
      </c>
      <c r="L722" s="33" t="str">
        <f aca="false">IF(AND(K722="Weekday", OR(AND(G722&gt;=7, G722&lt;=9), AND(G722&gt;=17, G722&lt;=19))), "Peak Commute", "Off-Peak")</f>
        <v>Off-Peak</v>
      </c>
      <c r="M722" s="43" t="n">
        <v>3</v>
      </c>
      <c r="N722" s="33" t="str">
        <f aca="false">VLOOKUP(M722, Lookups_Metadata!$G$4:$H$7, 2, FALSE())</f>
        <v>Light Snow / Light Rain</v>
      </c>
      <c r="O722" s="46" t="n">
        <v>0.22</v>
      </c>
      <c r="P722" s="46" t="n">
        <v>0.2424</v>
      </c>
      <c r="Q722" s="46" t="n">
        <f aca="false">IF(OR(P722="", ISBLANK(P722)), ROUND(0.9367*O722+0.0175, 4), P722)</f>
        <v>0.2424</v>
      </c>
      <c r="R722" s="33" t="str">
        <f aca="false">IF(OR(P722="", ISBLANK(P722)), "Imputed (Regression/Trend)", "Original")</f>
        <v>Original</v>
      </c>
      <c r="S722" s="46" t="n">
        <v>0.93</v>
      </c>
      <c r="T722" s="46" t="n">
        <v>0.1045</v>
      </c>
      <c r="U722" s="18" t="n">
        <v>1</v>
      </c>
      <c r="V722" s="18" t="n">
        <v>17</v>
      </c>
      <c r="W722" s="18" t="n">
        <f aca="false">U722+V722</f>
        <v>18</v>
      </c>
      <c r="X722" s="47" t="n">
        <f aca="false">U722/W722</f>
        <v>0.0555555555555556</v>
      </c>
      <c r="Y722" s="47" t="n">
        <f aca="false">V722/W722</f>
        <v>0.944444444444444</v>
      </c>
      <c r="Z722" s="33" t="str">
        <f aca="false">IF(W722&gt;=150, "High Demand", IF(W722&gt;=50, "Moderate Demand", "Low Demand"))</f>
        <v>Low Demand</v>
      </c>
      <c r="AA722" s="45" t="str">
        <f aca="false">TEXT(G722, "00") &amp; ":00"</f>
        <v>06:00</v>
      </c>
      <c r="AB722" s="43" t="n">
        <f aca="false">YEAR(B722)</f>
        <v>2011</v>
      </c>
      <c r="AC722" s="33" t="str">
        <f aca="false">TEXT(B722, "mmmm")</f>
        <v>February</v>
      </c>
      <c r="AD722" s="43" t="n">
        <f aca="false">LEN(TEXT(B722, "YYYY-MM-DD"))</f>
        <v>10</v>
      </c>
      <c r="AE722" s="45" t="str">
        <f aca="false">LEFT(TEXT(B722, "YYYY-MM-DD"), 4)</f>
        <v>2011</v>
      </c>
      <c r="AF722" s="45" t="str">
        <f aca="false">RIGHT(TEXT(B722, "YYYY-MM-DD"), 2)</f>
        <v>02</v>
      </c>
    </row>
    <row r="723" customFormat="false" ht="15" hidden="false" customHeight="false" outlineLevel="0" collapsed="false">
      <c r="A723" s="37" t="n">
        <v>719</v>
      </c>
      <c r="B723" s="38" t="s">
        <v>116</v>
      </c>
      <c r="C723" s="37" t="n">
        <v>1</v>
      </c>
      <c r="D723" s="35" t="str">
        <f aca="false">VLOOKUP(C723, Lookups_Metadata!$A$4:$B$7, 2, FALSE())</f>
        <v>Spring</v>
      </c>
      <c r="E723" s="37" t="n">
        <v>0</v>
      </c>
      <c r="F723" s="37" t="n">
        <v>2</v>
      </c>
      <c r="G723" s="37" t="n">
        <v>7</v>
      </c>
      <c r="H723" s="39" t="b">
        <f aca="false">FALSE()</f>
        <v>0</v>
      </c>
      <c r="I723" s="37" t="n">
        <v>3</v>
      </c>
      <c r="J723" s="35" t="str">
        <f aca="false">INDEX(Lookups_Metadata!$E$4:$E$10, MATCH(I723, Lookups_Metadata!$D$4:$D$10, 0))</f>
        <v>Wednesday</v>
      </c>
      <c r="K723" s="35" t="str">
        <f aca="false">IF(H723=TRUE(), "Holiday", IF(OR(I723=0, I723=6), "Weekend", "Weekday"))</f>
        <v>Weekday</v>
      </c>
      <c r="L723" s="35" t="str">
        <f aca="false">IF(AND(K723="Weekday", OR(AND(G723&gt;=7, G723&lt;=9), AND(G723&gt;=17, G723&lt;=19))), "Peak Commute", "Off-Peak")</f>
        <v>Peak Commute</v>
      </c>
      <c r="M723" s="37" t="n">
        <v>3</v>
      </c>
      <c r="N723" s="35" t="str">
        <f aca="false">VLOOKUP(M723, Lookups_Metadata!$G$4:$H$7, 2, FALSE())</f>
        <v>Light Snow / Light Rain</v>
      </c>
      <c r="O723" s="40" t="n">
        <v>0.22</v>
      </c>
      <c r="P723" s="40" t="n">
        <v>0.2121</v>
      </c>
      <c r="Q723" s="40" t="n">
        <f aca="false">IF(OR(P723="", ISBLANK(P723)), ROUND(0.9367*O723+0.0175, 4), P723)</f>
        <v>0.2121</v>
      </c>
      <c r="R723" s="35" t="str">
        <f aca="false">IF(OR(P723="", ISBLANK(P723)), "Imputed (Regression/Trend)", "Original")</f>
        <v>Original</v>
      </c>
      <c r="S723" s="40" t="n">
        <v>0.93</v>
      </c>
      <c r="T723" s="40" t="n">
        <v>0.2239</v>
      </c>
      <c r="U723" s="41" t="n">
        <v>1</v>
      </c>
      <c r="V723" s="41" t="n">
        <v>48</v>
      </c>
      <c r="W723" s="41" t="n">
        <f aca="false">U723+V723</f>
        <v>49</v>
      </c>
      <c r="X723" s="42" t="n">
        <f aca="false">U723/W723</f>
        <v>0.0204081632653061</v>
      </c>
      <c r="Y723" s="42" t="n">
        <f aca="false">V723/W723</f>
        <v>0.979591836734694</v>
      </c>
      <c r="Z723" s="35" t="str">
        <f aca="false">IF(W723&gt;=150, "High Demand", IF(W723&gt;=50, "Moderate Demand", "Low Demand"))</f>
        <v>Low Demand</v>
      </c>
      <c r="AA723" s="39" t="str">
        <f aca="false">TEXT(G723, "00") &amp; ":00"</f>
        <v>07:00</v>
      </c>
      <c r="AB723" s="37" t="n">
        <f aca="false">YEAR(B723)</f>
        <v>2011</v>
      </c>
      <c r="AC723" s="35" t="str">
        <f aca="false">TEXT(B723, "mmmm")</f>
        <v>February</v>
      </c>
      <c r="AD723" s="37" t="n">
        <f aca="false">LEN(TEXT(B723, "YYYY-MM-DD"))</f>
        <v>10</v>
      </c>
      <c r="AE723" s="39" t="str">
        <f aca="false">LEFT(TEXT(B723, "YYYY-MM-DD"), 4)</f>
        <v>2011</v>
      </c>
      <c r="AF723" s="39" t="str">
        <f aca="false">RIGHT(TEXT(B723, "YYYY-MM-DD"), 2)</f>
        <v>02</v>
      </c>
    </row>
    <row r="724" customFormat="false" ht="15" hidden="false" customHeight="false" outlineLevel="0" collapsed="false">
      <c r="A724" s="43" t="n">
        <v>720</v>
      </c>
      <c r="B724" s="44" t="s">
        <v>116</v>
      </c>
      <c r="C724" s="43" t="n">
        <v>1</v>
      </c>
      <c r="D724" s="33" t="str">
        <f aca="false">VLOOKUP(C724, Lookups_Metadata!$A$4:$B$7, 2, FALSE())</f>
        <v>Spring</v>
      </c>
      <c r="E724" s="43" t="n">
        <v>0</v>
      </c>
      <c r="F724" s="43" t="n">
        <v>2</v>
      </c>
      <c r="G724" s="43" t="n">
        <v>8</v>
      </c>
      <c r="H724" s="45" t="b">
        <f aca="false">FALSE()</f>
        <v>0</v>
      </c>
      <c r="I724" s="43" t="n">
        <v>3</v>
      </c>
      <c r="J724" s="33" t="str">
        <f aca="false">INDEX(Lookups_Metadata!$E$4:$E$10, MATCH(I724, Lookups_Metadata!$D$4:$D$10, 0))</f>
        <v>Wednesday</v>
      </c>
      <c r="K724" s="33" t="str">
        <f aca="false">IF(H724=TRUE(), "Holiday", IF(OR(I724=0, I724=6), "Weekend", "Weekday"))</f>
        <v>Weekday</v>
      </c>
      <c r="L724" s="33" t="str">
        <f aca="false">IF(AND(K724="Weekday", OR(AND(G724&gt;=7, G724&lt;=9), AND(G724&gt;=17, G724&lt;=19))), "Peak Commute", "Off-Peak")</f>
        <v>Peak Commute</v>
      </c>
      <c r="M724" s="43" t="n">
        <v>3</v>
      </c>
      <c r="N724" s="33" t="str">
        <f aca="false">VLOOKUP(M724, Lookups_Metadata!$G$4:$H$7, 2, FALSE())</f>
        <v>Light Snow / Light Rain</v>
      </c>
      <c r="O724" s="46" t="n">
        <v>0.22</v>
      </c>
      <c r="P724" s="46" t="n">
        <v>0.2121</v>
      </c>
      <c r="Q724" s="46" t="n">
        <f aca="false">IF(OR(P724="", ISBLANK(P724)), ROUND(0.9367*O724+0.0175, 4), P724)</f>
        <v>0.2121</v>
      </c>
      <c r="R724" s="33" t="str">
        <f aca="false">IF(OR(P724="", ISBLANK(P724)), "Imputed (Regression/Trend)", "Original")</f>
        <v>Original</v>
      </c>
      <c r="S724" s="46" t="n">
        <v>0.93</v>
      </c>
      <c r="T724" s="46" t="n">
        <v>0.2239</v>
      </c>
      <c r="U724" s="18" t="n">
        <v>1</v>
      </c>
      <c r="V724" s="18" t="n">
        <v>154</v>
      </c>
      <c r="W724" s="18" t="n">
        <f aca="false">U724+V724</f>
        <v>155</v>
      </c>
      <c r="X724" s="47" t="n">
        <f aca="false">U724/W724</f>
        <v>0.00645161290322581</v>
      </c>
      <c r="Y724" s="47" t="n">
        <f aca="false">V724/W724</f>
        <v>0.993548387096774</v>
      </c>
      <c r="Z724" s="33" t="str">
        <f aca="false">IF(W724&gt;=150, "High Demand", IF(W724&gt;=50, "Moderate Demand", "Low Demand"))</f>
        <v>High Demand</v>
      </c>
      <c r="AA724" s="45" t="str">
        <f aca="false">TEXT(G724, "00") &amp; ":00"</f>
        <v>08:00</v>
      </c>
      <c r="AB724" s="43" t="n">
        <f aca="false">YEAR(B724)</f>
        <v>2011</v>
      </c>
      <c r="AC724" s="33" t="str">
        <f aca="false">TEXT(B724, "mmmm")</f>
        <v>February</v>
      </c>
      <c r="AD724" s="43" t="n">
        <f aca="false">LEN(TEXT(B724, "YYYY-MM-DD"))</f>
        <v>10</v>
      </c>
      <c r="AE724" s="45" t="str">
        <f aca="false">LEFT(TEXT(B724, "YYYY-MM-DD"), 4)</f>
        <v>2011</v>
      </c>
      <c r="AF724" s="45" t="str">
        <f aca="false">RIGHT(TEXT(B724, "YYYY-MM-DD"), 2)</f>
        <v>02</v>
      </c>
    </row>
    <row r="725" customFormat="false" ht="15" hidden="false" customHeight="false" outlineLevel="0" collapsed="false">
      <c r="A725" s="37" t="n">
        <v>721</v>
      </c>
      <c r="B725" s="38" t="s">
        <v>116</v>
      </c>
      <c r="C725" s="37" t="n">
        <v>1</v>
      </c>
      <c r="D725" s="35" t="str">
        <f aca="false">VLOOKUP(C725, Lookups_Metadata!$A$4:$B$7, 2, FALSE())</f>
        <v>Spring</v>
      </c>
      <c r="E725" s="37" t="n">
        <v>0</v>
      </c>
      <c r="F725" s="37" t="n">
        <v>2</v>
      </c>
      <c r="G725" s="37" t="n">
        <v>9</v>
      </c>
      <c r="H725" s="39" t="b">
        <f aca="false">FALSE()</f>
        <v>0</v>
      </c>
      <c r="I725" s="37" t="n">
        <v>3</v>
      </c>
      <c r="J725" s="35" t="str">
        <f aca="false">INDEX(Lookups_Metadata!$E$4:$E$10, MATCH(I725, Lookups_Metadata!$D$4:$D$10, 0))</f>
        <v>Wednesday</v>
      </c>
      <c r="K725" s="35" t="str">
        <f aca="false">IF(H725=TRUE(), "Holiday", IF(OR(I725=0, I725=6), "Weekend", "Weekday"))</f>
        <v>Weekday</v>
      </c>
      <c r="L725" s="35" t="str">
        <f aca="false">IF(AND(K725="Weekday", OR(AND(G725&gt;=7, G725&lt;=9), AND(G725&gt;=17, G725&lt;=19))), "Peak Commute", "Off-Peak")</f>
        <v>Peak Commute</v>
      </c>
      <c r="M725" s="37" t="n">
        <v>2</v>
      </c>
      <c r="N725" s="35" t="str">
        <f aca="false">VLOOKUP(M725, Lookups_Metadata!$G$4:$H$7, 2, FALSE())</f>
        <v>Mist / Cloudy</v>
      </c>
      <c r="O725" s="40" t="n">
        <v>0.24</v>
      </c>
      <c r="P725" s="40" t="n">
        <v>0.2576</v>
      </c>
      <c r="Q725" s="40" t="n">
        <f aca="false">IF(OR(P725="", ISBLANK(P725)), ROUND(0.9367*O725+0.0175, 4), P725)</f>
        <v>0.2576</v>
      </c>
      <c r="R725" s="35" t="str">
        <f aca="false">IF(OR(P725="", ISBLANK(P725)), "Imputed (Regression/Trend)", "Original")</f>
        <v>Original</v>
      </c>
      <c r="S725" s="40" t="n">
        <v>0.93</v>
      </c>
      <c r="T725" s="40" t="n">
        <v>0.0896</v>
      </c>
      <c r="U725" s="41" t="n">
        <v>4</v>
      </c>
      <c r="V725" s="41" t="n">
        <v>119</v>
      </c>
      <c r="W725" s="41" t="n">
        <f aca="false">U725+V725</f>
        <v>123</v>
      </c>
      <c r="X725" s="42" t="n">
        <f aca="false">U725/W725</f>
        <v>0.032520325203252</v>
      </c>
      <c r="Y725" s="42" t="n">
        <f aca="false">V725/W725</f>
        <v>0.967479674796748</v>
      </c>
      <c r="Z725" s="35" t="str">
        <f aca="false">IF(W725&gt;=150, "High Demand", IF(W725&gt;=50, "Moderate Demand", "Low Demand"))</f>
        <v>Moderate Demand</v>
      </c>
      <c r="AA725" s="39" t="str">
        <f aca="false">TEXT(G725, "00") &amp; ":00"</f>
        <v>09:00</v>
      </c>
      <c r="AB725" s="37" t="n">
        <f aca="false">YEAR(B725)</f>
        <v>2011</v>
      </c>
      <c r="AC725" s="35" t="str">
        <f aca="false">TEXT(B725, "mmmm")</f>
        <v>February</v>
      </c>
      <c r="AD725" s="37" t="n">
        <f aca="false">LEN(TEXT(B725, "YYYY-MM-DD"))</f>
        <v>10</v>
      </c>
      <c r="AE725" s="39" t="str">
        <f aca="false">LEFT(TEXT(B725, "YYYY-MM-DD"), 4)</f>
        <v>2011</v>
      </c>
      <c r="AF725" s="39" t="str">
        <f aca="false">RIGHT(TEXT(B725, "YYYY-MM-DD"), 2)</f>
        <v>02</v>
      </c>
    </row>
    <row r="726" customFormat="false" ht="15" hidden="false" customHeight="false" outlineLevel="0" collapsed="false">
      <c r="A726" s="43" t="n">
        <v>722</v>
      </c>
      <c r="B726" s="44" t="s">
        <v>116</v>
      </c>
      <c r="C726" s="43" t="n">
        <v>1</v>
      </c>
      <c r="D726" s="33" t="str">
        <f aca="false">VLOOKUP(C726, Lookups_Metadata!$A$4:$B$7, 2, FALSE())</f>
        <v>Spring</v>
      </c>
      <c r="E726" s="43" t="n">
        <v>0</v>
      </c>
      <c r="F726" s="43" t="n">
        <v>2</v>
      </c>
      <c r="G726" s="43" t="n">
        <v>10</v>
      </c>
      <c r="H726" s="45" t="b">
        <f aca="false">FALSE()</f>
        <v>0</v>
      </c>
      <c r="I726" s="43" t="n">
        <v>3</v>
      </c>
      <c r="J726" s="33" t="str">
        <f aca="false">INDEX(Lookups_Metadata!$E$4:$E$10, MATCH(I726, Lookups_Metadata!$D$4:$D$10, 0))</f>
        <v>Wednesday</v>
      </c>
      <c r="K726" s="33" t="str">
        <f aca="false">IF(H726=TRUE(), "Holiday", IF(OR(I726=0, I726=6), "Weekend", "Weekday"))</f>
        <v>Weekday</v>
      </c>
      <c r="L726" s="33" t="str">
        <f aca="false">IF(AND(K726="Weekday", OR(AND(G726&gt;=7, G726&lt;=9), AND(G726&gt;=17, G726&lt;=19))), "Peak Commute", "Off-Peak")</f>
        <v>Off-Peak</v>
      </c>
      <c r="M726" s="43" t="n">
        <v>2</v>
      </c>
      <c r="N726" s="33" t="str">
        <f aca="false">VLOOKUP(M726, Lookups_Metadata!$G$4:$H$7, 2, FALSE())</f>
        <v>Mist / Cloudy</v>
      </c>
      <c r="O726" s="46" t="n">
        <v>0.22</v>
      </c>
      <c r="P726" s="46" t="n">
        <v>0.2727</v>
      </c>
      <c r="Q726" s="46" t="n">
        <f aca="false">IF(OR(P726="", ISBLANK(P726)), ROUND(0.9367*O726+0.0175, 4), P726)</f>
        <v>0.2727</v>
      </c>
      <c r="R726" s="33" t="str">
        <f aca="false">IF(OR(P726="", ISBLANK(P726)), "Imputed (Regression/Trend)", "Original")</f>
        <v>Original</v>
      </c>
      <c r="S726" s="46" t="n">
        <v>1</v>
      </c>
      <c r="T726" s="46" t="n">
        <v>0</v>
      </c>
      <c r="U726" s="18" t="n">
        <v>2</v>
      </c>
      <c r="V726" s="18" t="n">
        <v>59</v>
      </c>
      <c r="W726" s="18" t="n">
        <f aca="false">U726+V726</f>
        <v>61</v>
      </c>
      <c r="X726" s="47" t="n">
        <f aca="false">U726/W726</f>
        <v>0.0327868852459016</v>
      </c>
      <c r="Y726" s="47" t="n">
        <f aca="false">V726/W726</f>
        <v>0.967213114754098</v>
      </c>
      <c r="Z726" s="33" t="str">
        <f aca="false">IF(W726&gt;=150, "High Demand", IF(W726&gt;=50, "Moderate Demand", "Low Demand"))</f>
        <v>Moderate Demand</v>
      </c>
      <c r="AA726" s="45" t="str">
        <f aca="false">TEXT(G726, "00") &amp; ":00"</f>
        <v>10:00</v>
      </c>
      <c r="AB726" s="43" t="n">
        <f aca="false">YEAR(B726)</f>
        <v>2011</v>
      </c>
      <c r="AC726" s="33" t="str">
        <f aca="false">TEXT(B726, "mmmm")</f>
        <v>February</v>
      </c>
      <c r="AD726" s="43" t="n">
        <f aca="false">LEN(TEXT(B726, "YYYY-MM-DD"))</f>
        <v>10</v>
      </c>
      <c r="AE726" s="45" t="str">
        <f aca="false">LEFT(TEXT(B726, "YYYY-MM-DD"), 4)</f>
        <v>2011</v>
      </c>
      <c r="AF726" s="45" t="str">
        <f aca="false">RIGHT(TEXT(B726, "YYYY-MM-DD"), 2)</f>
        <v>02</v>
      </c>
    </row>
    <row r="727" customFormat="false" ht="15" hidden="false" customHeight="false" outlineLevel="0" collapsed="false">
      <c r="A727" s="37" t="n">
        <v>723</v>
      </c>
      <c r="B727" s="38" t="s">
        <v>116</v>
      </c>
      <c r="C727" s="37" t="n">
        <v>1</v>
      </c>
      <c r="D727" s="35" t="str">
        <f aca="false">VLOOKUP(C727, Lookups_Metadata!$A$4:$B$7, 2, FALSE())</f>
        <v>Spring</v>
      </c>
      <c r="E727" s="37" t="n">
        <v>0</v>
      </c>
      <c r="F727" s="37" t="n">
        <v>2</v>
      </c>
      <c r="G727" s="37" t="n">
        <v>11</v>
      </c>
      <c r="H727" s="39" t="b">
        <f aca="false">FALSE()</f>
        <v>0</v>
      </c>
      <c r="I727" s="37" t="n">
        <v>3</v>
      </c>
      <c r="J727" s="35" t="str">
        <f aca="false">INDEX(Lookups_Metadata!$E$4:$E$10, MATCH(I727, Lookups_Metadata!$D$4:$D$10, 0))</f>
        <v>Wednesday</v>
      </c>
      <c r="K727" s="35" t="str">
        <f aca="false">IF(H727=TRUE(), "Holiday", IF(OR(I727=0, I727=6), "Weekend", "Weekday"))</f>
        <v>Weekday</v>
      </c>
      <c r="L727" s="35" t="str">
        <f aca="false">IF(AND(K727="Weekday", OR(AND(G727&gt;=7, G727&lt;=9), AND(G727&gt;=17, G727&lt;=19))), "Peak Commute", "Off-Peak")</f>
        <v>Off-Peak</v>
      </c>
      <c r="M727" s="37" t="n">
        <v>2</v>
      </c>
      <c r="N727" s="35" t="str">
        <f aca="false">VLOOKUP(M727, Lookups_Metadata!$G$4:$H$7, 2, FALSE())</f>
        <v>Mist / Cloudy</v>
      </c>
      <c r="O727" s="40" t="n">
        <v>0.24</v>
      </c>
      <c r="P727" s="40" t="n">
        <v>0.2273</v>
      </c>
      <c r="Q727" s="40" t="n">
        <f aca="false">IF(OR(P727="", ISBLANK(P727)), ROUND(0.9367*O727+0.0175, 4), P727)</f>
        <v>0.2273</v>
      </c>
      <c r="R727" s="35" t="str">
        <f aca="false">IF(OR(P727="", ISBLANK(P727)), "Imputed (Regression/Trend)", "Original")</f>
        <v>Original</v>
      </c>
      <c r="S727" s="40" t="n">
        <v>0.93</v>
      </c>
      <c r="T727" s="40" t="n">
        <v>0.194</v>
      </c>
      <c r="U727" s="41" t="n">
        <v>5</v>
      </c>
      <c r="V727" s="41" t="n">
        <v>47</v>
      </c>
      <c r="W727" s="41" t="n">
        <f aca="false">U727+V727</f>
        <v>52</v>
      </c>
      <c r="X727" s="42" t="n">
        <f aca="false">U727/W727</f>
        <v>0.0961538461538462</v>
      </c>
      <c r="Y727" s="42" t="n">
        <f aca="false">V727/W727</f>
        <v>0.903846153846154</v>
      </c>
      <c r="Z727" s="35" t="str">
        <f aca="false">IF(W727&gt;=150, "High Demand", IF(W727&gt;=50, "Moderate Demand", "Low Demand"))</f>
        <v>Moderate Demand</v>
      </c>
      <c r="AA727" s="39" t="str">
        <f aca="false">TEXT(G727, "00") &amp; ":00"</f>
        <v>11:00</v>
      </c>
      <c r="AB727" s="37" t="n">
        <f aca="false">YEAR(B727)</f>
        <v>2011</v>
      </c>
      <c r="AC727" s="35" t="str">
        <f aca="false">TEXT(B727, "mmmm")</f>
        <v>February</v>
      </c>
      <c r="AD727" s="37" t="n">
        <f aca="false">LEN(TEXT(B727, "YYYY-MM-DD"))</f>
        <v>10</v>
      </c>
      <c r="AE727" s="39" t="str">
        <f aca="false">LEFT(TEXT(B727, "YYYY-MM-DD"), 4)</f>
        <v>2011</v>
      </c>
      <c r="AF727" s="39" t="str">
        <f aca="false">RIGHT(TEXT(B727, "YYYY-MM-DD"), 2)</f>
        <v>02</v>
      </c>
    </row>
    <row r="728" customFormat="false" ht="15" hidden="false" customHeight="false" outlineLevel="0" collapsed="false">
      <c r="A728" s="43" t="n">
        <v>724</v>
      </c>
      <c r="B728" s="44" t="s">
        <v>116</v>
      </c>
      <c r="C728" s="43" t="n">
        <v>1</v>
      </c>
      <c r="D728" s="33" t="str">
        <f aca="false">VLOOKUP(C728, Lookups_Metadata!$A$4:$B$7, 2, FALSE())</f>
        <v>Spring</v>
      </c>
      <c r="E728" s="43" t="n">
        <v>0</v>
      </c>
      <c r="F728" s="43" t="n">
        <v>2</v>
      </c>
      <c r="G728" s="43" t="n">
        <v>12</v>
      </c>
      <c r="H728" s="45" t="b">
        <f aca="false">FALSE()</f>
        <v>0</v>
      </c>
      <c r="I728" s="43" t="n">
        <v>3</v>
      </c>
      <c r="J728" s="33" t="str">
        <f aca="false">INDEX(Lookups_Metadata!$E$4:$E$10, MATCH(I728, Lookups_Metadata!$D$4:$D$10, 0))</f>
        <v>Wednesday</v>
      </c>
      <c r="K728" s="33" t="str">
        <f aca="false">IF(H728=TRUE(), "Holiday", IF(OR(I728=0, I728=6), "Weekend", "Weekday"))</f>
        <v>Weekday</v>
      </c>
      <c r="L728" s="33" t="str">
        <f aca="false">IF(AND(K728="Weekday", OR(AND(G728&gt;=7, G728&lt;=9), AND(G728&gt;=17, G728&lt;=19))), "Peak Commute", "Off-Peak")</f>
        <v>Off-Peak</v>
      </c>
      <c r="M728" s="43" t="n">
        <v>2</v>
      </c>
      <c r="N728" s="33" t="str">
        <f aca="false">VLOOKUP(M728, Lookups_Metadata!$G$4:$H$7, 2, FALSE())</f>
        <v>Mist / Cloudy</v>
      </c>
      <c r="O728" s="46" t="n">
        <v>0.24</v>
      </c>
      <c r="P728" s="46" t="n">
        <v>0.2273</v>
      </c>
      <c r="Q728" s="46" t="n">
        <f aca="false">IF(OR(P728="", ISBLANK(P728)), ROUND(0.9367*O728+0.0175, 4), P728)</f>
        <v>0.2273</v>
      </c>
      <c r="R728" s="33" t="str">
        <f aca="false">IF(OR(P728="", ISBLANK(P728)), "Imputed (Regression/Trend)", "Original")</f>
        <v>Original</v>
      </c>
      <c r="S728" s="46" t="n">
        <v>0.93</v>
      </c>
      <c r="T728" s="46" t="n">
        <v>0.2239</v>
      </c>
      <c r="U728" s="18" t="n">
        <v>3</v>
      </c>
      <c r="V728" s="18" t="n">
        <v>61</v>
      </c>
      <c r="W728" s="18" t="n">
        <f aca="false">U728+V728</f>
        <v>64</v>
      </c>
      <c r="X728" s="47" t="n">
        <f aca="false">U728/W728</f>
        <v>0.046875</v>
      </c>
      <c r="Y728" s="47" t="n">
        <f aca="false">V728/W728</f>
        <v>0.953125</v>
      </c>
      <c r="Z728" s="33" t="str">
        <f aca="false">IF(W728&gt;=150, "High Demand", IF(W728&gt;=50, "Moderate Demand", "Low Demand"))</f>
        <v>Moderate Demand</v>
      </c>
      <c r="AA728" s="45" t="str">
        <f aca="false">TEXT(G728, "00") &amp; ":00"</f>
        <v>12:00</v>
      </c>
      <c r="AB728" s="43" t="n">
        <f aca="false">YEAR(B728)</f>
        <v>2011</v>
      </c>
      <c r="AC728" s="33" t="str">
        <f aca="false">TEXT(B728, "mmmm")</f>
        <v>February</v>
      </c>
      <c r="AD728" s="43" t="n">
        <f aca="false">LEN(TEXT(B728, "YYYY-MM-DD"))</f>
        <v>10</v>
      </c>
      <c r="AE728" s="45" t="str">
        <f aca="false">LEFT(TEXT(B728, "YYYY-MM-DD"), 4)</f>
        <v>2011</v>
      </c>
      <c r="AF728" s="45" t="str">
        <f aca="false">RIGHT(TEXT(B728, "YYYY-MM-DD"), 2)</f>
        <v>02</v>
      </c>
    </row>
    <row r="729" customFormat="false" ht="15" hidden="false" customHeight="false" outlineLevel="0" collapsed="false">
      <c r="A729" s="37" t="n">
        <v>725</v>
      </c>
      <c r="B729" s="38" t="s">
        <v>116</v>
      </c>
      <c r="C729" s="37" t="n">
        <v>1</v>
      </c>
      <c r="D729" s="35" t="str">
        <f aca="false">VLOOKUP(C729, Lookups_Metadata!$A$4:$B$7, 2, FALSE())</f>
        <v>Spring</v>
      </c>
      <c r="E729" s="37" t="n">
        <v>0</v>
      </c>
      <c r="F729" s="37" t="n">
        <v>2</v>
      </c>
      <c r="G729" s="37" t="n">
        <v>13</v>
      </c>
      <c r="H729" s="39" t="b">
        <f aca="false">FALSE()</f>
        <v>0</v>
      </c>
      <c r="I729" s="37" t="n">
        <v>3</v>
      </c>
      <c r="J729" s="35" t="str">
        <f aca="false">INDEX(Lookups_Metadata!$E$4:$E$10, MATCH(I729, Lookups_Metadata!$D$4:$D$10, 0))</f>
        <v>Wednesday</v>
      </c>
      <c r="K729" s="35" t="str">
        <f aca="false">IF(H729=TRUE(), "Holiday", IF(OR(I729=0, I729=6), "Weekend", "Weekday"))</f>
        <v>Weekday</v>
      </c>
      <c r="L729" s="35" t="str">
        <f aca="false">IF(AND(K729="Weekday", OR(AND(G729&gt;=7, G729&lt;=9), AND(G729&gt;=17, G729&lt;=19))), "Peak Commute", "Off-Peak")</f>
        <v>Off-Peak</v>
      </c>
      <c r="M729" s="37" t="n">
        <v>1</v>
      </c>
      <c r="N729" s="35" t="str">
        <f aca="false">VLOOKUP(M729, Lookups_Metadata!$G$4:$H$7, 2, FALSE())</f>
        <v>Clear / Few Clouds</v>
      </c>
      <c r="O729" s="40" t="n">
        <v>0.34</v>
      </c>
      <c r="P729" s="40" t="n">
        <v>0.3333</v>
      </c>
      <c r="Q729" s="40" t="n">
        <f aca="false">IF(OR(P729="", ISBLANK(P729)), ROUND(0.9367*O729+0.0175, 4), P729)</f>
        <v>0.3333</v>
      </c>
      <c r="R729" s="35" t="str">
        <f aca="false">IF(OR(P729="", ISBLANK(P729)), "Imputed (Regression/Trend)", "Original")</f>
        <v>Original</v>
      </c>
      <c r="S729" s="40" t="n">
        <v>0.93</v>
      </c>
      <c r="T729" s="40" t="n">
        <v>0.1642</v>
      </c>
      <c r="U729" s="41" t="n">
        <v>1</v>
      </c>
      <c r="V729" s="41" t="n">
        <v>74</v>
      </c>
      <c r="W729" s="41" t="n">
        <f aca="false">U729+V729</f>
        <v>75</v>
      </c>
      <c r="X729" s="42" t="n">
        <f aca="false">U729/W729</f>
        <v>0.0133333333333333</v>
      </c>
      <c r="Y729" s="42" t="n">
        <f aca="false">V729/W729</f>
        <v>0.986666666666667</v>
      </c>
      <c r="Z729" s="35" t="str">
        <f aca="false">IF(W729&gt;=150, "High Demand", IF(W729&gt;=50, "Moderate Demand", "Low Demand"))</f>
        <v>Moderate Demand</v>
      </c>
      <c r="AA729" s="39" t="str">
        <f aca="false">TEXT(G729, "00") &amp; ":00"</f>
        <v>13:00</v>
      </c>
      <c r="AB729" s="37" t="n">
        <f aca="false">YEAR(B729)</f>
        <v>2011</v>
      </c>
      <c r="AC729" s="35" t="str">
        <f aca="false">TEXT(B729, "mmmm")</f>
        <v>February</v>
      </c>
      <c r="AD729" s="37" t="n">
        <f aca="false">LEN(TEXT(B729, "YYYY-MM-DD"))</f>
        <v>10</v>
      </c>
      <c r="AE729" s="39" t="str">
        <f aca="false">LEFT(TEXT(B729, "YYYY-MM-DD"), 4)</f>
        <v>2011</v>
      </c>
      <c r="AF729" s="39" t="str">
        <f aca="false">RIGHT(TEXT(B729, "YYYY-MM-DD"), 2)</f>
        <v>02</v>
      </c>
    </row>
    <row r="730" customFormat="false" ht="15" hidden="false" customHeight="false" outlineLevel="0" collapsed="false">
      <c r="A730" s="43" t="n">
        <v>726</v>
      </c>
      <c r="B730" s="44" t="s">
        <v>116</v>
      </c>
      <c r="C730" s="43" t="n">
        <v>1</v>
      </c>
      <c r="D730" s="33" t="str">
        <f aca="false">VLOOKUP(C730, Lookups_Metadata!$A$4:$B$7, 2, FALSE())</f>
        <v>Spring</v>
      </c>
      <c r="E730" s="43" t="n">
        <v>0</v>
      </c>
      <c r="F730" s="43" t="n">
        <v>2</v>
      </c>
      <c r="G730" s="43" t="n">
        <v>14</v>
      </c>
      <c r="H730" s="45" t="b">
        <f aca="false">FALSE()</f>
        <v>0</v>
      </c>
      <c r="I730" s="43" t="n">
        <v>3</v>
      </c>
      <c r="J730" s="33" t="str">
        <f aca="false">INDEX(Lookups_Metadata!$E$4:$E$10, MATCH(I730, Lookups_Metadata!$D$4:$D$10, 0))</f>
        <v>Wednesday</v>
      </c>
      <c r="K730" s="33" t="str">
        <f aca="false">IF(H730=TRUE(), "Holiday", IF(OR(I730=0, I730=6), "Weekend", "Weekday"))</f>
        <v>Weekday</v>
      </c>
      <c r="L730" s="33" t="str">
        <f aca="false">IF(AND(K730="Weekday", OR(AND(G730&gt;=7, G730&lt;=9), AND(G730&gt;=17, G730&lt;=19))), "Peak Commute", "Off-Peak")</f>
        <v>Off-Peak</v>
      </c>
      <c r="M730" s="43" t="n">
        <v>1</v>
      </c>
      <c r="N730" s="33" t="str">
        <f aca="false">VLOOKUP(M730, Lookups_Metadata!$G$4:$H$7, 2, FALSE())</f>
        <v>Clear / Few Clouds</v>
      </c>
      <c r="O730" s="46" t="n">
        <v>0.38</v>
      </c>
      <c r="P730" s="46" t="n">
        <v>0.3939</v>
      </c>
      <c r="Q730" s="46" t="n">
        <f aca="false">IF(OR(P730="", ISBLANK(P730)), ROUND(0.9367*O730+0.0175, 4), P730)</f>
        <v>0.3939</v>
      </c>
      <c r="R730" s="33" t="str">
        <f aca="false">IF(OR(P730="", ISBLANK(P730)), "Imputed (Regression/Trend)", "Original")</f>
        <v>Original</v>
      </c>
      <c r="S730" s="46" t="n">
        <v>0.82</v>
      </c>
      <c r="T730" s="46" t="n">
        <v>0.3881</v>
      </c>
      <c r="U730" s="18" t="n">
        <v>2</v>
      </c>
      <c r="V730" s="18" t="n">
        <v>61</v>
      </c>
      <c r="W730" s="18" t="n">
        <f aca="false">U730+V730</f>
        <v>63</v>
      </c>
      <c r="X730" s="47" t="n">
        <f aca="false">U730/W730</f>
        <v>0.0317460317460317</v>
      </c>
      <c r="Y730" s="47" t="n">
        <f aca="false">V730/W730</f>
        <v>0.968253968253968</v>
      </c>
      <c r="Z730" s="33" t="str">
        <f aca="false">IF(W730&gt;=150, "High Demand", IF(W730&gt;=50, "Moderate Demand", "Low Demand"))</f>
        <v>Moderate Demand</v>
      </c>
      <c r="AA730" s="45" t="str">
        <f aca="false">TEXT(G730, "00") &amp; ":00"</f>
        <v>14:00</v>
      </c>
      <c r="AB730" s="43" t="n">
        <f aca="false">YEAR(B730)</f>
        <v>2011</v>
      </c>
      <c r="AC730" s="33" t="str">
        <f aca="false">TEXT(B730, "mmmm")</f>
        <v>February</v>
      </c>
      <c r="AD730" s="43" t="n">
        <f aca="false">LEN(TEXT(B730, "YYYY-MM-DD"))</f>
        <v>10</v>
      </c>
      <c r="AE730" s="45" t="str">
        <f aca="false">LEFT(TEXT(B730, "YYYY-MM-DD"), 4)</f>
        <v>2011</v>
      </c>
      <c r="AF730" s="45" t="str">
        <f aca="false">RIGHT(TEXT(B730, "YYYY-MM-DD"), 2)</f>
        <v>02</v>
      </c>
    </row>
    <row r="731" customFormat="false" ht="15" hidden="false" customHeight="false" outlineLevel="0" collapsed="false">
      <c r="A731" s="37" t="n">
        <v>727</v>
      </c>
      <c r="B731" s="38" t="s">
        <v>116</v>
      </c>
      <c r="C731" s="37" t="n">
        <v>1</v>
      </c>
      <c r="D731" s="35" t="str">
        <f aca="false">VLOOKUP(C731, Lookups_Metadata!$A$4:$B$7, 2, FALSE())</f>
        <v>Spring</v>
      </c>
      <c r="E731" s="37" t="n">
        <v>0</v>
      </c>
      <c r="F731" s="37" t="n">
        <v>2</v>
      </c>
      <c r="G731" s="37" t="n">
        <v>15</v>
      </c>
      <c r="H731" s="39" t="b">
        <f aca="false">FALSE()</f>
        <v>0</v>
      </c>
      <c r="I731" s="37" t="n">
        <v>3</v>
      </c>
      <c r="J731" s="35" t="str">
        <f aca="false">INDEX(Lookups_Metadata!$E$4:$E$10, MATCH(I731, Lookups_Metadata!$D$4:$D$10, 0))</f>
        <v>Wednesday</v>
      </c>
      <c r="K731" s="35" t="str">
        <f aca="false">IF(H731=TRUE(), "Holiday", IF(OR(I731=0, I731=6), "Weekend", "Weekday"))</f>
        <v>Weekday</v>
      </c>
      <c r="L731" s="35" t="str">
        <f aca="false">IF(AND(K731="Weekday", OR(AND(G731&gt;=7, G731&lt;=9), AND(G731&gt;=17, G731&lt;=19))), "Peak Commute", "Off-Peak")</f>
        <v>Off-Peak</v>
      </c>
      <c r="M731" s="37" t="n">
        <v>1</v>
      </c>
      <c r="N731" s="35" t="str">
        <f aca="false">VLOOKUP(M731, Lookups_Metadata!$G$4:$H$7, 2, FALSE())</f>
        <v>Clear / Few Clouds</v>
      </c>
      <c r="O731" s="40" t="n">
        <v>0.38</v>
      </c>
      <c r="P731" s="40" t="n">
        <v>0.3939</v>
      </c>
      <c r="Q731" s="40" t="n">
        <f aca="false">IF(OR(P731="", ISBLANK(P731)), ROUND(0.9367*O731+0.0175, 4), P731)</f>
        <v>0.3939</v>
      </c>
      <c r="R731" s="35" t="str">
        <f aca="false">IF(OR(P731="", ISBLANK(P731)), "Imputed (Regression/Trend)", "Original")</f>
        <v>Original</v>
      </c>
      <c r="S731" s="40" t="n">
        <v>0.76</v>
      </c>
      <c r="T731" s="40" t="n">
        <v>0.3284</v>
      </c>
      <c r="U731" s="41" t="n">
        <v>10</v>
      </c>
      <c r="V731" s="41" t="n">
        <v>66</v>
      </c>
      <c r="W731" s="41" t="n">
        <f aca="false">U731+V731</f>
        <v>76</v>
      </c>
      <c r="X731" s="42" t="n">
        <f aca="false">U731/W731</f>
        <v>0.131578947368421</v>
      </c>
      <c r="Y731" s="42" t="n">
        <f aca="false">V731/W731</f>
        <v>0.868421052631579</v>
      </c>
      <c r="Z731" s="35" t="str">
        <f aca="false">IF(W731&gt;=150, "High Demand", IF(W731&gt;=50, "Moderate Demand", "Low Demand"))</f>
        <v>Moderate Demand</v>
      </c>
      <c r="AA731" s="39" t="str">
        <f aca="false">TEXT(G731, "00") &amp; ":00"</f>
        <v>15:00</v>
      </c>
      <c r="AB731" s="37" t="n">
        <f aca="false">YEAR(B731)</f>
        <v>2011</v>
      </c>
      <c r="AC731" s="35" t="str">
        <f aca="false">TEXT(B731, "mmmm")</f>
        <v>February</v>
      </c>
      <c r="AD731" s="37" t="n">
        <f aca="false">LEN(TEXT(B731, "YYYY-MM-DD"))</f>
        <v>10</v>
      </c>
      <c r="AE731" s="39" t="str">
        <f aca="false">LEFT(TEXT(B731, "YYYY-MM-DD"), 4)</f>
        <v>2011</v>
      </c>
      <c r="AF731" s="39" t="str">
        <f aca="false">RIGHT(TEXT(B731, "YYYY-MM-DD"), 2)</f>
        <v>02</v>
      </c>
    </row>
    <row r="732" customFormat="false" ht="15" hidden="false" customHeight="false" outlineLevel="0" collapsed="false">
      <c r="A732" s="43" t="n">
        <v>728</v>
      </c>
      <c r="B732" s="44" t="s">
        <v>116</v>
      </c>
      <c r="C732" s="43" t="n">
        <v>1</v>
      </c>
      <c r="D732" s="33" t="str">
        <f aca="false">VLOOKUP(C732, Lookups_Metadata!$A$4:$B$7, 2, FALSE())</f>
        <v>Spring</v>
      </c>
      <c r="E732" s="43" t="n">
        <v>0</v>
      </c>
      <c r="F732" s="43" t="n">
        <v>2</v>
      </c>
      <c r="G732" s="43" t="n">
        <v>16</v>
      </c>
      <c r="H732" s="45" t="b">
        <f aca="false">FALSE()</f>
        <v>0</v>
      </c>
      <c r="I732" s="43" t="n">
        <v>3</v>
      </c>
      <c r="J732" s="33" t="str">
        <f aca="false">INDEX(Lookups_Metadata!$E$4:$E$10, MATCH(I732, Lookups_Metadata!$D$4:$D$10, 0))</f>
        <v>Wednesday</v>
      </c>
      <c r="K732" s="33" t="str">
        <f aca="false">IF(H732=TRUE(), "Holiday", IF(OR(I732=0, I732=6), "Weekend", "Weekday"))</f>
        <v>Weekday</v>
      </c>
      <c r="L732" s="33" t="str">
        <f aca="false">IF(AND(K732="Weekday", OR(AND(G732&gt;=7, G732&lt;=9), AND(G732&gt;=17, G732&lt;=19))), "Peak Commute", "Off-Peak")</f>
        <v>Off-Peak</v>
      </c>
      <c r="M732" s="43" t="n">
        <v>1</v>
      </c>
      <c r="N732" s="33" t="str">
        <f aca="false">VLOOKUP(M732, Lookups_Metadata!$G$4:$H$7, 2, FALSE())</f>
        <v>Clear / Few Clouds</v>
      </c>
      <c r="O732" s="46" t="n">
        <v>0.36</v>
      </c>
      <c r="P732" s="46" t="n">
        <v>0.3333</v>
      </c>
      <c r="Q732" s="46" t="n">
        <f aca="false">IF(OR(P732="", ISBLANK(P732)), ROUND(0.9367*O732+0.0175, 4), P732)</f>
        <v>0.3333</v>
      </c>
      <c r="R732" s="33" t="str">
        <f aca="false">IF(OR(P732="", ISBLANK(P732)), "Imputed (Regression/Trend)", "Original")</f>
        <v>Original</v>
      </c>
      <c r="S732" s="46" t="n">
        <v>0.71</v>
      </c>
      <c r="T732" s="46" t="n">
        <v>0.2985</v>
      </c>
      <c r="U732" s="18" t="n">
        <v>8</v>
      </c>
      <c r="V732" s="18" t="n">
        <v>95</v>
      </c>
      <c r="W732" s="18" t="n">
        <f aca="false">U732+V732</f>
        <v>103</v>
      </c>
      <c r="X732" s="47" t="n">
        <f aca="false">U732/W732</f>
        <v>0.0776699029126214</v>
      </c>
      <c r="Y732" s="47" t="n">
        <f aca="false">V732/W732</f>
        <v>0.922330097087379</v>
      </c>
      <c r="Z732" s="33" t="str">
        <f aca="false">IF(W732&gt;=150, "High Demand", IF(W732&gt;=50, "Moderate Demand", "Low Demand"))</f>
        <v>Moderate Demand</v>
      </c>
      <c r="AA732" s="45" t="str">
        <f aca="false">TEXT(G732, "00") &amp; ":00"</f>
        <v>16:00</v>
      </c>
      <c r="AB732" s="43" t="n">
        <f aca="false">YEAR(B732)</f>
        <v>2011</v>
      </c>
      <c r="AC732" s="33" t="str">
        <f aca="false">TEXT(B732, "mmmm")</f>
        <v>February</v>
      </c>
      <c r="AD732" s="43" t="n">
        <f aca="false">LEN(TEXT(B732, "YYYY-MM-DD"))</f>
        <v>10</v>
      </c>
      <c r="AE732" s="45" t="str">
        <f aca="false">LEFT(TEXT(B732, "YYYY-MM-DD"), 4)</f>
        <v>2011</v>
      </c>
      <c r="AF732" s="45" t="str">
        <f aca="false">RIGHT(TEXT(B732, "YYYY-MM-DD"), 2)</f>
        <v>02</v>
      </c>
    </row>
    <row r="733" customFormat="false" ht="15" hidden="false" customHeight="false" outlineLevel="0" collapsed="false">
      <c r="A733" s="37" t="n">
        <v>729</v>
      </c>
      <c r="B733" s="38" t="s">
        <v>116</v>
      </c>
      <c r="C733" s="37" t="n">
        <v>1</v>
      </c>
      <c r="D733" s="35" t="str">
        <f aca="false">VLOOKUP(C733, Lookups_Metadata!$A$4:$B$7, 2, FALSE())</f>
        <v>Spring</v>
      </c>
      <c r="E733" s="37" t="n">
        <v>0</v>
      </c>
      <c r="F733" s="37" t="n">
        <v>2</v>
      </c>
      <c r="G733" s="37" t="n">
        <v>17</v>
      </c>
      <c r="H733" s="39" t="b">
        <f aca="false">FALSE()</f>
        <v>0</v>
      </c>
      <c r="I733" s="37" t="n">
        <v>3</v>
      </c>
      <c r="J733" s="35" t="str">
        <f aca="false">INDEX(Lookups_Metadata!$E$4:$E$10, MATCH(I733, Lookups_Metadata!$D$4:$D$10, 0))</f>
        <v>Wednesday</v>
      </c>
      <c r="K733" s="35" t="str">
        <f aca="false">IF(H733=TRUE(), "Holiday", IF(OR(I733=0, I733=6), "Weekend", "Weekday"))</f>
        <v>Weekday</v>
      </c>
      <c r="L733" s="35" t="str">
        <f aca="false">IF(AND(K733="Weekday", OR(AND(G733&gt;=7, G733&lt;=9), AND(G733&gt;=17, G733&lt;=19))), "Peak Commute", "Off-Peak")</f>
        <v>Peak Commute</v>
      </c>
      <c r="M733" s="37" t="n">
        <v>1</v>
      </c>
      <c r="N733" s="35" t="str">
        <f aca="false">VLOOKUP(M733, Lookups_Metadata!$G$4:$H$7, 2, FALSE())</f>
        <v>Clear / Few Clouds</v>
      </c>
      <c r="O733" s="40" t="n">
        <v>0.36</v>
      </c>
      <c r="P733" s="40" t="n">
        <v>0.3182</v>
      </c>
      <c r="Q733" s="40" t="n">
        <f aca="false">IF(OR(P733="", ISBLANK(P733)), ROUND(0.9367*O733+0.0175, 4), P733)</f>
        <v>0.3182</v>
      </c>
      <c r="R733" s="35" t="str">
        <f aca="false">IF(OR(P733="", ISBLANK(P733)), "Imputed (Regression/Trend)", "Original")</f>
        <v>Original</v>
      </c>
      <c r="S733" s="40" t="n">
        <v>0.53</v>
      </c>
      <c r="T733" s="40" t="n">
        <v>0.5224</v>
      </c>
      <c r="U733" s="41" t="n">
        <v>7</v>
      </c>
      <c r="V733" s="41" t="n">
        <v>183</v>
      </c>
      <c r="W733" s="41" t="n">
        <f aca="false">U733+V733</f>
        <v>190</v>
      </c>
      <c r="X733" s="42" t="n">
        <f aca="false">U733/W733</f>
        <v>0.0368421052631579</v>
      </c>
      <c r="Y733" s="42" t="n">
        <f aca="false">V733/W733</f>
        <v>0.963157894736842</v>
      </c>
      <c r="Z733" s="35" t="str">
        <f aca="false">IF(W733&gt;=150, "High Demand", IF(W733&gt;=50, "Moderate Demand", "Low Demand"))</f>
        <v>High Demand</v>
      </c>
      <c r="AA733" s="39" t="str">
        <f aca="false">TEXT(G733, "00") &amp; ":00"</f>
        <v>17:00</v>
      </c>
      <c r="AB733" s="37" t="n">
        <f aca="false">YEAR(B733)</f>
        <v>2011</v>
      </c>
      <c r="AC733" s="35" t="str">
        <f aca="false">TEXT(B733, "mmmm")</f>
        <v>February</v>
      </c>
      <c r="AD733" s="37" t="n">
        <f aca="false">LEN(TEXT(B733, "YYYY-MM-DD"))</f>
        <v>10</v>
      </c>
      <c r="AE733" s="39" t="str">
        <f aca="false">LEFT(TEXT(B733, "YYYY-MM-DD"), 4)</f>
        <v>2011</v>
      </c>
      <c r="AF733" s="39" t="str">
        <f aca="false">RIGHT(TEXT(B733, "YYYY-MM-DD"), 2)</f>
        <v>02</v>
      </c>
    </row>
    <row r="734" customFormat="false" ht="15" hidden="false" customHeight="false" outlineLevel="0" collapsed="false">
      <c r="A734" s="43" t="n">
        <v>730</v>
      </c>
      <c r="B734" s="44" t="s">
        <v>116</v>
      </c>
      <c r="C734" s="43" t="n">
        <v>1</v>
      </c>
      <c r="D734" s="33" t="str">
        <f aca="false">VLOOKUP(C734, Lookups_Metadata!$A$4:$B$7, 2, FALSE())</f>
        <v>Spring</v>
      </c>
      <c r="E734" s="43" t="n">
        <v>0</v>
      </c>
      <c r="F734" s="43" t="n">
        <v>2</v>
      </c>
      <c r="G734" s="43" t="n">
        <v>18</v>
      </c>
      <c r="H734" s="45" t="b">
        <f aca="false">FALSE()</f>
        <v>0</v>
      </c>
      <c r="I734" s="43" t="n">
        <v>3</v>
      </c>
      <c r="J734" s="33" t="str">
        <f aca="false">INDEX(Lookups_Metadata!$E$4:$E$10, MATCH(I734, Lookups_Metadata!$D$4:$D$10, 0))</f>
        <v>Wednesday</v>
      </c>
      <c r="K734" s="33" t="str">
        <f aca="false">IF(H734=TRUE(), "Holiday", IF(OR(I734=0, I734=6), "Weekend", "Weekday"))</f>
        <v>Weekday</v>
      </c>
      <c r="L734" s="33" t="str">
        <f aca="false">IF(AND(K734="Weekday", OR(AND(G734&gt;=7, G734&lt;=9), AND(G734&gt;=17, G734&lt;=19))), "Peak Commute", "Off-Peak")</f>
        <v>Peak Commute</v>
      </c>
      <c r="M734" s="43" t="n">
        <v>1</v>
      </c>
      <c r="N734" s="33" t="str">
        <f aca="false">VLOOKUP(M734, Lookups_Metadata!$G$4:$H$7, 2, FALSE())</f>
        <v>Clear / Few Clouds</v>
      </c>
      <c r="O734" s="46" t="n">
        <v>0.34</v>
      </c>
      <c r="P734" s="46" t="n">
        <v>0.2879</v>
      </c>
      <c r="Q734" s="46" t="n">
        <f aca="false">IF(OR(P734="", ISBLANK(P734)), ROUND(0.9367*O734+0.0175, 4), P734)</f>
        <v>0.2879</v>
      </c>
      <c r="R734" s="33" t="str">
        <f aca="false">IF(OR(P734="", ISBLANK(P734)), "Imputed (Regression/Trend)", "Original")</f>
        <v>Original</v>
      </c>
      <c r="S734" s="46" t="n">
        <v>0.42</v>
      </c>
      <c r="T734" s="46" t="n">
        <v>0.5522</v>
      </c>
      <c r="U734" s="18" t="n">
        <v>7</v>
      </c>
      <c r="V734" s="18" t="n">
        <v>175</v>
      </c>
      <c r="W734" s="18" t="n">
        <f aca="false">U734+V734</f>
        <v>182</v>
      </c>
      <c r="X734" s="47" t="n">
        <f aca="false">U734/W734</f>
        <v>0.0384615384615385</v>
      </c>
      <c r="Y734" s="47" t="n">
        <f aca="false">V734/W734</f>
        <v>0.961538461538462</v>
      </c>
      <c r="Z734" s="33" t="str">
        <f aca="false">IF(W734&gt;=150, "High Demand", IF(W734&gt;=50, "Moderate Demand", "Low Demand"))</f>
        <v>High Demand</v>
      </c>
      <c r="AA734" s="45" t="str">
        <f aca="false">TEXT(G734, "00") &amp; ":00"</f>
        <v>18:00</v>
      </c>
      <c r="AB734" s="43" t="n">
        <f aca="false">YEAR(B734)</f>
        <v>2011</v>
      </c>
      <c r="AC734" s="33" t="str">
        <f aca="false">TEXT(B734, "mmmm")</f>
        <v>February</v>
      </c>
      <c r="AD734" s="43" t="n">
        <f aca="false">LEN(TEXT(B734, "YYYY-MM-DD"))</f>
        <v>10</v>
      </c>
      <c r="AE734" s="45" t="str">
        <f aca="false">LEFT(TEXT(B734, "YYYY-MM-DD"), 4)</f>
        <v>2011</v>
      </c>
      <c r="AF734" s="45" t="str">
        <f aca="false">RIGHT(TEXT(B734, "YYYY-MM-DD"), 2)</f>
        <v>02</v>
      </c>
    </row>
    <row r="735" customFormat="false" ht="15" hidden="false" customHeight="false" outlineLevel="0" collapsed="false">
      <c r="A735" s="37" t="n">
        <v>731</v>
      </c>
      <c r="B735" s="38" t="s">
        <v>116</v>
      </c>
      <c r="C735" s="37" t="n">
        <v>1</v>
      </c>
      <c r="D735" s="35" t="str">
        <f aca="false">VLOOKUP(C735, Lookups_Metadata!$A$4:$B$7, 2, FALSE())</f>
        <v>Spring</v>
      </c>
      <c r="E735" s="37" t="n">
        <v>0</v>
      </c>
      <c r="F735" s="37" t="n">
        <v>2</v>
      </c>
      <c r="G735" s="37" t="n">
        <v>19</v>
      </c>
      <c r="H735" s="39" t="b">
        <f aca="false">FALSE()</f>
        <v>0</v>
      </c>
      <c r="I735" s="37" t="n">
        <v>3</v>
      </c>
      <c r="J735" s="35" t="str">
        <f aca="false">INDEX(Lookups_Metadata!$E$4:$E$10, MATCH(I735, Lookups_Metadata!$D$4:$D$10, 0))</f>
        <v>Wednesday</v>
      </c>
      <c r="K735" s="35" t="str">
        <f aca="false">IF(H735=TRUE(), "Holiday", IF(OR(I735=0, I735=6), "Weekend", "Weekday"))</f>
        <v>Weekday</v>
      </c>
      <c r="L735" s="35" t="str">
        <f aca="false">IF(AND(K735="Weekday", OR(AND(G735&gt;=7, G735&lt;=9), AND(G735&gt;=17, G735&lt;=19))), "Peak Commute", "Off-Peak")</f>
        <v>Peak Commute</v>
      </c>
      <c r="M735" s="37" t="n">
        <v>1</v>
      </c>
      <c r="N735" s="35" t="str">
        <f aca="false">VLOOKUP(M735, Lookups_Metadata!$G$4:$H$7, 2, FALSE())</f>
        <v>Clear / Few Clouds</v>
      </c>
      <c r="O735" s="40" t="n">
        <v>0.28</v>
      </c>
      <c r="P735" s="40" t="n">
        <v>0.2424</v>
      </c>
      <c r="Q735" s="40" t="n">
        <f aca="false">IF(OR(P735="", ISBLANK(P735)), ROUND(0.9367*O735+0.0175, 4), P735)</f>
        <v>0.2424</v>
      </c>
      <c r="R735" s="35" t="str">
        <f aca="false">IF(OR(P735="", ISBLANK(P735)), "Imputed (Regression/Trend)", "Original")</f>
        <v>Original</v>
      </c>
      <c r="S735" s="40" t="n">
        <v>0.45</v>
      </c>
      <c r="T735" s="40" t="n">
        <v>0.4925</v>
      </c>
      <c r="U735" s="41" t="n">
        <v>3</v>
      </c>
      <c r="V735" s="41" t="n">
        <v>88</v>
      </c>
      <c r="W735" s="41" t="n">
        <f aca="false">U735+V735</f>
        <v>91</v>
      </c>
      <c r="X735" s="42" t="n">
        <f aca="false">U735/W735</f>
        <v>0.032967032967033</v>
      </c>
      <c r="Y735" s="42" t="n">
        <f aca="false">V735/W735</f>
        <v>0.967032967032967</v>
      </c>
      <c r="Z735" s="35" t="str">
        <f aca="false">IF(W735&gt;=150, "High Demand", IF(W735&gt;=50, "Moderate Demand", "Low Demand"))</f>
        <v>Moderate Demand</v>
      </c>
      <c r="AA735" s="39" t="str">
        <f aca="false">TEXT(G735, "00") &amp; ":00"</f>
        <v>19:00</v>
      </c>
      <c r="AB735" s="37" t="n">
        <f aca="false">YEAR(B735)</f>
        <v>2011</v>
      </c>
      <c r="AC735" s="35" t="str">
        <f aca="false">TEXT(B735, "mmmm")</f>
        <v>February</v>
      </c>
      <c r="AD735" s="37" t="n">
        <f aca="false">LEN(TEXT(B735, "YYYY-MM-DD"))</f>
        <v>10</v>
      </c>
      <c r="AE735" s="39" t="str">
        <f aca="false">LEFT(TEXT(B735, "YYYY-MM-DD"), 4)</f>
        <v>2011</v>
      </c>
      <c r="AF735" s="39" t="str">
        <f aca="false">RIGHT(TEXT(B735, "YYYY-MM-DD"), 2)</f>
        <v>02</v>
      </c>
    </row>
    <row r="736" customFormat="false" ht="15" hidden="false" customHeight="false" outlineLevel="0" collapsed="false">
      <c r="A736" s="43" t="n">
        <v>732</v>
      </c>
      <c r="B736" s="44" t="s">
        <v>116</v>
      </c>
      <c r="C736" s="43" t="n">
        <v>1</v>
      </c>
      <c r="D736" s="33" t="str">
        <f aca="false">VLOOKUP(C736, Lookups_Metadata!$A$4:$B$7, 2, FALSE())</f>
        <v>Spring</v>
      </c>
      <c r="E736" s="43" t="n">
        <v>0</v>
      </c>
      <c r="F736" s="43" t="n">
        <v>2</v>
      </c>
      <c r="G736" s="43" t="n">
        <v>20</v>
      </c>
      <c r="H736" s="45" t="b">
        <f aca="false">FALSE()</f>
        <v>0</v>
      </c>
      <c r="I736" s="43" t="n">
        <v>3</v>
      </c>
      <c r="J736" s="33" t="str">
        <f aca="false">INDEX(Lookups_Metadata!$E$4:$E$10, MATCH(I736, Lookups_Metadata!$D$4:$D$10, 0))</f>
        <v>Wednesday</v>
      </c>
      <c r="K736" s="33" t="str">
        <f aca="false">IF(H736=TRUE(), "Holiday", IF(OR(I736=0, I736=6), "Weekend", "Weekday"))</f>
        <v>Weekday</v>
      </c>
      <c r="L736" s="33" t="str">
        <f aca="false">IF(AND(K736="Weekday", OR(AND(G736&gt;=7, G736&lt;=9), AND(G736&gt;=17, G736&lt;=19))), "Peak Commute", "Off-Peak")</f>
        <v>Off-Peak</v>
      </c>
      <c r="M736" s="43" t="n">
        <v>1</v>
      </c>
      <c r="N736" s="33" t="str">
        <f aca="false">VLOOKUP(M736, Lookups_Metadata!$G$4:$H$7, 2, FALSE())</f>
        <v>Clear / Few Clouds</v>
      </c>
      <c r="O736" s="46" t="n">
        <v>0.24</v>
      </c>
      <c r="P736" s="46" t="n">
        <v>0.197</v>
      </c>
      <c r="Q736" s="46" t="n">
        <f aca="false">IF(OR(P736="", ISBLANK(P736)), ROUND(0.9367*O736+0.0175, 4), P736)</f>
        <v>0.197</v>
      </c>
      <c r="R736" s="33" t="str">
        <f aca="false">IF(OR(P736="", ISBLANK(P736)), "Imputed (Regression/Trend)", "Original")</f>
        <v>Original</v>
      </c>
      <c r="S736" s="46" t="n">
        <v>0.48</v>
      </c>
      <c r="T736" s="46" t="n">
        <v>0.5522</v>
      </c>
      <c r="U736" s="18" t="n">
        <v>4</v>
      </c>
      <c r="V736" s="18" t="n">
        <v>71</v>
      </c>
      <c r="W736" s="18" t="n">
        <f aca="false">U736+V736</f>
        <v>75</v>
      </c>
      <c r="X736" s="47" t="n">
        <f aca="false">U736/W736</f>
        <v>0.0533333333333333</v>
      </c>
      <c r="Y736" s="47" t="n">
        <f aca="false">V736/W736</f>
        <v>0.946666666666667</v>
      </c>
      <c r="Z736" s="33" t="str">
        <f aca="false">IF(W736&gt;=150, "High Demand", IF(W736&gt;=50, "Moderate Demand", "Low Demand"))</f>
        <v>Moderate Demand</v>
      </c>
      <c r="AA736" s="45" t="str">
        <f aca="false">TEXT(G736, "00") &amp; ":00"</f>
        <v>20:00</v>
      </c>
      <c r="AB736" s="43" t="n">
        <f aca="false">YEAR(B736)</f>
        <v>2011</v>
      </c>
      <c r="AC736" s="33" t="str">
        <f aca="false">TEXT(B736, "mmmm")</f>
        <v>February</v>
      </c>
      <c r="AD736" s="43" t="n">
        <f aca="false">LEN(TEXT(B736, "YYYY-MM-DD"))</f>
        <v>10</v>
      </c>
      <c r="AE736" s="45" t="str">
        <f aca="false">LEFT(TEXT(B736, "YYYY-MM-DD"), 4)</f>
        <v>2011</v>
      </c>
      <c r="AF736" s="45" t="str">
        <f aca="false">RIGHT(TEXT(B736, "YYYY-MM-DD"), 2)</f>
        <v>02</v>
      </c>
    </row>
    <row r="737" customFormat="false" ht="15" hidden="false" customHeight="false" outlineLevel="0" collapsed="false">
      <c r="A737" s="37" t="n">
        <v>733</v>
      </c>
      <c r="B737" s="38" t="s">
        <v>116</v>
      </c>
      <c r="C737" s="37" t="n">
        <v>1</v>
      </c>
      <c r="D737" s="35" t="str">
        <f aca="false">VLOOKUP(C737, Lookups_Metadata!$A$4:$B$7, 2, FALSE())</f>
        <v>Spring</v>
      </c>
      <c r="E737" s="37" t="n">
        <v>0</v>
      </c>
      <c r="F737" s="37" t="n">
        <v>2</v>
      </c>
      <c r="G737" s="37" t="n">
        <v>21</v>
      </c>
      <c r="H737" s="39" t="b">
        <f aca="false">FALSE()</f>
        <v>0</v>
      </c>
      <c r="I737" s="37" t="n">
        <v>3</v>
      </c>
      <c r="J737" s="35" t="str">
        <f aca="false">INDEX(Lookups_Metadata!$E$4:$E$10, MATCH(I737, Lookups_Metadata!$D$4:$D$10, 0))</f>
        <v>Wednesday</v>
      </c>
      <c r="K737" s="35" t="str">
        <f aca="false">IF(H737=TRUE(), "Holiday", IF(OR(I737=0, I737=6), "Weekend", "Weekday"))</f>
        <v>Weekday</v>
      </c>
      <c r="L737" s="35" t="str">
        <f aca="false">IF(AND(K737="Weekday", OR(AND(G737&gt;=7, G737&lt;=9), AND(G737&gt;=17, G737&lt;=19))), "Peak Commute", "Off-Peak")</f>
        <v>Off-Peak</v>
      </c>
      <c r="M737" s="37" t="n">
        <v>1</v>
      </c>
      <c r="N737" s="35" t="str">
        <f aca="false">VLOOKUP(M737, Lookups_Metadata!$G$4:$H$7, 2, FALSE())</f>
        <v>Clear / Few Clouds</v>
      </c>
      <c r="O737" s="40" t="n">
        <v>0.22</v>
      </c>
      <c r="P737" s="40" t="n">
        <v>0.197</v>
      </c>
      <c r="Q737" s="40" t="n">
        <f aca="false">IF(OR(P737="", ISBLANK(P737)), ROUND(0.9367*O737+0.0175, 4), P737)</f>
        <v>0.197</v>
      </c>
      <c r="R737" s="35" t="str">
        <f aca="false">IF(OR(P737="", ISBLANK(P737)), "Imputed (Regression/Trend)", "Original")</f>
        <v>Original</v>
      </c>
      <c r="S737" s="40" t="n">
        <v>0.47</v>
      </c>
      <c r="T737" s="40" t="n">
        <v>0.3284</v>
      </c>
      <c r="U737" s="41" t="n">
        <v>1</v>
      </c>
      <c r="V737" s="41" t="n">
        <v>62</v>
      </c>
      <c r="W737" s="41" t="n">
        <f aca="false">U737+V737</f>
        <v>63</v>
      </c>
      <c r="X737" s="42" t="n">
        <f aca="false">U737/W737</f>
        <v>0.0158730158730159</v>
      </c>
      <c r="Y737" s="42" t="n">
        <f aca="false">V737/W737</f>
        <v>0.984126984126984</v>
      </c>
      <c r="Z737" s="35" t="str">
        <f aca="false">IF(W737&gt;=150, "High Demand", IF(W737&gt;=50, "Moderate Demand", "Low Demand"))</f>
        <v>Moderate Demand</v>
      </c>
      <c r="AA737" s="39" t="str">
        <f aca="false">TEXT(G737, "00") &amp; ":00"</f>
        <v>21:00</v>
      </c>
      <c r="AB737" s="37" t="n">
        <f aca="false">YEAR(B737)</f>
        <v>2011</v>
      </c>
      <c r="AC737" s="35" t="str">
        <f aca="false">TEXT(B737, "mmmm")</f>
        <v>February</v>
      </c>
      <c r="AD737" s="37" t="n">
        <f aca="false">LEN(TEXT(B737, "YYYY-MM-DD"))</f>
        <v>10</v>
      </c>
      <c r="AE737" s="39" t="str">
        <f aca="false">LEFT(TEXT(B737, "YYYY-MM-DD"), 4)</f>
        <v>2011</v>
      </c>
      <c r="AF737" s="39" t="str">
        <f aca="false">RIGHT(TEXT(B737, "YYYY-MM-DD"), 2)</f>
        <v>02</v>
      </c>
    </row>
    <row r="738" customFormat="false" ht="15" hidden="false" customHeight="false" outlineLevel="0" collapsed="false">
      <c r="A738" s="43" t="n">
        <v>734</v>
      </c>
      <c r="B738" s="44" t="s">
        <v>116</v>
      </c>
      <c r="C738" s="43" t="n">
        <v>1</v>
      </c>
      <c r="D738" s="33" t="str">
        <f aca="false">VLOOKUP(C738, Lookups_Metadata!$A$4:$B$7, 2, FALSE())</f>
        <v>Spring</v>
      </c>
      <c r="E738" s="43" t="n">
        <v>0</v>
      </c>
      <c r="F738" s="43" t="n">
        <v>2</v>
      </c>
      <c r="G738" s="43" t="n">
        <v>22</v>
      </c>
      <c r="H738" s="45" t="b">
        <f aca="false">FALSE()</f>
        <v>0</v>
      </c>
      <c r="I738" s="43" t="n">
        <v>3</v>
      </c>
      <c r="J738" s="33" t="str">
        <f aca="false">INDEX(Lookups_Metadata!$E$4:$E$10, MATCH(I738, Lookups_Metadata!$D$4:$D$10, 0))</f>
        <v>Wednesday</v>
      </c>
      <c r="K738" s="33" t="str">
        <f aca="false">IF(H738=TRUE(), "Holiday", IF(OR(I738=0, I738=6), "Weekend", "Weekday"))</f>
        <v>Weekday</v>
      </c>
      <c r="L738" s="33" t="str">
        <f aca="false">IF(AND(K738="Weekday", OR(AND(G738&gt;=7, G738&lt;=9), AND(G738&gt;=17, G738&lt;=19))), "Peak Commute", "Off-Peak")</f>
        <v>Off-Peak</v>
      </c>
      <c r="M738" s="43" t="n">
        <v>1</v>
      </c>
      <c r="N738" s="33" t="str">
        <f aca="false">VLOOKUP(M738, Lookups_Metadata!$G$4:$H$7, 2, FALSE())</f>
        <v>Clear / Few Clouds</v>
      </c>
      <c r="O738" s="46" t="n">
        <v>0.22</v>
      </c>
      <c r="P738" s="46" t="n">
        <v>0.2121</v>
      </c>
      <c r="Q738" s="46" t="n">
        <f aca="false">IF(OR(P738="", ISBLANK(P738)), ROUND(0.9367*O738+0.0175, 4), P738)</f>
        <v>0.2121</v>
      </c>
      <c r="R738" s="33" t="str">
        <f aca="false">IF(OR(P738="", ISBLANK(P738)), "Imputed (Regression/Trend)", "Original")</f>
        <v>Original</v>
      </c>
      <c r="S738" s="46" t="n">
        <v>0.44</v>
      </c>
      <c r="T738" s="46" t="n">
        <v>0.2537</v>
      </c>
      <c r="U738" s="18" t="n">
        <v>5</v>
      </c>
      <c r="V738" s="18" t="n">
        <v>35</v>
      </c>
      <c r="W738" s="18" t="n">
        <f aca="false">U738+V738</f>
        <v>40</v>
      </c>
      <c r="X738" s="47" t="n">
        <f aca="false">U738/W738</f>
        <v>0.125</v>
      </c>
      <c r="Y738" s="47" t="n">
        <f aca="false">V738/W738</f>
        <v>0.875</v>
      </c>
      <c r="Z738" s="33" t="str">
        <f aca="false">IF(W738&gt;=150, "High Demand", IF(W738&gt;=50, "Moderate Demand", "Low Demand"))</f>
        <v>Low Demand</v>
      </c>
      <c r="AA738" s="45" t="str">
        <f aca="false">TEXT(G738, "00") &amp; ":00"</f>
        <v>22:00</v>
      </c>
      <c r="AB738" s="43" t="n">
        <f aca="false">YEAR(B738)</f>
        <v>2011</v>
      </c>
      <c r="AC738" s="33" t="str">
        <f aca="false">TEXT(B738, "mmmm")</f>
        <v>February</v>
      </c>
      <c r="AD738" s="43" t="n">
        <f aca="false">LEN(TEXT(B738, "YYYY-MM-DD"))</f>
        <v>10</v>
      </c>
      <c r="AE738" s="45" t="str">
        <f aca="false">LEFT(TEXT(B738, "YYYY-MM-DD"), 4)</f>
        <v>2011</v>
      </c>
      <c r="AF738" s="45" t="str">
        <f aca="false">RIGHT(TEXT(B738, "YYYY-MM-DD"), 2)</f>
        <v>02</v>
      </c>
    </row>
    <row r="739" customFormat="false" ht="15" hidden="false" customHeight="false" outlineLevel="0" collapsed="false">
      <c r="A739" s="37" t="n">
        <v>735</v>
      </c>
      <c r="B739" s="38" t="s">
        <v>116</v>
      </c>
      <c r="C739" s="37" t="n">
        <v>1</v>
      </c>
      <c r="D739" s="35" t="str">
        <f aca="false">VLOOKUP(C739, Lookups_Metadata!$A$4:$B$7, 2, FALSE())</f>
        <v>Spring</v>
      </c>
      <c r="E739" s="37" t="n">
        <v>0</v>
      </c>
      <c r="F739" s="37" t="n">
        <v>2</v>
      </c>
      <c r="G739" s="37" t="n">
        <v>23</v>
      </c>
      <c r="H739" s="39" t="b">
        <f aca="false">FALSE()</f>
        <v>0</v>
      </c>
      <c r="I739" s="37" t="n">
        <v>3</v>
      </c>
      <c r="J739" s="35" t="str">
        <f aca="false">INDEX(Lookups_Metadata!$E$4:$E$10, MATCH(I739, Lookups_Metadata!$D$4:$D$10, 0))</f>
        <v>Wednesday</v>
      </c>
      <c r="K739" s="35" t="str">
        <f aca="false">IF(H739=TRUE(), "Holiday", IF(OR(I739=0, I739=6), "Weekend", "Weekday"))</f>
        <v>Weekday</v>
      </c>
      <c r="L739" s="35" t="str">
        <f aca="false">IF(AND(K739="Weekday", OR(AND(G739&gt;=7, G739&lt;=9), AND(G739&gt;=17, G739&lt;=19))), "Peak Commute", "Off-Peak")</f>
        <v>Off-Peak</v>
      </c>
      <c r="M739" s="37" t="n">
        <v>1</v>
      </c>
      <c r="N739" s="35" t="str">
        <f aca="false">VLOOKUP(M739, Lookups_Metadata!$G$4:$H$7, 2, FALSE())</f>
        <v>Clear / Few Clouds</v>
      </c>
      <c r="O739" s="40" t="n">
        <v>0.2</v>
      </c>
      <c r="P739" s="40" t="n">
        <v>0.1667</v>
      </c>
      <c r="Q739" s="40" t="n">
        <f aca="false">IF(OR(P739="", ISBLANK(P739)), ROUND(0.9367*O739+0.0175, 4), P739)</f>
        <v>0.1667</v>
      </c>
      <c r="R739" s="35" t="str">
        <f aca="false">IF(OR(P739="", ISBLANK(P739)), "Imputed (Regression/Trend)", "Original")</f>
        <v>Original</v>
      </c>
      <c r="S739" s="40" t="n">
        <v>0.44</v>
      </c>
      <c r="T739" s="40" t="n">
        <v>0.4478</v>
      </c>
      <c r="U739" s="41" t="n">
        <v>3</v>
      </c>
      <c r="V739" s="41" t="n">
        <v>29</v>
      </c>
      <c r="W739" s="41" t="n">
        <f aca="false">U739+V739</f>
        <v>32</v>
      </c>
      <c r="X739" s="42" t="n">
        <f aca="false">U739/W739</f>
        <v>0.09375</v>
      </c>
      <c r="Y739" s="42" t="n">
        <f aca="false">V739/W739</f>
        <v>0.90625</v>
      </c>
      <c r="Z739" s="35" t="str">
        <f aca="false">IF(W739&gt;=150, "High Demand", IF(W739&gt;=50, "Moderate Demand", "Low Demand"))</f>
        <v>Low Demand</v>
      </c>
      <c r="AA739" s="39" t="str">
        <f aca="false">TEXT(G739, "00") &amp; ":00"</f>
        <v>23:00</v>
      </c>
      <c r="AB739" s="37" t="n">
        <f aca="false">YEAR(B739)</f>
        <v>2011</v>
      </c>
      <c r="AC739" s="35" t="str">
        <f aca="false">TEXT(B739, "mmmm")</f>
        <v>February</v>
      </c>
      <c r="AD739" s="37" t="n">
        <f aca="false">LEN(TEXT(B739, "YYYY-MM-DD"))</f>
        <v>10</v>
      </c>
      <c r="AE739" s="39" t="str">
        <f aca="false">LEFT(TEXT(B739, "YYYY-MM-DD"), 4)</f>
        <v>2011</v>
      </c>
      <c r="AF739" s="39" t="str">
        <f aca="false">RIGHT(TEXT(B739, "YYYY-MM-DD"), 2)</f>
        <v>02</v>
      </c>
    </row>
    <row r="740" customFormat="false" ht="15" hidden="false" customHeight="false" outlineLevel="0" collapsed="false">
      <c r="A740" s="43" t="n">
        <v>736</v>
      </c>
      <c r="B740" s="44" t="s">
        <v>117</v>
      </c>
      <c r="C740" s="43" t="n">
        <v>1</v>
      </c>
      <c r="D740" s="33" t="str">
        <f aca="false">VLOOKUP(C740, Lookups_Metadata!$A$4:$B$7, 2, FALSE())</f>
        <v>Spring</v>
      </c>
      <c r="E740" s="43" t="n">
        <v>0</v>
      </c>
      <c r="F740" s="43" t="n">
        <v>2</v>
      </c>
      <c r="G740" s="43" t="n">
        <v>0</v>
      </c>
      <c r="H740" s="45" t="b">
        <f aca="false">FALSE()</f>
        <v>0</v>
      </c>
      <c r="I740" s="43" t="n">
        <v>4</v>
      </c>
      <c r="J740" s="33" t="str">
        <f aca="false">INDEX(Lookups_Metadata!$E$4:$E$10, MATCH(I740, Lookups_Metadata!$D$4:$D$10, 0))</f>
        <v>Thursday</v>
      </c>
      <c r="K740" s="33" t="str">
        <f aca="false">IF(H740=TRUE(), "Holiday", IF(OR(I740=0, I740=6), "Weekend", "Weekday"))</f>
        <v>Weekday</v>
      </c>
      <c r="L740" s="33" t="str">
        <f aca="false">IF(AND(K740="Weekday", OR(AND(G740&gt;=7, G740&lt;=9), AND(G740&gt;=17, G740&lt;=19))), "Peak Commute", "Off-Peak")</f>
        <v>Off-Peak</v>
      </c>
      <c r="M740" s="43" t="n">
        <v>1</v>
      </c>
      <c r="N740" s="33" t="str">
        <f aca="false">VLOOKUP(M740, Lookups_Metadata!$G$4:$H$7, 2, FALSE())</f>
        <v>Clear / Few Clouds</v>
      </c>
      <c r="O740" s="46" t="n">
        <v>0.2</v>
      </c>
      <c r="P740" s="46" t="n">
        <v>0.1667</v>
      </c>
      <c r="Q740" s="46" t="n">
        <f aca="false">IF(OR(P740="", ISBLANK(P740)), ROUND(0.9367*O740+0.0175, 4), P740)</f>
        <v>0.1667</v>
      </c>
      <c r="R740" s="33" t="str">
        <f aca="false">IF(OR(P740="", ISBLANK(P740)), "Imputed (Regression/Trend)", "Original")</f>
        <v>Original</v>
      </c>
      <c r="S740" s="46" t="n">
        <v>0.4</v>
      </c>
      <c r="T740" s="46" t="n">
        <v>0.4478</v>
      </c>
      <c r="U740" s="18" t="n">
        <v>1</v>
      </c>
      <c r="V740" s="18" t="n">
        <v>11</v>
      </c>
      <c r="W740" s="18" t="n">
        <f aca="false">U740+V740</f>
        <v>12</v>
      </c>
      <c r="X740" s="47" t="n">
        <f aca="false">U740/W740</f>
        <v>0.0833333333333333</v>
      </c>
      <c r="Y740" s="47" t="n">
        <f aca="false">V740/W740</f>
        <v>0.916666666666667</v>
      </c>
      <c r="Z740" s="33" t="str">
        <f aca="false">IF(W740&gt;=150, "High Demand", IF(W740&gt;=50, "Moderate Demand", "Low Demand"))</f>
        <v>Low Demand</v>
      </c>
      <c r="AA740" s="45" t="str">
        <f aca="false">TEXT(G740, "00") &amp; ":00"</f>
        <v>00:00</v>
      </c>
      <c r="AB740" s="43" t="n">
        <f aca="false">YEAR(B740)</f>
        <v>2011</v>
      </c>
      <c r="AC740" s="33" t="str">
        <f aca="false">TEXT(B740, "mmmm")</f>
        <v>February</v>
      </c>
      <c r="AD740" s="43" t="n">
        <f aca="false">LEN(TEXT(B740, "YYYY-MM-DD"))</f>
        <v>10</v>
      </c>
      <c r="AE740" s="45" t="str">
        <f aca="false">LEFT(TEXT(B740, "YYYY-MM-DD"), 4)</f>
        <v>2011</v>
      </c>
      <c r="AF740" s="45" t="str">
        <f aca="false">RIGHT(TEXT(B740, "YYYY-MM-DD"), 2)</f>
        <v>03</v>
      </c>
    </row>
    <row r="741" customFormat="false" ht="15" hidden="false" customHeight="false" outlineLevel="0" collapsed="false">
      <c r="A741" s="37" t="n">
        <v>737</v>
      </c>
      <c r="B741" s="38" t="s">
        <v>117</v>
      </c>
      <c r="C741" s="37" t="n">
        <v>1</v>
      </c>
      <c r="D741" s="35" t="str">
        <f aca="false">VLOOKUP(C741, Lookups_Metadata!$A$4:$B$7, 2, FALSE())</f>
        <v>Spring</v>
      </c>
      <c r="E741" s="37" t="n">
        <v>0</v>
      </c>
      <c r="F741" s="37" t="n">
        <v>2</v>
      </c>
      <c r="G741" s="37" t="n">
        <v>1</v>
      </c>
      <c r="H741" s="39" t="b">
        <f aca="false">FALSE()</f>
        <v>0</v>
      </c>
      <c r="I741" s="37" t="n">
        <v>4</v>
      </c>
      <c r="J741" s="35" t="str">
        <f aca="false">INDEX(Lookups_Metadata!$E$4:$E$10, MATCH(I741, Lookups_Metadata!$D$4:$D$10, 0))</f>
        <v>Thursday</v>
      </c>
      <c r="K741" s="35" t="str">
        <f aca="false">IF(H741=TRUE(), "Holiday", IF(OR(I741=0, I741=6), "Weekend", "Weekday"))</f>
        <v>Weekday</v>
      </c>
      <c r="L741" s="35" t="str">
        <f aca="false">IF(AND(K741="Weekday", OR(AND(G741&gt;=7, G741&lt;=9), AND(G741&gt;=17, G741&lt;=19))), "Peak Commute", "Off-Peak")</f>
        <v>Off-Peak</v>
      </c>
      <c r="M741" s="37" t="n">
        <v>1</v>
      </c>
      <c r="N741" s="35" t="str">
        <f aca="false">VLOOKUP(M741, Lookups_Metadata!$G$4:$H$7, 2, FALSE())</f>
        <v>Clear / Few Clouds</v>
      </c>
      <c r="O741" s="40" t="n">
        <v>0.2</v>
      </c>
      <c r="P741" s="40" t="n">
        <v>0.1515</v>
      </c>
      <c r="Q741" s="40" t="n">
        <f aca="false">IF(OR(P741="", ISBLANK(P741)), ROUND(0.9367*O741+0.0175, 4), P741)</f>
        <v>0.1515</v>
      </c>
      <c r="R741" s="35" t="str">
        <f aca="false">IF(OR(P741="", ISBLANK(P741)), "Imputed (Regression/Trend)", "Original")</f>
        <v>Original</v>
      </c>
      <c r="S741" s="40" t="n">
        <v>0.44</v>
      </c>
      <c r="T741" s="40" t="n">
        <v>0.5224</v>
      </c>
      <c r="U741" s="41" t="n">
        <v>0</v>
      </c>
      <c r="V741" s="41" t="n">
        <v>5</v>
      </c>
      <c r="W741" s="41" t="n">
        <f aca="false">U741+V741</f>
        <v>5</v>
      </c>
      <c r="X741" s="42" t="n">
        <f aca="false">U741/W741</f>
        <v>0</v>
      </c>
      <c r="Y741" s="42" t="n">
        <f aca="false">V741/W741</f>
        <v>1</v>
      </c>
      <c r="Z741" s="35" t="str">
        <f aca="false">IF(W741&gt;=150, "High Demand", IF(W741&gt;=50, "Moderate Demand", "Low Demand"))</f>
        <v>Low Demand</v>
      </c>
      <c r="AA741" s="39" t="str">
        <f aca="false">TEXT(G741, "00") &amp; ":00"</f>
        <v>01:00</v>
      </c>
      <c r="AB741" s="37" t="n">
        <f aca="false">YEAR(B741)</f>
        <v>2011</v>
      </c>
      <c r="AC741" s="35" t="str">
        <f aca="false">TEXT(B741, "mmmm")</f>
        <v>February</v>
      </c>
      <c r="AD741" s="37" t="n">
        <f aca="false">LEN(TEXT(B741, "YYYY-MM-DD"))</f>
        <v>10</v>
      </c>
      <c r="AE741" s="39" t="str">
        <f aca="false">LEFT(TEXT(B741, "YYYY-MM-DD"), 4)</f>
        <v>2011</v>
      </c>
      <c r="AF741" s="39" t="str">
        <f aca="false">RIGHT(TEXT(B741, "YYYY-MM-DD"), 2)</f>
        <v>03</v>
      </c>
    </row>
    <row r="742" customFormat="false" ht="15" hidden="false" customHeight="false" outlineLevel="0" collapsed="false">
      <c r="A742" s="43" t="n">
        <v>738</v>
      </c>
      <c r="B742" s="44" t="s">
        <v>117</v>
      </c>
      <c r="C742" s="43" t="n">
        <v>1</v>
      </c>
      <c r="D742" s="33" t="str">
        <f aca="false">VLOOKUP(C742, Lookups_Metadata!$A$4:$B$7, 2, FALSE())</f>
        <v>Spring</v>
      </c>
      <c r="E742" s="43" t="n">
        <v>0</v>
      </c>
      <c r="F742" s="43" t="n">
        <v>2</v>
      </c>
      <c r="G742" s="43" t="n">
        <v>2</v>
      </c>
      <c r="H742" s="45" t="b">
        <f aca="false">FALSE()</f>
        <v>0</v>
      </c>
      <c r="I742" s="43" t="n">
        <v>4</v>
      </c>
      <c r="J742" s="33" t="str">
        <f aca="false">INDEX(Lookups_Metadata!$E$4:$E$10, MATCH(I742, Lookups_Metadata!$D$4:$D$10, 0))</f>
        <v>Thursday</v>
      </c>
      <c r="K742" s="33" t="str">
        <f aca="false">IF(H742=TRUE(), "Holiday", IF(OR(I742=0, I742=6), "Weekend", "Weekday"))</f>
        <v>Weekday</v>
      </c>
      <c r="L742" s="33" t="str">
        <f aca="false">IF(AND(K742="Weekday", OR(AND(G742&gt;=7, G742&lt;=9), AND(G742&gt;=17, G742&lt;=19))), "Peak Commute", "Off-Peak")</f>
        <v>Off-Peak</v>
      </c>
      <c r="M742" s="43" t="n">
        <v>1</v>
      </c>
      <c r="N742" s="33" t="str">
        <f aca="false">VLOOKUP(M742, Lookups_Metadata!$G$4:$H$7, 2, FALSE())</f>
        <v>Clear / Few Clouds</v>
      </c>
      <c r="O742" s="46" t="n">
        <v>0.18</v>
      </c>
      <c r="P742" s="46" t="n">
        <v>0.1667</v>
      </c>
      <c r="Q742" s="46" t="n">
        <f aca="false">IF(OR(P742="", ISBLANK(P742)), ROUND(0.9367*O742+0.0175, 4), P742)</f>
        <v>0.1667</v>
      </c>
      <c r="R742" s="33" t="str">
        <f aca="false">IF(OR(P742="", ISBLANK(P742)), "Imputed (Regression/Trend)", "Original")</f>
        <v>Original</v>
      </c>
      <c r="S742" s="46" t="n">
        <v>0.43</v>
      </c>
      <c r="T742" s="46" t="n">
        <v>0.2537</v>
      </c>
      <c r="U742" s="18" t="n">
        <v>0</v>
      </c>
      <c r="V742" s="18" t="n">
        <v>2</v>
      </c>
      <c r="W742" s="18" t="n">
        <f aca="false">U742+V742</f>
        <v>2</v>
      </c>
      <c r="X742" s="47" t="n">
        <f aca="false">U742/W742</f>
        <v>0</v>
      </c>
      <c r="Y742" s="47" t="n">
        <f aca="false">V742/W742</f>
        <v>1</v>
      </c>
      <c r="Z742" s="33" t="str">
        <f aca="false">IF(W742&gt;=150, "High Demand", IF(W742&gt;=50, "Moderate Demand", "Low Demand"))</f>
        <v>Low Demand</v>
      </c>
      <c r="AA742" s="45" t="str">
        <f aca="false">TEXT(G742, "00") &amp; ":00"</f>
        <v>02:00</v>
      </c>
      <c r="AB742" s="43" t="n">
        <f aca="false">YEAR(B742)</f>
        <v>2011</v>
      </c>
      <c r="AC742" s="33" t="str">
        <f aca="false">TEXT(B742, "mmmm")</f>
        <v>February</v>
      </c>
      <c r="AD742" s="43" t="n">
        <f aca="false">LEN(TEXT(B742, "YYYY-MM-DD"))</f>
        <v>10</v>
      </c>
      <c r="AE742" s="45" t="str">
        <f aca="false">LEFT(TEXT(B742, "YYYY-MM-DD"), 4)</f>
        <v>2011</v>
      </c>
      <c r="AF742" s="45" t="str">
        <f aca="false">RIGHT(TEXT(B742, "YYYY-MM-DD"), 2)</f>
        <v>03</v>
      </c>
    </row>
    <row r="743" customFormat="false" ht="15" hidden="false" customHeight="false" outlineLevel="0" collapsed="false">
      <c r="A743" s="37" t="n">
        <v>739</v>
      </c>
      <c r="B743" s="38" t="s">
        <v>117</v>
      </c>
      <c r="C743" s="37" t="n">
        <v>1</v>
      </c>
      <c r="D743" s="35" t="str">
        <f aca="false">VLOOKUP(C743, Lookups_Metadata!$A$4:$B$7, 2, FALSE())</f>
        <v>Spring</v>
      </c>
      <c r="E743" s="37" t="n">
        <v>0</v>
      </c>
      <c r="F743" s="37" t="n">
        <v>2</v>
      </c>
      <c r="G743" s="37" t="n">
        <v>3</v>
      </c>
      <c r="H743" s="39" t="b">
        <f aca="false">FALSE()</f>
        <v>0</v>
      </c>
      <c r="I743" s="37" t="n">
        <v>4</v>
      </c>
      <c r="J743" s="35" t="str">
        <f aca="false">INDEX(Lookups_Metadata!$E$4:$E$10, MATCH(I743, Lookups_Metadata!$D$4:$D$10, 0))</f>
        <v>Thursday</v>
      </c>
      <c r="K743" s="35" t="str">
        <f aca="false">IF(H743=TRUE(), "Holiday", IF(OR(I743=0, I743=6), "Weekend", "Weekday"))</f>
        <v>Weekday</v>
      </c>
      <c r="L743" s="35" t="str">
        <f aca="false">IF(AND(K743="Weekday", OR(AND(G743&gt;=7, G743&lt;=9), AND(G743&gt;=17, G743&lt;=19))), "Peak Commute", "Off-Peak")</f>
        <v>Off-Peak</v>
      </c>
      <c r="M743" s="37" t="n">
        <v>1</v>
      </c>
      <c r="N743" s="35" t="str">
        <f aca="false">VLOOKUP(M743, Lookups_Metadata!$G$4:$H$7, 2, FALSE())</f>
        <v>Clear / Few Clouds</v>
      </c>
      <c r="O743" s="40" t="n">
        <v>0.18</v>
      </c>
      <c r="P743" s="40" t="n">
        <v>0.1667</v>
      </c>
      <c r="Q743" s="40" t="n">
        <f aca="false">IF(OR(P743="", ISBLANK(P743)), ROUND(0.9367*O743+0.0175, 4), P743)</f>
        <v>0.1667</v>
      </c>
      <c r="R743" s="35" t="str">
        <f aca="false">IF(OR(P743="", ISBLANK(P743)), "Imputed (Regression/Trend)", "Original")</f>
        <v>Original</v>
      </c>
      <c r="S743" s="40" t="n">
        <v>0.43</v>
      </c>
      <c r="T743" s="40" t="n">
        <v>0.2537</v>
      </c>
      <c r="U743" s="41" t="n">
        <v>0</v>
      </c>
      <c r="V743" s="41" t="n">
        <v>1</v>
      </c>
      <c r="W743" s="41" t="n">
        <f aca="false">U743+V743</f>
        <v>1</v>
      </c>
      <c r="X743" s="42" t="n">
        <f aca="false">U743/W743</f>
        <v>0</v>
      </c>
      <c r="Y743" s="42" t="n">
        <f aca="false">V743/W743</f>
        <v>1</v>
      </c>
      <c r="Z743" s="35" t="str">
        <f aca="false">IF(W743&gt;=150, "High Demand", IF(W743&gt;=50, "Moderate Demand", "Low Demand"))</f>
        <v>Low Demand</v>
      </c>
      <c r="AA743" s="39" t="str">
        <f aca="false">TEXT(G743, "00") &amp; ":00"</f>
        <v>03:00</v>
      </c>
      <c r="AB743" s="37" t="n">
        <f aca="false">YEAR(B743)</f>
        <v>2011</v>
      </c>
      <c r="AC743" s="35" t="str">
        <f aca="false">TEXT(B743, "mmmm")</f>
        <v>February</v>
      </c>
      <c r="AD743" s="37" t="n">
        <f aca="false">LEN(TEXT(B743, "YYYY-MM-DD"))</f>
        <v>10</v>
      </c>
      <c r="AE743" s="39" t="str">
        <f aca="false">LEFT(TEXT(B743, "YYYY-MM-DD"), 4)</f>
        <v>2011</v>
      </c>
      <c r="AF743" s="39" t="str">
        <f aca="false">RIGHT(TEXT(B743, "YYYY-MM-DD"), 2)</f>
        <v>03</v>
      </c>
    </row>
    <row r="744" customFormat="false" ht="15" hidden="false" customHeight="false" outlineLevel="0" collapsed="false">
      <c r="A744" s="43" t="n">
        <v>740</v>
      </c>
      <c r="B744" s="44" t="s">
        <v>117</v>
      </c>
      <c r="C744" s="43" t="n">
        <v>1</v>
      </c>
      <c r="D744" s="33" t="str">
        <f aca="false">VLOOKUP(C744, Lookups_Metadata!$A$4:$B$7, 2, FALSE())</f>
        <v>Spring</v>
      </c>
      <c r="E744" s="43" t="n">
        <v>0</v>
      </c>
      <c r="F744" s="43" t="n">
        <v>2</v>
      </c>
      <c r="G744" s="43" t="n">
        <v>5</v>
      </c>
      <c r="H744" s="45" t="b">
        <f aca="false">FALSE()</f>
        <v>0</v>
      </c>
      <c r="I744" s="43" t="n">
        <v>4</v>
      </c>
      <c r="J744" s="33" t="str">
        <f aca="false">INDEX(Lookups_Metadata!$E$4:$E$10, MATCH(I744, Lookups_Metadata!$D$4:$D$10, 0))</f>
        <v>Thursday</v>
      </c>
      <c r="K744" s="33" t="str">
        <f aca="false">IF(H744=TRUE(), "Holiday", IF(OR(I744=0, I744=6), "Weekend", "Weekday"))</f>
        <v>Weekday</v>
      </c>
      <c r="L744" s="33" t="str">
        <f aca="false">IF(AND(K744="Weekday", OR(AND(G744&gt;=7, G744&lt;=9), AND(G744&gt;=17, G744&lt;=19))), "Peak Commute", "Off-Peak")</f>
        <v>Off-Peak</v>
      </c>
      <c r="M744" s="43" t="n">
        <v>1</v>
      </c>
      <c r="N744" s="33" t="str">
        <f aca="false">VLOOKUP(M744, Lookups_Metadata!$G$4:$H$7, 2, FALSE())</f>
        <v>Clear / Few Clouds</v>
      </c>
      <c r="O744" s="46" t="n">
        <v>0.16</v>
      </c>
      <c r="P744" s="46" t="n">
        <v>0.1364</v>
      </c>
      <c r="Q744" s="46" t="n">
        <f aca="false">IF(OR(P744="", ISBLANK(P744)), ROUND(0.9367*O744+0.0175, 4), P744)</f>
        <v>0.1364</v>
      </c>
      <c r="R744" s="33" t="str">
        <f aca="false">IF(OR(P744="", ISBLANK(P744)), "Imputed (Regression/Trend)", "Original")</f>
        <v>Original</v>
      </c>
      <c r="S744" s="46" t="n">
        <v>0.5</v>
      </c>
      <c r="T744" s="46" t="n">
        <v>0.2985</v>
      </c>
      <c r="U744" s="18" t="n">
        <v>0</v>
      </c>
      <c r="V744" s="18" t="n">
        <v>2</v>
      </c>
      <c r="W744" s="18" t="n">
        <f aca="false">U744+V744</f>
        <v>2</v>
      </c>
      <c r="X744" s="47" t="n">
        <f aca="false">U744/W744</f>
        <v>0</v>
      </c>
      <c r="Y744" s="47" t="n">
        <f aca="false">V744/W744</f>
        <v>1</v>
      </c>
      <c r="Z744" s="33" t="str">
        <f aca="false">IF(W744&gt;=150, "High Demand", IF(W744&gt;=50, "Moderate Demand", "Low Demand"))</f>
        <v>Low Demand</v>
      </c>
      <c r="AA744" s="45" t="str">
        <f aca="false">TEXT(G744, "00") &amp; ":00"</f>
        <v>05:00</v>
      </c>
      <c r="AB744" s="43" t="n">
        <f aca="false">YEAR(B744)</f>
        <v>2011</v>
      </c>
      <c r="AC744" s="33" t="str">
        <f aca="false">TEXT(B744, "mmmm")</f>
        <v>February</v>
      </c>
      <c r="AD744" s="43" t="n">
        <f aca="false">LEN(TEXT(B744, "YYYY-MM-DD"))</f>
        <v>10</v>
      </c>
      <c r="AE744" s="45" t="str">
        <f aca="false">LEFT(TEXT(B744, "YYYY-MM-DD"), 4)</f>
        <v>2011</v>
      </c>
      <c r="AF744" s="45" t="str">
        <f aca="false">RIGHT(TEXT(B744, "YYYY-MM-DD"), 2)</f>
        <v>03</v>
      </c>
    </row>
    <row r="745" customFormat="false" ht="15" hidden="false" customHeight="false" outlineLevel="0" collapsed="false">
      <c r="A745" s="37" t="n">
        <v>741</v>
      </c>
      <c r="B745" s="38" t="s">
        <v>117</v>
      </c>
      <c r="C745" s="37" t="n">
        <v>1</v>
      </c>
      <c r="D745" s="35" t="str">
        <f aca="false">VLOOKUP(C745, Lookups_Metadata!$A$4:$B$7, 2, FALSE())</f>
        <v>Spring</v>
      </c>
      <c r="E745" s="37" t="n">
        <v>0</v>
      </c>
      <c r="F745" s="37" t="n">
        <v>2</v>
      </c>
      <c r="G745" s="37" t="n">
        <v>6</v>
      </c>
      <c r="H745" s="39" t="b">
        <f aca="false">FALSE()</f>
        <v>0</v>
      </c>
      <c r="I745" s="37" t="n">
        <v>4</v>
      </c>
      <c r="J745" s="35" t="str">
        <f aca="false">INDEX(Lookups_Metadata!$E$4:$E$10, MATCH(I745, Lookups_Metadata!$D$4:$D$10, 0))</f>
        <v>Thursday</v>
      </c>
      <c r="K745" s="35" t="str">
        <f aca="false">IF(H745=TRUE(), "Holiday", IF(OR(I745=0, I745=6), "Weekend", "Weekday"))</f>
        <v>Weekday</v>
      </c>
      <c r="L745" s="35" t="str">
        <f aca="false">IF(AND(K745="Weekday", OR(AND(G745&gt;=7, G745&lt;=9), AND(G745&gt;=17, G745&lt;=19))), "Peak Commute", "Off-Peak")</f>
        <v>Off-Peak</v>
      </c>
      <c r="M745" s="37" t="n">
        <v>1</v>
      </c>
      <c r="N745" s="35" t="str">
        <f aca="false">VLOOKUP(M745, Lookups_Metadata!$G$4:$H$7, 2, FALSE())</f>
        <v>Clear / Few Clouds</v>
      </c>
      <c r="O745" s="40" t="n">
        <v>0.16</v>
      </c>
      <c r="P745" s="40" t="n">
        <v>0.1364</v>
      </c>
      <c r="Q745" s="40" t="n">
        <f aca="false">IF(OR(P745="", ISBLANK(P745)), ROUND(0.9367*O745+0.0175, 4), P745)</f>
        <v>0.1364</v>
      </c>
      <c r="R745" s="35" t="str">
        <f aca="false">IF(OR(P745="", ISBLANK(P745)), "Imputed (Regression/Trend)", "Original")</f>
        <v>Original</v>
      </c>
      <c r="S745" s="40" t="n">
        <v>0.43</v>
      </c>
      <c r="T745" s="40" t="n">
        <v>0.3582</v>
      </c>
      <c r="U745" s="41" t="n">
        <v>0</v>
      </c>
      <c r="V745" s="41" t="n">
        <v>39</v>
      </c>
      <c r="W745" s="41" t="n">
        <f aca="false">U745+V745</f>
        <v>39</v>
      </c>
      <c r="X745" s="42" t="n">
        <f aca="false">U745/W745</f>
        <v>0</v>
      </c>
      <c r="Y745" s="42" t="n">
        <f aca="false">V745/W745</f>
        <v>1</v>
      </c>
      <c r="Z745" s="35" t="str">
        <f aca="false">IF(W745&gt;=150, "High Demand", IF(W745&gt;=50, "Moderate Demand", "Low Demand"))</f>
        <v>Low Demand</v>
      </c>
      <c r="AA745" s="39" t="str">
        <f aca="false">TEXT(G745, "00") &amp; ":00"</f>
        <v>06:00</v>
      </c>
      <c r="AB745" s="37" t="n">
        <f aca="false">YEAR(B745)</f>
        <v>2011</v>
      </c>
      <c r="AC745" s="35" t="str">
        <f aca="false">TEXT(B745, "mmmm")</f>
        <v>February</v>
      </c>
      <c r="AD745" s="37" t="n">
        <f aca="false">LEN(TEXT(B745, "YYYY-MM-DD"))</f>
        <v>10</v>
      </c>
      <c r="AE745" s="39" t="str">
        <f aca="false">LEFT(TEXT(B745, "YYYY-MM-DD"), 4)</f>
        <v>2011</v>
      </c>
      <c r="AF745" s="39" t="str">
        <f aca="false">RIGHT(TEXT(B745, "YYYY-MM-DD"), 2)</f>
        <v>03</v>
      </c>
    </row>
    <row r="746" customFormat="false" ht="15" hidden="false" customHeight="false" outlineLevel="0" collapsed="false">
      <c r="A746" s="43" t="n">
        <v>742</v>
      </c>
      <c r="B746" s="44" t="s">
        <v>117</v>
      </c>
      <c r="C746" s="43" t="n">
        <v>1</v>
      </c>
      <c r="D746" s="33" t="str">
        <f aca="false">VLOOKUP(C746, Lookups_Metadata!$A$4:$B$7, 2, FALSE())</f>
        <v>Spring</v>
      </c>
      <c r="E746" s="43" t="n">
        <v>0</v>
      </c>
      <c r="F746" s="43" t="n">
        <v>2</v>
      </c>
      <c r="G746" s="43" t="n">
        <v>7</v>
      </c>
      <c r="H746" s="45" t="b">
        <f aca="false">FALSE()</f>
        <v>0</v>
      </c>
      <c r="I746" s="43" t="n">
        <v>4</v>
      </c>
      <c r="J746" s="33" t="str">
        <f aca="false">INDEX(Lookups_Metadata!$E$4:$E$10, MATCH(I746, Lookups_Metadata!$D$4:$D$10, 0))</f>
        <v>Thursday</v>
      </c>
      <c r="K746" s="33" t="str">
        <f aca="false">IF(H746=TRUE(), "Holiday", IF(OR(I746=0, I746=6), "Weekend", "Weekday"))</f>
        <v>Weekday</v>
      </c>
      <c r="L746" s="33" t="str">
        <f aca="false">IF(AND(K746="Weekday", OR(AND(G746&gt;=7, G746&lt;=9), AND(G746&gt;=17, G746&lt;=19))), "Peak Commute", "Off-Peak")</f>
        <v>Peak Commute</v>
      </c>
      <c r="M746" s="43" t="n">
        <v>1</v>
      </c>
      <c r="N746" s="33" t="str">
        <f aca="false">VLOOKUP(M746, Lookups_Metadata!$G$4:$H$7, 2, FALSE())</f>
        <v>Clear / Few Clouds</v>
      </c>
      <c r="O746" s="46" t="n">
        <v>0.14</v>
      </c>
      <c r="P746" s="46" t="n">
        <v>0.1212</v>
      </c>
      <c r="Q746" s="46" t="n">
        <f aca="false">IF(OR(P746="", ISBLANK(P746)), ROUND(0.9367*O746+0.0175, 4), P746)</f>
        <v>0.1212</v>
      </c>
      <c r="R746" s="33" t="str">
        <f aca="false">IF(OR(P746="", ISBLANK(P746)), "Imputed (Regression/Trend)", "Original")</f>
        <v>Original</v>
      </c>
      <c r="S746" s="46" t="n">
        <v>0.5</v>
      </c>
      <c r="T746" s="46" t="n">
        <v>0.3284</v>
      </c>
      <c r="U746" s="18" t="n">
        <v>1</v>
      </c>
      <c r="V746" s="18" t="n">
        <v>86</v>
      </c>
      <c r="W746" s="18" t="n">
        <f aca="false">U746+V746</f>
        <v>87</v>
      </c>
      <c r="X746" s="47" t="n">
        <f aca="false">U746/W746</f>
        <v>0.0114942528735632</v>
      </c>
      <c r="Y746" s="47" t="n">
        <f aca="false">V746/W746</f>
        <v>0.988505747126437</v>
      </c>
      <c r="Z746" s="33" t="str">
        <f aca="false">IF(W746&gt;=150, "High Demand", IF(W746&gt;=50, "Moderate Demand", "Low Demand"))</f>
        <v>Moderate Demand</v>
      </c>
      <c r="AA746" s="45" t="str">
        <f aca="false">TEXT(G746, "00") &amp; ":00"</f>
        <v>07:00</v>
      </c>
      <c r="AB746" s="43" t="n">
        <f aca="false">YEAR(B746)</f>
        <v>2011</v>
      </c>
      <c r="AC746" s="33" t="str">
        <f aca="false">TEXT(B746, "mmmm")</f>
        <v>February</v>
      </c>
      <c r="AD746" s="43" t="n">
        <f aca="false">LEN(TEXT(B746, "YYYY-MM-DD"))</f>
        <v>10</v>
      </c>
      <c r="AE746" s="45" t="str">
        <f aca="false">LEFT(TEXT(B746, "YYYY-MM-DD"), 4)</f>
        <v>2011</v>
      </c>
      <c r="AF746" s="45" t="str">
        <f aca="false">RIGHT(TEXT(B746, "YYYY-MM-DD"), 2)</f>
        <v>03</v>
      </c>
    </row>
    <row r="747" customFormat="false" ht="15" hidden="false" customHeight="false" outlineLevel="0" collapsed="false">
      <c r="A747" s="37" t="n">
        <v>743</v>
      </c>
      <c r="B747" s="38" t="s">
        <v>117</v>
      </c>
      <c r="C747" s="37" t="n">
        <v>1</v>
      </c>
      <c r="D747" s="35" t="str">
        <f aca="false">VLOOKUP(C747, Lookups_Metadata!$A$4:$B$7, 2, FALSE())</f>
        <v>Spring</v>
      </c>
      <c r="E747" s="37" t="n">
        <v>0</v>
      </c>
      <c r="F747" s="37" t="n">
        <v>2</v>
      </c>
      <c r="G747" s="37" t="n">
        <v>8</v>
      </c>
      <c r="H747" s="39" t="b">
        <f aca="false">FALSE()</f>
        <v>0</v>
      </c>
      <c r="I747" s="37" t="n">
        <v>4</v>
      </c>
      <c r="J747" s="35" t="str">
        <f aca="false">INDEX(Lookups_Metadata!$E$4:$E$10, MATCH(I747, Lookups_Metadata!$D$4:$D$10, 0))</f>
        <v>Thursday</v>
      </c>
      <c r="K747" s="35" t="str">
        <f aca="false">IF(H747=TRUE(), "Holiday", IF(OR(I747=0, I747=6), "Weekend", "Weekday"))</f>
        <v>Weekday</v>
      </c>
      <c r="L747" s="35" t="str">
        <f aca="false">IF(AND(K747="Weekday", OR(AND(G747&gt;=7, G747&lt;=9), AND(G747&gt;=17, G747&lt;=19))), "Peak Commute", "Off-Peak")</f>
        <v>Peak Commute</v>
      </c>
      <c r="M747" s="37" t="n">
        <v>1</v>
      </c>
      <c r="N747" s="35" t="str">
        <f aca="false">VLOOKUP(M747, Lookups_Metadata!$G$4:$H$7, 2, FALSE())</f>
        <v>Clear / Few Clouds</v>
      </c>
      <c r="O747" s="40" t="n">
        <v>0.14</v>
      </c>
      <c r="P747" s="40" t="n">
        <v>0.1212</v>
      </c>
      <c r="Q747" s="40" t="n">
        <f aca="false">IF(OR(P747="", ISBLANK(P747)), ROUND(0.9367*O747+0.0175, 4), P747)</f>
        <v>0.1212</v>
      </c>
      <c r="R747" s="35" t="str">
        <f aca="false">IF(OR(P747="", ISBLANK(P747)), "Imputed (Regression/Trend)", "Original")</f>
        <v>Original</v>
      </c>
      <c r="S747" s="40" t="n">
        <v>0.5</v>
      </c>
      <c r="T747" s="40" t="n">
        <v>0.3582</v>
      </c>
      <c r="U747" s="41" t="n">
        <v>4</v>
      </c>
      <c r="V747" s="41" t="n">
        <v>184</v>
      </c>
      <c r="W747" s="41" t="n">
        <f aca="false">U747+V747</f>
        <v>188</v>
      </c>
      <c r="X747" s="42" t="n">
        <f aca="false">U747/W747</f>
        <v>0.0212765957446809</v>
      </c>
      <c r="Y747" s="42" t="n">
        <f aca="false">V747/W747</f>
        <v>0.978723404255319</v>
      </c>
      <c r="Z747" s="35" t="str">
        <f aca="false">IF(W747&gt;=150, "High Demand", IF(W747&gt;=50, "Moderate Demand", "Low Demand"))</f>
        <v>High Demand</v>
      </c>
      <c r="AA747" s="39" t="str">
        <f aca="false">TEXT(G747, "00") &amp; ":00"</f>
        <v>08:00</v>
      </c>
      <c r="AB747" s="37" t="n">
        <f aca="false">YEAR(B747)</f>
        <v>2011</v>
      </c>
      <c r="AC747" s="35" t="str">
        <f aca="false">TEXT(B747, "mmmm")</f>
        <v>February</v>
      </c>
      <c r="AD747" s="37" t="n">
        <f aca="false">LEN(TEXT(B747, "YYYY-MM-DD"))</f>
        <v>10</v>
      </c>
      <c r="AE747" s="39" t="str">
        <f aca="false">LEFT(TEXT(B747, "YYYY-MM-DD"), 4)</f>
        <v>2011</v>
      </c>
      <c r="AF747" s="39" t="str">
        <f aca="false">RIGHT(TEXT(B747, "YYYY-MM-DD"), 2)</f>
        <v>03</v>
      </c>
    </row>
    <row r="748" customFormat="false" ht="15" hidden="false" customHeight="false" outlineLevel="0" collapsed="false">
      <c r="A748" s="43" t="n">
        <v>744</v>
      </c>
      <c r="B748" s="44" t="s">
        <v>117</v>
      </c>
      <c r="C748" s="43" t="n">
        <v>1</v>
      </c>
      <c r="D748" s="33" t="str">
        <f aca="false">VLOOKUP(C748, Lookups_Metadata!$A$4:$B$7, 2, FALSE())</f>
        <v>Spring</v>
      </c>
      <c r="E748" s="43" t="n">
        <v>0</v>
      </c>
      <c r="F748" s="43" t="n">
        <v>2</v>
      </c>
      <c r="G748" s="43" t="n">
        <v>9</v>
      </c>
      <c r="H748" s="45" t="b">
        <f aca="false">FALSE()</f>
        <v>0</v>
      </c>
      <c r="I748" s="43" t="n">
        <v>4</v>
      </c>
      <c r="J748" s="33" t="str">
        <f aca="false">INDEX(Lookups_Metadata!$E$4:$E$10, MATCH(I748, Lookups_Metadata!$D$4:$D$10, 0))</f>
        <v>Thursday</v>
      </c>
      <c r="K748" s="33" t="str">
        <f aca="false">IF(H748=TRUE(), "Holiday", IF(OR(I748=0, I748=6), "Weekend", "Weekday"))</f>
        <v>Weekday</v>
      </c>
      <c r="L748" s="33" t="str">
        <f aca="false">IF(AND(K748="Weekday", OR(AND(G748&gt;=7, G748&lt;=9), AND(G748&gt;=17, G748&lt;=19))), "Peak Commute", "Off-Peak")</f>
        <v>Peak Commute</v>
      </c>
      <c r="M748" s="43" t="n">
        <v>1</v>
      </c>
      <c r="N748" s="33" t="str">
        <f aca="false">VLOOKUP(M748, Lookups_Metadata!$G$4:$H$7, 2, FALSE())</f>
        <v>Clear / Few Clouds</v>
      </c>
      <c r="O748" s="46" t="n">
        <v>0.16</v>
      </c>
      <c r="P748" s="46" t="n">
        <v>0.1364</v>
      </c>
      <c r="Q748" s="46" t="n">
        <f aca="false">IF(OR(P748="", ISBLANK(P748)), ROUND(0.9367*O748+0.0175, 4), P748)</f>
        <v>0.1364</v>
      </c>
      <c r="R748" s="33" t="str">
        <f aca="false">IF(OR(P748="", ISBLANK(P748)), "Imputed (Regression/Trend)", "Original")</f>
        <v>Original</v>
      </c>
      <c r="S748" s="46" t="n">
        <v>0.47</v>
      </c>
      <c r="T748" s="46" t="n">
        <v>0.2985</v>
      </c>
      <c r="U748" s="18" t="n">
        <v>6</v>
      </c>
      <c r="V748" s="18" t="n">
        <v>127</v>
      </c>
      <c r="W748" s="18" t="n">
        <f aca="false">U748+V748</f>
        <v>133</v>
      </c>
      <c r="X748" s="47" t="n">
        <f aca="false">U748/W748</f>
        <v>0.0451127819548872</v>
      </c>
      <c r="Y748" s="47" t="n">
        <f aca="false">V748/W748</f>
        <v>0.954887218045113</v>
      </c>
      <c r="Z748" s="33" t="str">
        <f aca="false">IF(W748&gt;=150, "High Demand", IF(W748&gt;=50, "Moderate Demand", "Low Demand"))</f>
        <v>Moderate Demand</v>
      </c>
      <c r="AA748" s="45" t="str">
        <f aca="false">TEXT(G748, "00") &amp; ":00"</f>
        <v>09:00</v>
      </c>
      <c r="AB748" s="43" t="n">
        <f aca="false">YEAR(B748)</f>
        <v>2011</v>
      </c>
      <c r="AC748" s="33" t="str">
        <f aca="false">TEXT(B748, "mmmm")</f>
        <v>February</v>
      </c>
      <c r="AD748" s="43" t="n">
        <f aca="false">LEN(TEXT(B748, "YYYY-MM-DD"))</f>
        <v>10</v>
      </c>
      <c r="AE748" s="45" t="str">
        <f aca="false">LEFT(TEXT(B748, "YYYY-MM-DD"), 4)</f>
        <v>2011</v>
      </c>
      <c r="AF748" s="45" t="str">
        <f aca="false">RIGHT(TEXT(B748, "YYYY-MM-DD"), 2)</f>
        <v>03</v>
      </c>
    </row>
    <row r="749" customFormat="false" ht="15" hidden="false" customHeight="false" outlineLevel="0" collapsed="false">
      <c r="A749" s="37" t="n">
        <v>745</v>
      </c>
      <c r="B749" s="38" t="s">
        <v>117</v>
      </c>
      <c r="C749" s="37" t="n">
        <v>1</v>
      </c>
      <c r="D749" s="35" t="str">
        <f aca="false">VLOOKUP(C749, Lookups_Metadata!$A$4:$B$7, 2, FALSE())</f>
        <v>Spring</v>
      </c>
      <c r="E749" s="37" t="n">
        <v>0</v>
      </c>
      <c r="F749" s="37" t="n">
        <v>2</v>
      </c>
      <c r="G749" s="37" t="n">
        <v>10</v>
      </c>
      <c r="H749" s="39" t="b">
        <f aca="false">FALSE()</f>
        <v>0</v>
      </c>
      <c r="I749" s="37" t="n">
        <v>4</v>
      </c>
      <c r="J749" s="35" t="str">
        <f aca="false">INDEX(Lookups_Metadata!$E$4:$E$10, MATCH(I749, Lookups_Metadata!$D$4:$D$10, 0))</f>
        <v>Thursday</v>
      </c>
      <c r="K749" s="35" t="str">
        <f aca="false">IF(H749=TRUE(), "Holiday", IF(OR(I749=0, I749=6), "Weekend", "Weekday"))</f>
        <v>Weekday</v>
      </c>
      <c r="L749" s="35" t="str">
        <f aca="false">IF(AND(K749="Weekday", OR(AND(G749&gt;=7, G749&lt;=9), AND(G749&gt;=17, G749&lt;=19))), "Peak Commute", "Off-Peak")</f>
        <v>Off-Peak</v>
      </c>
      <c r="M749" s="37" t="n">
        <v>1</v>
      </c>
      <c r="N749" s="35" t="str">
        <f aca="false">VLOOKUP(M749, Lookups_Metadata!$G$4:$H$7, 2, FALSE())</f>
        <v>Clear / Few Clouds</v>
      </c>
      <c r="O749" s="40" t="n">
        <v>0.18</v>
      </c>
      <c r="P749" s="40" t="n">
        <v>0.1515</v>
      </c>
      <c r="Q749" s="40" t="n">
        <f aca="false">IF(OR(P749="", ISBLANK(P749)), ROUND(0.9367*O749+0.0175, 4), P749)</f>
        <v>0.1515</v>
      </c>
      <c r="R749" s="35" t="str">
        <f aca="false">IF(OR(P749="", ISBLANK(P749)), "Imputed (Regression/Trend)", "Original")</f>
        <v>Original</v>
      </c>
      <c r="S749" s="40" t="n">
        <v>0.43</v>
      </c>
      <c r="T749" s="40" t="n">
        <v>0.3284</v>
      </c>
      <c r="U749" s="41" t="n">
        <v>2</v>
      </c>
      <c r="V749" s="41" t="n">
        <v>50</v>
      </c>
      <c r="W749" s="41" t="n">
        <f aca="false">U749+V749</f>
        <v>52</v>
      </c>
      <c r="X749" s="42" t="n">
        <f aca="false">U749/W749</f>
        <v>0.0384615384615385</v>
      </c>
      <c r="Y749" s="42" t="n">
        <f aca="false">V749/W749</f>
        <v>0.961538461538462</v>
      </c>
      <c r="Z749" s="35" t="str">
        <f aca="false">IF(W749&gt;=150, "High Demand", IF(W749&gt;=50, "Moderate Demand", "Low Demand"))</f>
        <v>Moderate Demand</v>
      </c>
      <c r="AA749" s="39" t="str">
        <f aca="false">TEXT(G749, "00") &amp; ":00"</f>
        <v>10:00</v>
      </c>
      <c r="AB749" s="37" t="n">
        <f aca="false">YEAR(B749)</f>
        <v>2011</v>
      </c>
      <c r="AC749" s="35" t="str">
        <f aca="false">TEXT(B749, "mmmm")</f>
        <v>February</v>
      </c>
      <c r="AD749" s="37" t="n">
        <f aca="false">LEN(TEXT(B749, "YYYY-MM-DD"))</f>
        <v>10</v>
      </c>
      <c r="AE749" s="39" t="str">
        <f aca="false">LEFT(TEXT(B749, "YYYY-MM-DD"), 4)</f>
        <v>2011</v>
      </c>
      <c r="AF749" s="39" t="str">
        <f aca="false">RIGHT(TEXT(B749, "YYYY-MM-DD"), 2)</f>
        <v>03</v>
      </c>
    </row>
    <row r="750" customFormat="false" ht="15" hidden="false" customHeight="false" outlineLevel="0" collapsed="false">
      <c r="A750" s="43" t="n">
        <v>746</v>
      </c>
      <c r="B750" s="44" t="s">
        <v>117</v>
      </c>
      <c r="C750" s="43" t="n">
        <v>1</v>
      </c>
      <c r="D750" s="33" t="str">
        <f aca="false">VLOOKUP(C750, Lookups_Metadata!$A$4:$B$7, 2, FALSE())</f>
        <v>Spring</v>
      </c>
      <c r="E750" s="43" t="n">
        <v>0</v>
      </c>
      <c r="F750" s="43" t="n">
        <v>2</v>
      </c>
      <c r="G750" s="43" t="n">
        <v>11</v>
      </c>
      <c r="H750" s="45" t="b">
        <f aca="false">FALSE()</f>
        <v>0</v>
      </c>
      <c r="I750" s="43" t="n">
        <v>4</v>
      </c>
      <c r="J750" s="33" t="str">
        <f aca="false">INDEX(Lookups_Metadata!$E$4:$E$10, MATCH(I750, Lookups_Metadata!$D$4:$D$10, 0))</f>
        <v>Thursday</v>
      </c>
      <c r="K750" s="33" t="str">
        <f aca="false">IF(H750=TRUE(), "Holiday", IF(OR(I750=0, I750=6), "Weekend", "Weekday"))</f>
        <v>Weekday</v>
      </c>
      <c r="L750" s="33" t="str">
        <f aca="false">IF(AND(K750="Weekday", OR(AND(G750&gt;=7, G750&lt;=9), AND(G750&gt;=17, G750&lt;=19))), "Peak Commute", "Off-Peak")</f>
        <v>Off-Peak</v>
      </c>
      <c r="M750" s="43" t="n">
        <v>1</v>
      </c>
      <c r="N750" s="33" t="str">
        <f aca="false">VLOOKUP(M750, Lookups_Metadata!$G$4:$H$7, 2, FALSE())</f>
        <v>Clear / Few Clouds</v>
      </c>
      <c r="O750" s="46" t="n">
        <v>0.18</v>
      </c>
      <c r="P750" s="46" t="n">
        <v>0.1364</v>
      </c>
      <c r="Q750" s="46" t="n">
        <f aca="false">IF(OR(P750="", ISBLANK(P750)), ROUND(0.9367*O750+0.0175, 4), P750)</f>
        <v>0.1364</v>
      </c>
      <c r="R750" s="33" t="str">
        <f aca="false">IF(OR(P750="", ISBLANK(P750)), "Imputed (Regression/Trend)", "Original")</f>
        <v>Original</v>
      </c>
      <c r="S750" s="46" t="n">
        <v>0.43</v>
      </c>
      <c r="T750" s="46" t="n">
        <v>0.4478</v>
      </c>
      <c r="U750" s="18" t="n">
        <v>9</v>
      </c>
      <c r="V750" s="18" t="n">
        <v>55</v>
      </c>
      <c r="W750" s="18" t="n">
        <f aca="false">U750+V750</f>
        <v>64</v>
      </c>
      <c r="X750" s="47" t="n">
        <f aca="false">U750/W750</f>
        <v>0.140625</v>
      </c>
      <c r="Y750" s="47" t="n">
        <f aca="false">V750/W750</f>
        <v>0.859375</v>
      </c>
      <c r="Z750" s="33" t="str">
        <f aca="false">IF(W750&gt;=150, "High Demand", IF(W750&gt;=50, "Moderate Demand", "Low Demand"))</f>
        <v>Moderate Demand</v>
      </c>
      <c r="AA750" s="45" t="str">
        <f aca="false">TEXT(G750, "00") &amp; ":00"</f>
        <v>11:00</v>
      </c>
      <c r="AB750" s="43" t="n">
        <f aca="false">YEAR(B750)</f>
        <v>2011</v>
      </c>
      <c r="AC750" s="33" t="str">
        <f aca="false">TEXT(B750, "mmmm")</f>
        <v>February</v>
      </c>
      <c r="AD750" s="43" t="n">
        <f aca="false">LEN(TEXT(B750, "YYYY-MM-DD"))</f>
        <v>10</v>
      </c>
      <c r="AE750" s="45" t="str">
        <f aca="false">LEFT(TEXT(B750, "YYYY-MM-DD"), 4)</f>
        <v>2011</v>
      </c>
      <c r="AF750" s="45" t="str">
        <f aca="false">RIGHT(TEXT(B750, "YYYY-MM-DD"), 2)</f>
        <v>03</v>
      </c>
    </row>
    <row r="751" customFormat="false" ht="15" hidden="false" customHeight="false" outlineLevel="0" collapsed="false">
      <c r="A751" s="37" t="n">
        <v>747</v>
      </c>
      <c r="B751" s="38" t="s">
        <v>117</v>
      </c>
      <c r="C751" s="37" t="n">
        <v>1</v>
      </c>
      <c r="D751" s="35" t="str">
        <f aca="false">VLOOKUP(C751, Lookups_Metadata!$A$4:$B$7, 2, FALSE())</f>
        <v>Spring</v>
      </c>
      <c r="E751" s="37" t="n">
        <v>0</v>
      </c>
      <c r="F751" s="37" t="n">
        <v>2</v>
      </c>
      <c r="G751" s="37" t="n">
        <v>12</v>
      </c>
      <c r="H751" s="39" t="b">
        <f aca="false">FALSE()</f>
        <v>0</v>
      </c>
      <c r="I751" s="37" t="n">
        <v>4</v>
      </c>
      <c r="J751" s="35" t="str">
        <f aca="false">INDEX(Lookups_Metadata!$E$4:$E$10, MATCH(I751, Lookups_Metadata!$D$4:$D$10, 0))</f>
        <v>Thursday</v>
      </c>
      <c r="K751" s="35" t="str">
        <f aca="false">IF(H751=TRUE(), "Holiday", IF(OR(I751=0, I751=6), "Weekend", "Weekday"))</f>
        <v>Weekday</v>
      </c>
      <c r="L751" s="35" t="str">
        <f aca="false">IF(AND(K751="Weekday", OR(AND(G751&gt;=7, G751&lt;=9), AND(G751&gt;=17, G751&lt;=19))), "Peak Commute", "Off-Peak")</f>
        <v>Off-Peak</v>
      </c>
      <c r="M751" s="37" t="n">
        <v>1</v>
      </c>
      <c r="N751" s="35" t="str">
        <f aca="false">VLOOKUP(M751, Lookups_Metadata!$G$4:$H$7, 2, FALSE())</f>
        <v>Clear / Few Clouds</v>
      </c>
      <c r="O751" s="40" t="n">
        <v>0.2</v>
      </c>
      <c r="P751" s="40" t="n">
        <v>0.1818</v>
      </c>
      <c r="Q751" s="40" t="n">
        <f aca="false">IF(OR(P751="", ISBLANK(P751)), ROUND(0.9367*O751+0.0175, 4), P751)</f>
        <v>0.1818</v>
      </c>
      <c r="R751" s="35" t="str">
        <f aca="false">IF(OR(P751="", ISBLANK(P751)), "Imputed (Regression/Trend)", "Original")</f>
        <v>Original</v>
      </c>
      <c r="S751" s="40" t="n">
        <v>0.4</v>
      </c>
      <c r="T751" s="40" t="n">
        <v>0.3582</v>
      </c>
      <c r="U751" s="41" t="n">
        <v>2</v>
      </c>
      <c r="V751" s="41" t="n">
        <v>67</v>
      </c>
      <c r="W751" s="41" t="n">
        <f aca="false">U751+V751</f>
        <v>69</v>
      </c>
      <c r="X751" s="42" t="n">
        <f aca="false">U751/W751</f>
        <v>0.0289855072463768</v>
      </c>
      <c r="Y751" s="42" t="n">
        <f aca="false">V751/W751</f>
        <v>0.971014492753623</v>
      </c>
      <c r="Z751" s="35" t="str">
        <f aca="false">IF(W751&gt;=150, "High Demand", IF(W751&gt;=50, "Moderate Demand", "Low Demand"))</f>
        <v>Moderate Demand</v>
      </c>
      <c r="AA751" s="39" t="str">
        <f aca="false">TEXT(G751, "00") &amp; ":00"</f>
        <v>12:00</v>
      </c>
      <c r="AB751" s="37" t="n">
        <f aca="false">YEAR(B751)</f>
        <v>2011</v>
      </c>
      <c r="AC751" s="35" t="str">
        <f aca="false">TEXT(B751, "mmmm")</f>
        <v>February</v>
      </c>
      <c r="AD751" s="37" t="n">
        <f aca="false">LEN(TEXT(B751, "YYYY-MM-DD"))</f>
        <v>10</v>
      </c>
      <c r="AE751" s="39" t="str">
        <f aca="false">LEFT(TEXT(B751, "YYYY-MM-DD"), 4)</f>
        <v>2011</v>
      </c>
      <c r="AF751" s="39" t="str">
        <f aca="false">RIGHT(TEXT(B751, "YYYY-MM-DD"), 2)</f>
        <v>03</v>
      </c>
    </row>
    <row r="752" customFormat="false" ht="15" hidden="false" customHeight="false" outlineLevel="0" collapsed="false">
      <c r="A752" s="43" t="n">
        <v>748</v>
      </c>
      <c r="B752" s="44" t="s">
        <v>117</v>
      </c>
      <c r="C752" s="43" t="n">
        <v>1</v>
      </c>
      <c r="D752" s="33" t="str">
        <f aca="false">VLOOKUP(C752, Lookups_Metadata!$A$4:$B$7, 2, FALSE())</f>
        <v>Spring</v>
      </c>
      <c r="E752" s="43" t="n">
        <v>0</v>
      </c>
      <c r="F752" s="43" t="n">
        <v>2</v>
      </c>
      <c r="G752" s="43" t="n">
        <v>13</v>
      </c>
      <c r="H752" s="45" t="b">
        <f aca="false">FALSE()</f>
        <v>0</v>
      </c>
      <c r="I752" s="43" t="n">
        <v>4</v>
      </c>
      <c r="J752" s="33" t="str">
        <f aca="false">INDEX(Lookups_Metadata!$E$4:$E$10, MATCH(I752, Lookups_Metadata!$D$4:$D$10, 0))</f>
        <v>Thursday</v>
      </c>
      <c r="K752" s="33" t="str">
        <f aca="false">IF(H752=TRUE(), "Holiday", IF(OR(I752=0, I752=6), "Weekend", "Weekday"))</f>
        <v>Weekday</v>
      </c>
      <c r="L752" s="33" t="str">
        <f aca="false">IF(AND(K752="Weekday", OR(AND(G752&gt;=7, G752&lt;=9), AND(G752&gt;=17, G752&lt;=19))), "Peak Commute", "Off-Peak")</f>
        <v>Off-Peak</v>
      </c>
      <c r="M752" s="43" t="n">
        <v>1</v>
      </c>
      <c r="N752" s="33" t="str">
        <f aca="false">VLOOKUP(M752, Lookups_Metadata!$G$4:$H$7, 2, FALSE())</f>
        <v>Clear / Few Clouds</v>
      </c>
      <c r="O752" s="46" t="n">
        <v>0.2</v>
      </c>
      <c r="P752" s="46" t="n">
        <v>0.1667</v>
      </c>
      <c r="Q752" s="46" t="n">
        <f aca="false">IF(OR(P752="", ISBLANK(P752)), ROUND(0.9367*O752+0.0175, 4), P752)</f>
        <v>0.1667</v>
      </c>
      <c r="R752" s="33" t="str">
        <f aca="false">IF(OR(P752="", ISBLANK(P752)), "Imputed (Regression/Trend)", "Original")</f>
        <v>Original</v>
      </c>
      <c r="S752" s="46" t="n">
        <v>0.4</v>
      </c>
      <c r="T752" s="46" t="n">
        <v>0.4179</v>
      </c>
      <c r="U752" s="18" t="n">
        <v>4</v>
      </c>
      <c r="V752" s="18" t="n">
        <v>47</v>
      </c>
      <c r="W752" s="18" t="n">
        <f aca="false">U752+V752</f>
        <v>51</v>
      </c>
      <c r="X752" s="47" t="n">
        <f aca="false">U752/W752</f>
        <v>0.0784313725490196</v>
      </c>
      <c r="Y752" s="47" t="n">
        <f aca="false">V752/W752</f>
        <v>0.92156862745098</v>
      </c>
      <c r="Z752" s="33" t="str">
        <f aca="false">IF(W752&gt;=150, "High Demand", IF(W752&gt;=50, "Moderate Demand", "Low Demand"))</f>
        <v>Moderate Demand</v>
      </c>
      <c r="AA752" s="45" t="str">
        <f aca="false">TEXT(G752, "00") &amp; ":00"</f>
        <v>13:00</v>
      </c>
      <c r="AB752" s="43" t="n">
        <f aca="false">YEAR(B752)</f>
        <v>2011</v>
      </c>
      <c r="AC752" s="33" t="str">
        <f aca="false">TEXT(B752, "mmmm")</f>
        <v>February</v>
      </c>
      <c r="AD752" s="43" t="n">
        <f aca="false">LEN(TEXT(B752, "YYYY-MM-DD"))</f>
        <v>10</v>
      </c>
      <c r="AE752" s="45" t="str">
        <f aca="false">LEFT(TEXT(B752, "YYYY-MM-DD"), 4)</f>
        <v>2011</v>
      </c>
      <c r="AF752" s="45" t="str">
        <f aca="false">RIGHT(TEXT(B752, "YYYY-MM-DD"), 2)</f>
        <v>03</v>
      </c>
    </row>
    <row r="753" customFormat="false" ht="15" hidden="false" customHeight="false" outlineLevel="0" collapsed="false">
      <c r="A753" s="37" t="n">
        <v>749</v>
      </c>
      <c r="B753" s="38" t="s">
        <v>117</v>
      </c>
      <c r="C753" s="37" t="n">
        <v>1</v>
      </c>
      <c r="D753" s="35" t="str">
        <f aca="false">VLOOKUP(C753, Lookups_Metadata!$A$4:$B$7, 2, FALSE())</f>
        <v>Spring</v>
      </c>
      <c r="E753" s="37" t="n">
        <v>0</v>
      </c>
      <c r="F753" s="37" t="n">
        <v>2</v>
      </c>
      <c r="G753" s="37" t="n">
        <v>14</v>
      </c>
      <c r="H753" s="39" t="b">
        <f aca="false">FALSE()</f>
        <v>0</v>
      </c>
      <c r="I753" s="37" t="n">
        <v>4</v>
      </c>
      <c r="J753" s="35" t="str">
        <f aca="false">INDEX(Lookups_Metadata!$E$4:$E$10, MATCH(I753, Lookups_Metadata!$D$4:$D$10, 0))</f>
        <v>Thursday</v>
      </c>
      <c r="K753" s="35" t="str">
        <f aca="false">IF(H753=TRUE(), "Holiday", IF(OR(I753=0, I753=6), "Weekend", "Weekday"))</f>
        <v>Weekday</v>
      </c>
      <c r="L753" s="35" t="str">
        <f aca="false">IF(AND(K753="Weekday", OR(AND(G753&gt;=7, G753&lt;=9), AND(G753&gt;=17, G753&lt;=19))), "Peak Commute", "Off-Peak")</f>
        <v>Off-Peak</v>
      </c>
      <c r="M753" s="37" t="n">
        <v>1</v>
      </c>
      <c r="N753" s="35" t="str">
        <f aca="false">VLOOKUP(M753, Lookups_Metadata!$G$4:$H$7, 2, FALSE())</f>
        <v>Clear / Few Clouds</v>
      </c>
      <c r="O753" s="40" t="n">
        <v>0.22</v>
      </c>
      <c r="P753" s="40" t="n">
        <v>0.197</v>
      </c>
      <c r="Q753" s="40" t="n">
        <f aca="false">IF(OR(P753="", ISBLANK(P753)), ROUND(0.9367*O753+0.0175, 4), P753)</f>
        <v>0.197</v>
      </c>
      <c r="R753" s="35" t="str">
        <f aca="false">IF(OR(P753="", ISBLANK(P753)), "Imputed (Regression/Trend)", "Original")</f>
        <v>Original</v>
      </c>
      <c r="S753" s="40" t="n">
        <v>0.37</v>
      </c>
      <c r="T753" s="40" t="n">
        <v>0.3881</v>
      </c>
      <c r="U753" s="41" t="n">
        <v>4</v>
      </c>
      <c r="V753" s="41" t="n">
        <v>43</v>
      </c>
      <c r="W753" s="41" t="n">
        <f aca="false">U753+V753</f>
        <v>47</v>
      </c>
      <c r="X753" s="42" t="n">
        <f aca="false">U753/W753</f>
        <v>0.0851063829787234</v>
      </c>
      <c r="Y753" s="42" t="n">
        <f aca="false">V753/W753</f>
        <v>0.914893617021277</v>
      </c>
      <c r="Z753" s="35" t="str">
        <f aca="false">IF(W753&gt;=150, "High Demand", IF(W753&gt;=50, "Moderate Demand", "Low Demand"))</f>
        <v>Low Demand</v>
      </c>
      <c r="AA753" s="39" t="str">
        <f aca="false">TEXT(G753, "00") &amp; ":00"</f>
        <v>14:00</v>
      </c>
      <c r="AB753" s="37" t="n">
        <f aca="false">YEAR(B753)</f>
        <v>2011</v>
      </c>
      <c r="AC753" s="35" t="str">
        <f aca="false">TEXT(B753, "mmmm")</f>
        <v>February</v>
      </c>
      <c r="AD753" s="37" t="n">
        <f aca="false">LEN(TEXT(B753, "YYYY-MM-DD"))</f>
        <v>10</v>
      </c>
      <c r="AE753" s="39" t="str">
        <f aca="false">LEFT(TEXT(B753, "YYYY-MM-DD"), 4)</f>
        <v>2011</v>
      </c>
      <c r="AF753" s="39" t="str">
        <f aca="false">RIGHT(TEXT(B753, "YYYY-MM-DD"), 2)</f>
        <v>03</v>
      </c>
    </row>
    <row r="754" customFormat="false" ht="15" hidden="false" customHeight="false" outlineLevel="0" collapsed="false">
      <c r="A754" s="43" t="n">
        <v>750</v>
      </c>
      <c r="B754" s="44" t="s">
        <v>117</v>
      </c>
      <c r="C754" s="43" t="n">
        <v>1</v>
      </c>
      <c r="D754" s="33" t="str">
        <f aca="false">VLOOKUP(C754, Lookups_Metadata!$A$4:$B$7, 2, FALSE())</f>
        <v>Spring</v>
      </c>
      <c r="E754" s="43" t="n">
        <v>0</v>
      </c>
      <c r="F754" s="43" t="n">
        <v>2</v>
      </c>
      <c r="G754" s="43" t="n">
        <v>15</v>
      </c>
      <c r="H754" s="45" t="b">
        <f aca="false">FALSE()</f>
        <v>0</v>
      </c>
      <c r="I754" s="43" t="n">
        <v>4</v>
      </c>
      <c r="J754" s="33" t="str">
        <f aca="false">INDEX(Lookups_Metadata!$E$4:$E$10, MATCH(I754, Lookups_Metadata!$D$4:$D$10, 0))</f>
        <v>Thursday</v>
      </c>
      <c r="K754" s="33" t="str">
        <f aca="false">IF(H754=TRUE(), "Holiday", IF(OR(I754=0, I754=6), "Weekend", "Weekday"))</f>
        <v>Weekday</v>
      </c>
      <c r="L754" s="33" t="str">
        <f aca="false">IF(AND(K754="Weekday", OR(AND(G754&gt;=7, G754&lt;=9), AND(G754&gt;=17, G754&lt;=19))), "Peak Commute", "Off-Peak")</f>
        <v>Off-Peak</v>
      </c>
      <c r="M754" s="43" t="n">
        <v>1</v>
      </c>
      <c r="N754" s="33" t="str">
        <f aca="false">VLOOKUP(M754, Lookups_Metadata!$G$4:$H$7, 2, FALSE())</f>
        <v>Clear / Few Clouds</v>
      </c>
      <c r="O754" s="46" t="n">
        <v>0.22</v>
      </c>
      <c r="P754" s="46" t="n">
        <v>0.197</v>
      </c>
      <c r="Q754" s="46" t="n">
        <f aca="false">IF(OR(P754="", ISBLANK(P754)), ROUND(0.9367*O754+0.0175, 4), P754)</f>
        <v>0.197</v>
      </c>
      <c r="R754" s="33" t="str">
        <f aca="false">IF(OR(P754="", ISBLANK(P754)), "Imputed (Regression/Trend)", "Original")</f>
        <v>Original</v>
      </c>
      <c r="S754" s="46" t="n">
        <v>0.37</v>
      </c>
      <c r="T754" s="46" t="n">
        <v>0.3284</v>
      </c>
      <c r="U754" s="18" t="n">
        <v>4</v>
      </c>
      <c r="V754" s="18" t="n">
        <v>56</v>
      </c>
      <c r="W754" s="18" t="n">
        <f aca="false">U754+V754</f>
        <v>60</v>
      </c>
      <c r="X754" s="47" t="n">
        <f aca="false">U754/W754</f>
        <v>0.0666666666666667</v>
      </c>
      <c r="Y754" s="47" t="n">
        <f aca="false">V754/W754</f>
        <v>0.933333333333333</v>
      </c>
      <c r="Z754" s="33" t="str">
        <f aca="false">IF(W754&gt;=150, "High Demand", IF(W754&gt;=50, "Moderate Demand", "Low Demand"))</f>
        <v>Moderate Demand</v>
      </c>
      <c r="AA754" s="45" t="str">
        <f aca="false">TEXT(G754, "00") &amp; ":00"</f>
        <v>15:00</v>
      </c>
      <c r="AB754" s="43" t="n">
        <f aca="false">YEAR(B754)</f>
        <v>2011</v>
      </c>
      <c r="AC754" s="33" t="str">
        <f aca="false">TEXT(B754, "mmmm")</f>
        <v>February</v>
      </c>
      <c r="AD754" s="43" t="n">
        <f aca="false">LEN(TEXT(B754, "YYYY-MM-DD"))</f>
        <v>10</v>
      </c>
      <c r="AE754" s="45" t="str">
        <f aca="false">LEFT(TEXT(B754, "YYYY-MM-DD"), 4)</f>
        <v>2011</v>
      </c>
      <c r="AF754" s="45" t="str">
        <f aca="false">RIGHT(TEXT(B754, "YYYY-MM-DD"), 2)</f>
        <v>03</v>
      </c>
    </row>
    <row r="755" customFormat="false" ht="15" hidden="false" customHeight="false" outlineLevel="0" collapsed="false">
      <c r="A755" s="37" t="n">
        <v>751</v>
      </c>
      <c r="B755" s="38" t="s">
        <v>117</v>
      </c>
      <c r="C755" s="37" t="n">
        <v>1</v>
      </c>
      <c r="D755" s="35" t="str">
        <f aca="false">VLOOKUP(C755, Lookups_Metadata!$A$4:$B$7, 2, FALSE())</f>
        <v>Spring</v>
      </c>
      <c r="E755" s="37" t="n">
        <v>0</v>
      </c>
      <c r="F755" s="37" t="n">
        <v>2</v>
      </c>
      <c r="G755" s="37" t="n">
        <v>16</v>
      </c>
      <c r="H755" s="39" t="b">
        <f aca="false">FALSE()</f>
        <v>0</v>
      </c>
      <c r="I755" s="37" t="n">
        <v>4</v>
      </c>
      <c r="J755" s="35" t="str">
        <f aca="false">INDEX(Lookups_Metadata!$E$4:$E$10, MATCH(I755, Lookups_Metadata!$D$4:$D$10, 0))</f>
        <v>Thursday</v>
      </c>
      <c r="K755" s="35" t="str">
        <f aca="false">IF(H755=TRUE(), "Holiday", IF(OR(I755=0, I755=6), "Weekend", "Weekday"))</f>
        <v>Weekday</v>
      </c>
      <c r="L755" s="35" t="str">
        <f aca="false">IF(AND(K755="Weekday", OR(AND(G755&gt;=7, G755&lt;=9), AND(G755&gt;=17, G755&lt;=19))), "Peak Commute", "Off-Peak")</f>
        <v>Off-Peak</v>
      </c>
      <c r="M755" s="37" t="n">
        <v>1</v>
      </c>
      <c r="N755" s="35" t="str">
        <f aca="false">VLOOKUP(M755, Lookups_Metadata!$G$4:$H$7, 2, FALSE())</f>
        <v>Clear / Few Clouds</v>
      </c>
      <c r="O755" s="40" t="n">
        <v>0.22</v>
      </c>
      <c r="P755" s="40" t="n">
        <v>0.2121</v>
      </c>
      <c r="Q755" s="40" t="n">
        <f aca="false">IF(OR(P755="", ISBLANK(P755)), ROUND(0.9367*O755+0.0175, 4), P755)</f>
        <v>0.2121</v>
      </c>
      <c r="R755" s="35" t="str">
        <f aca="false">IF(OR(P755="", ISBLANK(P755)), "Imputed (Regression/Trend)", "Original")</f>
        <v>Original</v>
      </c>
      <c r="S755" s="40" t="n">
        <v>0.37</v>
      </c>
      <c r="T755" s="40" t="n">
        <v>0.2537</v>
      </c>
      <c r="U755" s="41" t="n">
        <v>5</v>
      </c>
      <c r="V755" s="41" t="n">
        <v>73</v>
      </c>
      <c r="W755" s="41" t="n">
        <f aca="false">U755+V755</f>
        <v>78</v>
      </c>
      <c r="X755" s="42" t="n">
        <f aca="false">U755/W755</f>
        <v>0.0641025641025641</v>
      </c>
      <c r="Y755" s="42" t="n">
        <f aca="false">V755/W755</f>
        <v>0.935897435897436</v>
      </c>
      <c r="Z755" s="35" t="str">
        <f aca="false">IF(W755&gt;=150, "High Demand", IF(W755&gt;=50, "Moderate Demand", "Low Demand"))</f>
        <v>Moderate Demand</v>
      </c>
      <c r="AA755" s="39" t="str">
        <f aca="false">TEXT(G755, "00") &amp; ":00"</f>
        <v>16:00</v>
      </c>
      <c r="AB755" s="37" t="n">
        <f aca="false">YEAR(B755)</f>
        <v>2011</v>
      </c>
      <c r="AC755" s="35" t="str">
        <f aca="false">TEXT(B755, "mmmm")</f>
        <v>February</v>
      </c>
      <c r="AD755" s="37" t="n">
        <f aca="false">LEN(TEXT(B755, "YYYY-MM-DD"))</f>
        <v>10</v>
      </c>
      <c r="AE755" s="39" t="str">
        <f aca="false">LEFT(TEXT(B755, "YYYY-MM-DD"), 4)</f>
        <v>2011</v>
      </c>
      <c r="AF755" s="39" t="str">
        <f aca="false">RIGHT(TEXT(B755, "YYYY-MM-DD"), 2)</f>
        <v>03</v>
      </c>
    </row>
    <row r="756" customFormat="false" ht="15" hidden="false" customHeight="false" outlineLevel="0" collapsed="false">
      <c r="A756" s="43" t="n">
        <v>752</v>
      </c>
      <c r="B756" s="44" t="s">
        <v>117</v>
      </c>
      <c r="C756" s="43" t="n">
        <v>1</v>
      </c>
      <c r="D756" s="33" t="str">
        <f aca="false">VLOOKUP(C756, Lookups_Metadata!$A$4:$B$7, 2, FALSE())</f>
        <v>Spring</v>
      </c>
      <c r="E756" s="43" t="n">
        <v>0</v>
      </c>
      <c r="F756" s="43" t="n">
        <v>2</v>
      </c>
      <c r="G756" s="43" t="n">
        <v>17</v>
      </c>
      <c r="H756" s="45" t="b">
        <f aca="false">FALSE()</f>
        <v>0</v>
      </c>
      <c r="I756" s="43" t="n">
        <v>4</v>
      </c>
      <c r="J756" s="33" t="str">
        <f aca="false">INDEX(Lookups_Metadata!$E$4:$E$10, MATCH(I756, Lookups_Metadata!$D$4:$D$10, 0))</f>
        <v>Thursday</v>
      </c>
      <c r="K756" s="33" t="str">
        <f aca="false">IF(H756=TRUE(), "Holiday", IF(OR(I756=0, I756=6), "Weekend", "Weekday"))</f>
        <v>Weekday</v>
      </c>
      <c r="L756" s="33" t="str">
        <f aca="false">IF(AND(K756="Weekday", OR(AND(G756&gt;=7, G756&lt;=9), AND(G756&gt;=17, G756&lt;=19))), "Peak Commute", "Off-Peak")</f>
        <v>Peak Commute</v>
      </c>
      <c r="M756" s="43" t="n">
        <v>1</v>
      </c>
      <c r="N756" s="33" t="str">
        <f aca="false">VLOOKUP(M756, Lookups_Metadata!$G$4:$H$7, 2, FALSE())</f>
        <v>Clear / Few Clouds</v>
      </c>
      <c r="O756" s="46" t="n">
        <v>0.2</v>
      </c>
      <c r="P756" s="46" t="n">
        <v>0.197</v>
      </c>
      <c r="Q756" s="46" t="n">
        <f aca="false">IF(OR(P756="", ISBLANK(P756)), ROUND(0.9367*O756+0.0175, 4), P756)</f>
        <v>0.197</v>
      </c>
      <c r="R756" s="33" t="str">
        <f aca="false">IF(OR(P756="", ISBLANK(P756)), "Imputed (Regression/Trend)", "Original")</f>
        <v>Original</v>
      </c>
      <c r="S756" s="46" t="n">
        <v>0.4</v>
      </c>
      <c r="T756" s="46" t="n">
        <v>0.194</v>
      </c>
      <c r="U756" s="18" t="n">
        <v>5</v>
      </c>
      <c r="V756" s="18" t="n">
        <v>170</v>
      </c>
      <c r="W756" s="18" t="n">
        <f aca="false">U756+V756</f>
        <v>175</v>
      </c>
      <c r="X756" s="47" t="n">
        <f aca="false">U756/W756</f>
        <v>0.0285714285714286</v>
      </c>
      <c r="Y756" s="47" t="n">
        <f aca="false">V756/W756</f>
        <v>0.971428571428571</v>
      </c>
      <c r="Z756" s="33" t="str">
        <f aca="false">IF(W756&gt;=150, "High Demand", IF(W756&gt;=50, "Moderate Demand", "Low Demand"))</f>
        <v>High Demand</v>
      </c>
      <c r="AA756" s="45" t="str">
        <f aca="false">TEXT(G756, "00") &amp; ":00"</f>
        <v>17:00</v>
      </c>
      <c r="AB756" s="43" t="n">
        <f aca="false">YEAR(B756)</f>
        <v>2011</v>
      </c>
      <c r="AC756" s="33" t="str">
        <f aca="false">TEXT(B756, "mmmm")</f>
        <v>February</v>
      </c>
      <c r="AD756" s="43" t="n">
        <f aca="false">LEN(TEXT(B756, "YYYY-MM-DD"))</f>
        <v>10</v>
      </c>
      <c r="AE756" s="45" t="str">
        <f aca="false">LEFT(TEXT(B756, "YYYY-MM-DD"), 4)</f>
        <v>2011</v>
      </c>
      <c r="AF756" s="45" t="str">
        <f aca="false">RIGHT(TEXT(B756, "YYYY-MM-DD"), 2)</f>
        <v>03</v>
      </c>
    </row>
    <row r="757" customFormat="false" ht="15" hidden="false" customHeight="false" outlineLevel="0" collapsed="false">
      <c r="A757" s="37" t="n">
        <v>753</v>
      </c>
      <c r="B757" s="38" t="s">
        <v>117</v>
      </c>
      <c r="C757" s="37" t="n">
        <v>1</v>
      </c>
      <c r="D757" s="35" t="str">
        <f aca="false">VLOOKUP(C757, Lookups_Metadata!$A$4:$B$7, 2, FALSE())</f>
        <v>Spring</v>
      </c>
      <c r="E757" s="37" t="n">
        <v>0</v>
      </c>
      <c r="F757" s="37" t="n">
        <v>2</v>
      </c>
      <c r="G757" s="37" t="n">
        <v>18</v>
      </c>
      <c r="H757" s="39" t="b">
        <f aca="false">FALSE()</f>
        <v>0</v>
      </c>
      <c r="I757" s="37" t="n">
        <v>4</v>
      </c>
      <c r="J757" s="35" t="str">
        <f aca="false">INDEX(Lookups_Metadata!$E$4:$E$10, MATCH(I757, Lookups_Metadata!$D$4:$D$10, 0))</f>
        <v>Thursday</v>
      </c>
      <c r="K757" s="35" t="str">
        <f aca="false">IF(H757=TRUE(), "Holiday", IF(OR(I757=0, I757=6), "Weekend", "Weekday"))</f>
        <v>Weekday</v>
      </c>
      <c r="L757" s="35" t="str">
        <f aca="false">IF(AND(K757="Weekday", OR(AND(G757&gt;=7, G757&lt;=9), AND(G757&gt;=17, G757&lt;=19))), "Peak Commute", "Off-Peak")</f>
        <v>Peak Commute</v>
      </c>
      <c r="M757" s="37" t="n">
        <v>1</v>
      </c>
      <c r="N757" s="35" t="str">
        <f aca="false">VLOOKUP(M757, Lookups_Metadata!$G$4:$H$7, 2, FALSE())</f>
        <v>Clear / Few Clouds</v>
      </c>
      <c r="O757" s="40" t="n">
        <v>0.2</v>
      </c>
      <c r="P757" s="40" t="n">
        <v>0.2121</v>
      </c>
      <c r="Q757" s="40" t="n">
        <f aca="false">IF(OR(P757="", ISBLANK(P757)), ROUND(0.9367*O757+0.0175, 4), P757)</f>
        <v>0.2121</v>
      </c>
      <c r="R757" s="35" t="str">
        <f aca="false">IF(OR(P757="", ISBLANK(P757)), "Imputed (Regression/Trend)", "Original")</f>
        <v>Original</v>
      </c>
      <c r="S757" s="40" t="n">
        <v>0.4</v>
      </c>
      <c r="T757" s="40" t="n">
        <v>0.1642</v>
      </c>
      <c r="U757" s="41" t="n">
        <v>2</v>
      </c>
      <c r="V757" s="41" t="n">
        <v>145</v>
      </c>
      <c r="W757" s="41" t="n">
        <f aca="false">U757+V757</f>
        <v>147</v>
      </c>
      <c r="X757" s="42" t="n">
        <f aca="false">U757/W757</f>
        <v>0.0136054421768707</v>
      </c>
      <c r="Y757" s="42" t="n">
        <f aca="false">V757/W757</f>
        <v>0.986394557823129</v>
      </c>
      <c r="Z757" s="35" t="str">
        <f aca="false">IF(W757&gt;=150, "High Demand", IF(W757&gt;=50, "Moderate Demand", "Low Demand"))</f>
        <v>Moderate Demand</v>
      </c>
      <c r="AA757" s="39" t="str">
        <f aca="false">TEXT(G757, "00") &amp; ":00"</f>
        <v>18:00</v>
      </c>
      <c r="AB757" s="37" t="n">
        <f aca="false">YEAR(B757)</f>
        <v>2011</v>
      </c>
      <c r="AC757" s="35" t="str">
        <f aca="false">TEXT(B757, "mmmm")</f>
        <v>February</v>
      </c>
      <c r="AD757" s="37" t="n">
        <f aca="false">LEN(TEXT(B757, "YYYY-MM-DD"))</f>
        <v>10</v>
      </c>
      <c r="AE757" s="39" t="str">
        <f aca="false">LEFT(TEXT(B757, "YYYY-MM-DD"), 4)</f>
        <v>2011</v>
      </c>
      <c r="AF757" s="39" t="str">
        <f aca="false">RIGHT(TEXT(B757, "YYYY-MM-DD"), 2)</f>
        <v>03</v>
      </c>
    </row>
    <row r="758" customFormat="false" ht="15" hidden="false" customHeight="false" outlineLevel="0" collapsed="false">
      <c r="A758" s="43" t="n">
        <v>754</v>
      </c>
      <c r="B758" s="44" t="s">
        <v>117</v>
      </c>
      <c r="C758" s="43" t="n">
        <v>1</v>
      </c>
      <c r="D758" s="33" t="str">
        <f aca="false">VLOOKUP(C758, Lookups_Metadata!$A$4:$B$7, 2, FALSE())</f>
        <v>Spring</v>
      </c>
      <c r="E758" s="43" t="n">
        <v>0</v>
      </c>
      <c r="F758" s="43" t="n">
        <v>2</v>
      </c>
      <c r="G758" s="43" t="n">
        <v>19</v>
      </c>
      <c r="H758" s="45" t="b">
        <f aca="false">FALSE()</f>
        <v>0</v>
      </c>
      <c r="I758" s="43" t="n">
        <v>4</v>
      </c>
      <c r="J758" s="33" t="str">
        <f aca="false">INDEX(Lookups_Metadata!$E$4:$E$10, MATCH(I758, Lookups_Metadata!$D$4:$D$10, 0))</f>
        <v>Thursday</v>
      </c>
      <c r="K758" s="33" t="str">
        <f aca="false">IF(H758=TRUE(), "Holiday", IF(OR(I758=0, I758=6), "Weekend", "Weekday"))</f>
        <v>Weekday</v>
      </c>
      <c r="L758" s="33" t="str">
        <f aca="false">IF(AND(K758="Weekday", OR(AND(G758&gt;=7, G758&lt;=9), AND(G758&gt;=17, G758&lt;=19))), "Peak Commute", "Off-Peak")</f>
        <v>Peak Commute</v>
      </c>
      <c r="M758" s="43" t="n">
        <v>1</v>
      </c>
      <c r="N758" s="33" t="str">
        <f aca="false">VLOOKUP(M758, Lookups_Metadata!$G$4:$H$7, 2, FALSE())</f>
        <v>Clear / Few Clouds</v>
      </c>
      <c r="O758" s="46" t="n">
        <v>0.2</v>
      </c>
      <c r="P758" s="46" t="n">
        <v>0.2576</v>
      </c>
      <c r="Q758" s="46" t="n">
        <f aca="false">IF(OR(P758="", ISBLANK(P758)), ROUND(0.9367*O758+0.0175, 4), P758)</f>
        <v>0.2576</v>
      </c>
      <c r="R758" s="33" t="str">
        <f aca="false">IF(OR(P758="", ISBLANK(P758)), "Imputed (Regression/Trend)", "Original")</f>
        <v>Original</v>
      </c>
      <c r="S758" s="46" t="n">
        <v>0.4</v>
      </c>
      <c r="T758" s="46" t="n">
        <v>0</v>
      </c>
      <c r="U758" s="18" t="n">
        <v>4</v>
      </c>
      <c r="V758" s="18" t="n">
        <v>92</v>
      </c>
      <c r="W758" s="18" t="n">
        <f aca="false">U758+V758</f>
        <v>96</v>
      </c>
      <c r="X758" s="47" t="n">
        <f aca="false">U758/W758</f>
        <v>0.0416666666666667</v>
      </c>
      <c r="Y758" s="47" t="n">
        <f aca="false">V758/W758</f>
        <v>0.958333333333333</v>
      </c>
      <c r="Z758" s="33" t="str">
        <f aca="false">IF(W758&gt;=150, "High Demand", IF(W758&gt;=50, "Moderate Demand", "Low Demand"))</f>
        <v>Moderate Demand</v>
      </c>
      <c r="AA758" s="45" t="str">
        <f aca="false">TEXT(G758, "00") &amp; ":00"</f>
        <v>19:00</v>
      </c>
      <c r="AB758" s="43" t="n">
        <f aca="false">YEAR(B758)</f>
        <v>2011</v>
      </c>
      <c r="AC758" s="33" t="str">
        <f aca="false">TEXT(B758, "mmmm")</f>
        <v>February</v>
      </c>
      <c r="AD758" s="43" t="n">
        <f aca="false">LEN(TEXT(B758, "YYYY-MM-DD"))</f>
        <v>10</v>
      </c>
      <c r="AE758" s="45" t="str">
        <f aca="false">LEFT(TEXT(B758, "YYYY-MM-DD"), 4)</f>
        <v>2011</v>
      </c>
      <c r="AF758" s="45" t="str">
        <f aca="false">RIGHT(TEXT(B758, "YYYY-MM-DD"), 2)</f>
        <v>03</v>
      </c>
    </row>
    <row r="759" customFormat="false" ht="15" hidden="false" customHeight="false" outlineLevel="0" collapsed="false">
      <c r="A759" s="37" t="n">
        <v>755</v>
      </c>
      <c r="B759" s="38" t="s">
        <v>117</v>
      </c>
      <c r="C759" s="37" t="n">
        <v>1</v>
      </c>
      <c r="D759" s="35" t="str">
        <f aca="false">VLOOKUP(C759, Lookups_Metadata!$A$4:$B$7, 2, FALSE())</f>
        <v>Spring</v>
      </c>
      <c r="E759" s="37" t="n">
        <v>0</v>
      </c>
      <c r="F759" s="37" t="n">
        <v>2</v>
      </c>
      <c r="G759" s="37" t="n">
        <v>20</v>
      </c>
      <c r="H759" s="39" t="b">
        <f aca="false">FALSE()</f>
        <v>0</v>
      </c>
      <c r="I759" s="37" t="n">
        <v>4</v>
      </c>
      <c r="J759" s="35" t="str">
        <f aca="false">INDEX(Lookups_Metadata!$E$4:$E$10, MATCH(I759, Lookups_Metadata!$D$4:$D$10, 0))</f>
        <v>Thursday</v>
      </c>
      <c r="K759" s="35" t="str">
        <f aca="false">IF(H759=TRUE(), "Holiday", IF(OR(I759=0, I759=6), "Weekend", "Weekday"))</f>
        <v>Weekday</v>
      </c>
      <c r="L759" s="35" t="str">
        <f aca="false">IF(AND(K759="Weekday", OR(AND(G759&gt;=7, G759&lt;=9), AND(G759&gt;=17, G759&lt;=19))), "Peak Commute", "Off-Peak")</f>
        <v>Off-Peak</v>
      </c>
      <c r="M759" s="37" t="n">
        <v>1</v>
      </c>
      <c r="N759" s="35" t="str">
        <f aca="false">VLOOKUP(M759, Lookups_Metadata!$G$4:$H$7, 2, FALSE())</f>
        <v>Clear / Few Clouds</v>
      </c>
      <c r="O759" s="40" t="n">
        <v>0.2</v>
      </c>
      <c r="P759" s="40" t="n">
        <v>0.2273</v>
      </c>
      <c r="Q759" s="40" t="n">
        <f aca="false">IF(OR(P759="", ISBLANK(P759)), ROUND(0.9367*O759+0.0175, 4), P759)</f>
        <v>0.2273</v>
      </c>
      <c r="R759" s="35" t="str">
        <f aca="false">IF(OR(P759="", ISBLANK(P759)), "Imputed (Regression/Trend)", "Original")</f>
        <v>Original</v>
      </c>
      <c r="S759" s="40" t="n">
        <v>0.47</v>
      </c>
      <c r="T759" s="40" t="n">
        <v>0.0896</v>
      </c>
      <c r="U759" s="41" t="n">
        <v>1</v>
      </c>
      <c r="V759" s="41" t="n">
        <v>108</v>
      </c>
      <c r="W759" s="41" t="n">
        <f aca="false">U759+V759</f>
        <v>109</v>
      </c>
      <c r="X759" s="42" t="n">
        <f aca="false">U759/W759</f>
        <v>0.00917431192660551</v>
      </c>
      <c r="Y759" s="42" t="n">
        <f aca="false">V759/W759</f>
        <v>0.990825688073395</v>
      </c>
      <c r="Z759" s="35" t="str">
        <f aca="false">IF(W759&gt;=150, "High Demand", IF(W759&gt;=50, "Moderate Demand", "Low Demand"))</f>
        <v>Moderate Demand</v>
      </c>
      <c r="AA759" s="39" t="str">
        <f aca="false">TEXT(G759, "00") &amp; ":00"</f>
        <v>20:00</v>
      </c>
      <c r="AB759" s="37" t="n">
        <f aca="false">YEAR(B759)</f>
        <v>2011</v>
      </c>
      <c r="AC759" s="35" t="str">
        <f aca="false">TEXT(B759, "mmmm")</f>
        <v>February</v>
      </c>
      <c r="AD759" s="37" t="n">
        <f aca="false">LEN(TEXT(B759, "YYYY-MM-DD"))</f>
        <v>10</v>
      </c>
      <c r="AE759" s="39" t="str">
        <f aca="false">LEFT(TEXT(B759, "YYYY-MM-DD"), 4)</f>
        <v>2011</v>
      </c>
      <c r="AF759" s="39" t="str">
        <f aca="false">RIGHT(TEXT(B759, "YYYY-MM-DD"), 2)</f>
        <v>03</v>
      </c>
    </row>
    <row r="760" customFormat="false" ht="15" hidden="false" customHeight="false" outlineLevel="0" collapsed="false">
      <c r="A760" s="43" t="n">
        <v>756</v>
      </c>
      <c r="B760" s="44" t="s">
        <v>117</v>
      </c>
      <c r="C760" s="43" t="n">
        <v>1</v>
      </c>
      <c r="D760" s="33" t="str">
        <f aca="false">VLOOKUP(C760, Lookups_Metadata!$A$4:$B$7, 2, FALSE())</f>
        <v>Spring</v>
      </c>
      <c r="E760" s="43" t="n">
        <v>0</v>
      </c>
      <c r="F760" s="43" t="n">
        <v>2</v>
      </c>
      <c r="G760" s="43" t="n">
        <v>21</v>
      </c>
      <c r="H760" s="45" t="b">
        <f aca="false">FALSE()</f>
        <v>0</v>
      </c>
      <c r="I760" s="43" t="n">
        <v>4</v>
      </c>
      <c r="J760" s="33" t="str">
        <f aca="false">INDEX(Lookups_Metadata!$E$4:$E$10, MATCH(I760, Lookups_Metadata!$D$4:$D$10, 0))</f>
        <v>Thursday</v>
      </c>
      <c r="K760" s="33" t="str">
        <f aca="false">IF(H760=TRUE(), "Holiday", IF(OR(I760=0, I760=6), "Weekend", "Weekday"))</f>
        <v>Weekday</v>
      </c>
      <c r="L760" s="33" t="str">
        <f aca="false">IF(AND(K760="Weekday", OR(AND(G760&gt;=7, G760&lt;=9), AND(G760&gt;=17, G760&lt;=19))), "Peak Commute", "Off-Peak")</f>
        <v>Off-Peak</v>
      </c>
      <c r="M760" s="43" t="n">
        <v>1</v>
      </c>
      <c r="N760" s="33" t="str">
        <f aca="false">VLOOKUP(M760, Lookups_Metadata!$G$4:$H$7, 2, FALSE())</f>
        <v>Clear / Few Clouds</v>
      </c>
      <c r="O760" s="46" t="n">
        <v>0.18</v>
      </c>
      <c r="P760" s="46" t="n">
        <v>0.2121</v>
      </c>
      <c r="Q760" s="46" t="n">
        <f aca="false">IF(OR(P760="", ISBLANK(P760)), ROUND(0.9367*O760+0.0175, 4), P760)</f>
        <v>0.2121</v>
      </c>
      <c r="R760" s="33" t="str">
        <f aca="false">IF(OR(P760="", ISBLANK(P760)), "Imputed (Regression/Trend)", "Original")</f>
        <v>Original</v>
      </c>
      <c r="S760" s="46" t="n">
        <v>0.55</v>
      </c>
      <c r="T760" s="46" t="n">
        <v>0.1045</v>
      </c>
      <c r="U760" s="18" t="n">
        <v>1</v>
      </c>
      <c r="V760" s="18" t="n">
        <v>53</v>
      </c>
      <c r="W760" s="18" t="n">
        <f aca="false">U760+V760</f>
        <v>54</v>
      </c>
      <c r="X760" s="47" t="n">
        <f aca="false">U760/W760</f>
        <v>0.0185185185185185</v>
      </c>
      <c r="Y760" s="47" t="n">
        <f aca="false">V760/W760</f>
        <v>0.981481481481482</v>
      </c>
      <c r="Z760" s="33" t="str">
        <f aca="false">IF(W760&gt;=150, "High Demand", IF(W760&gt;=50, "Moderate Demand", "Low Demand"))</f>
        <v>Moderate Demand</v>
      </c>
      <c r="AA760" s="45" t="str">
        <f aca="false">TEXT(G760, "00") &amp; ":00"</f>
        <v>21:00</v>
      </c>
      <c r="AB760" s="43" t="n">
        <f aca="false">YEAR(B760)</f>
        <v>2011</v>
      </c>
      <c r="AC760" s="33" t="str">
        <f aca="false">TEXT(B760, "mmmm")</f>
        <v>February</v>
      </c>
      <c r="AD760" s="43" t="n">
        <f aca="false">LEN(TEXT(B760, "YYYY-MM-DD"))</f>
        <v>10</v>
      </c>
      <c r="AE760" s="45" t="str">
        <f aca="false">LEFT(TEXT(B760, "YYYY-MM-DD"), 4)</f>
        <v>2011</v>
      </c>
      <c r="AF760" s="45" t="str">
        <f aca="false">RIGHT(TEXT(B760, "YYYY-MM-DD"), 2)</f>
        <v>03</v>
      </c>
    </row>
    <row r="761" customFormat="false" ht="15" hidden="false" customHeight="false" outlineLevel="0" collapsed="false">
      <c r="A761" s="37" t="n">
        <v>757</v>
      </c>
      <c r="B761" s="38" t="s">
        <v>117</v>
      </c>
      <c r="C761" s="37" t="n">
        <v>1</v>
      </c>
      <c r="D761" s="35" t="str">
        <f aca="false">VLOOKUP(C761, Lookups_Metadata!$A$4:$B$7, 2, FALSE())</f>
        <v>Spring</v>
      </c>
      <c r="E761" s="37" t="n">
        <v>0</v>
      </c>
      <c r="F761" s="37" t="n">
        <v>2</v>
      </c>
      <c r="G761" s="37" t="n">
        <v>22</v>
      </c>
      <c r="H761" s="39" t="b">
        <f aca="false">FALSE()</f>
        <v>0</v>
      </c>
      <c r="I761" s="37" t="n">
        <v>4</v>
      </c>
      <c r="J761" s="35" t="str">
        <f aca="false">INDEX(Lookups_Metadata!$E$4:$E$10, MATCH(I761, Lookups_Metadata!$D$4:$D$10, 0))</f>
        <v>Thursday</v>
      </c>
      <c r="K761" s="35" t="str">
        <f aca="false">IF(H761=TRUE(), "Holiday", IF(OR(I761=0, I761=6), "Weekend", "Weekday"))</f>
        <v>Weekday</v>
      </c>
      <c r="L761" s="35" t="str">
        <f aca="false">IF(AND(K761="Weekday", OR(AND(G761&gt;=7, G761&lt;=9), AND(G761&gt;=17, G761&lt;=19))), "Peak Commute", "Off-Peak")</f>
        <v>Off-Peak</v>
      </c>
      <c r="M761" s="37" t="n">
        <v>1</v>
      </c>
      <c r="N761" s="35" t="str">
        <f aca="false">VLOOKUP(M761, Lookups_Metadata!$G$4:$H$7, 2, FALSE())</f>
        <v>Clear / Few Clouds</v>
      </c>
      <c r="O761" s="40" t="n">
        <v>0.18</v>
      </c>
      <c r="P761" s="40" t="n">
        <v>0.2121</v>
      </c>
      <c r="Q761" s="40" t="n">
        <f aca="false">IF(OR(P761="", ISBLANK(P761)), ROUND(0.9367*O761+0.0175, 4), P761)</f>
        <v>0.2121</v>
      </c>
      <c r="R761" s="35" t="str">
        <f aca="false">IF(OR(P761="", ISBLANK(P761)), "Imputed (Regression/Trend)", "Original")</f>
        <v>Original</v>
      </c>
      <c r="S761" s="40" t="n">
        <v>0.51</v>
      </c>
      <c r="T761" s="40" t="n">
        <v>0.0896</v>
      </c>
      <c r="U761" s="41" t="n">
        <v>2</v>
      </c>
      <c r="V761" s="41" t="n">
        <v>39</v>
      </c>
      <c r="W761" s="41" t="n">
        <f aca="false">U761+V761</f>
        <v>41</v>
      </c>
      <c r="X761" s="42" t="n">
        <f aca="false">U761/W761</f>
        <v>0.0487804878048781</v>
      </c>
      <c r="Y761" s="42" t="n">
        <f aca="false">V761/W761</f>
        <v>0.951219512195122</v>
      </c>
      <c r="Z761" s="35" t="str">
        <f aca="false">IF(W761&gt;=150, "High Demand", IF(W761&gt;=50, "Moderate Demand", "Low Demand"))</f>
        <v>Low Demand</v>
      </c>
      <c r="AA761" s="39" t="str">
        <f aca="false">TEXT(G761, "00") &amp; ":00"</f>
        <v>22:00</v>
      </c>
      <c r="AB761" s="37" t="n">
        <f aca="false">YEAR(B761)</f>
        <v>2011</v>
      </c>
      <c r="AC761" s="35" t="str">
        <f aca="false">TEXT(B761, "mmmm")</f>
        <v>February</v>
      </c>
      <c r="AD761" s="37" t="n">
        <f aca="false">LEN(TEXT(B761, "YYYY-MM-DD"))</f>
        <v>10</v>
      </c>
      <c r="AE761" s="39" t="str">
        <f aca="false">LEFT(TEXT(B761, "YYYY-MM-DD"), 4)</f>
        <v>2011</v>
      </c>
      <c r="AF761" s="39" t="str">
        <f aca="false">RIGHT(TEXT(B761, "YYYY-MM-DD"), 2)</f>
        <v>03</v>
      </c>
    </row>
    <row r="762" customFormat="false" ht="15" hidden="false" customHeight="false" outlineLevel="0" collapsed="false">
      <c r="A762" s="43" t="n">
        <v>758</v>
      </c>
      <c r="B762" s="44" t="s">
        <v>117</v>
      </c>
      <c r="C762" s="43" t="n">
        <v>1</v>
      </c>
      <c r="D762" s="33" t="str">
        <f aca="false">VLOOKUP(C762, Lookups_Metadata!$A$4:$B$7, 2, FALSE())</f>
        <v>Spring</v>
      </c>
      <c r="E762" s="43" t="n">
        <v>0</v>
      </c>
      <c r="F762" s="43" t="n">
        <v>2</v>
      </c>
      <c r="G762" s="43" t="n">
        <v>23</v>
      </c>
      <c r="H762" s="45" t="b">
        <f aca="false">FALSE()</f>
        <v>0</v>
      </c>
      <c r="I762" s="43" t="n">
        <v>4</v>
      </c>
      <c r="J762" s="33" t="str">
        <f aca="false">INDEX(Lookups_Metadata!$E$4:$E$10, MATCH(I762, Lookups_Metadata!$D$4:$D$10, 0))</f>
        <v>Thursday</v>
      </c>
      <c r="K762" s="33" t="str">
        <f aca="false">IF(H762=TRUE(), "Holiday", IF(OR(I762=0, I762=6), "Weekend", "Weekday"))</f>
        <v>Weekday</v>
      </c>
      <c r="L762" s="33" t="str">
        <f aca="false">IF(AND(K762="Weekday", OR(AND(G762&gt;=7, G762&lt;=9), AND(G762&gt;=17, G762&lt;=19))), "Peak Commute", "Off-Peak")</f>
        <v>Off-Peak</v>
      </c>
      <c r="M762" s="43" t="n">
        <v>1</v>
      </c>
      <c r="N762" s="33" t="str">
        <f aca="false">VLOOKUP(M762, Lookups_Metadata!$G$4:$H$7, 2, FALSE())</f>
        <v>Clear / Few Clouds</v>
      </c>
      <c r="O762" s="46" t="n">
        <v>0.2</v>
      </c>
      <c r="P762" s="46" t="n">
        <v>0.2273</v>
      </c>
      <c r="Q762" s="46" t="n">
        <f aca="false">IF(OR(P762="", ISBLANK(P762)), ROUND(0.9367*O762+0.0175, 4), P762)</f>
        <v>0.2273</v>
      </c>
      <c r="R762" s="33" t="str">
        <f aca="false">IF(OR(P762="", ISBLANK(P762)), "Imputed (Regression/Trend)", "Original")</f>
        <v>Original</v>
      </c>
      <c r="S762" s="46" t="n">
        <v>0.47</v>
      </c>
      <c r="T762" s="46" t="n">
        <v>0.1045</v>
      </c>
      <c r="U762" s="18" t="n">
        <v>4</v>
      </c>
      <c r="V762" s="18" t="n">
        <v>34</v>
      </c>
      <c r="W762" s="18" t="n">
        <f aca="false">U762+V762</f>
        <v>38</v>
      </c>
      <c r="X762" s="47" t="n">
        <f aca="false">U762/W762</f>
        <v>0.105263157894737</v>
      </c>
      <c r="Y762" s="47" t="n">
        <f aca="false">V762/W762</f>
        <v>0.894736842105263</v>
      </c>
      <c r="Z762" s="33" t="str">
        <f aca="false">IF(W762&gt;=150, "High Demand", IF(W762&gt;=50, "Moderate Demand", "Low Demand"))</f>
        <v>Low Demand</v>
      </c>
      <c r="AA762" s="45" t="str">
        <f aca="false">TEXT(G762, "00") &amp; ":00"</f>
        <v>23:00</v>
      </c>
      <c r="AB762" s="43" t="n">
        <f aca="false">YEAR(B762)</f>
        <v>2011</v>
      </c>
      <c r="AC762" s="33" t="str">
        <f aca="false">TEXT(B762, "mmmm")</f>
        <v>February</v>
      </c>
      <c r="AD762" s="43" t="n">
        <f aca="false">LEN(TEXT(B762, "YYYY-MM-DD"))</f>
        <v>10</v>
      </c>
      <c r="AE762" s="45" t="str">
        <f aca="false">LEFT(TEXT(B762, "YYYY-MM-DD"), 4)</f>
        <v>2011</v>
      </c>
      <c r="AF762" s="45" t="str">
        <f aca="false">RIGHT(TEXT(B762, "YYYY-MM-DD"), 2)</f>
        <v>03</v>
      </c>
    </row>
    <row r="763" customFormat="false" ht="15" hidden="false" customHeight="false" outlineLevel="0" collapsed="false">
      <c r="A763" s="37" t="n">
        <v>759</v>
      </c>
      <c r="B763" s="38" t="s">
        <v>118</v>
      </c>
      <c r="C763" s="37" t="n">
        <v>1</v>
      </c>
      <c r="D763" s="35" t="str">
        <f aca="false">VLOOKUP(C763, Lookups_Metadata!$A$4:$B$7, 2, FALSE())</f>
        <v>Spring</v>
      </c>
      <c r="E763" s="37" t="n">
        <v>0</v>
      </c>
      <c r="F763" s="37" t="n">
        <v>2</v>
      </c>
      <c r="G763" s="37" t="n">
        <v>0</v>
      </c>
      <c r="H763" s="39" t="b">
        <f aca="false">FALSE()</f>
        <v>0</v>
      </c>
      <c r="I763" s="37" t="n">
        <v>5</v>
      </c>
      <c r="J763" s="35" t="str">
        <f aca="false">INDEX(Lookups_Metadata!$E$4:$E$10, MATCH(I763, Lookups_Metadata!$D$4:$D$10, 0))</f>
        <v>Friday</v>
      </c>
      <c r="K763" s="35" t="str">
        <f aca="false">IF(H763=TRUE(), "Holiday", IF(OR(I763=0, I763=6), "Weekend", "Weekday"))</f>
        <v>Weekday</v>
      </c>
      <c r="L763" s="35" t="str">
        <f aca="false">IF(AND(K763="Weekday", OR(AND(G763&gt;=7, G763&lt;=9), AND(G763&gt;=17, G763&lt;=19))), "Peak Commute", "Off-Peak")</f>
        <v>Off-Peak</v>
      </c>
      <c r="M763" s="37" t="n">
        <v>2</v>
      </c>
      <c r="N763" s="35" t="str">
        <f aca="false">VLOOKUP(M763, Lookups_Metadata!$G$4:$H$7, 2, FALSE())</f>
        <v>Mist / Cloudy</v>
      </c>
      <c r="O763" s="40" t="n">
        <v>0.2</v>
      </c>
      <c r="P763" s="40" t="n">
        <v>0.2576</v>
      </c>
      <c r="Q763" s="40" t="n">
        <f aca="false">IF(OR(P763="", ISBLANK(P763)), ROUND(0.9367*O763+0.0175, 4), P763)</f>
        <v>0.2576</v>
      </c>
      <c r="R763" s="35" t="str">
        <f aca="false">IF(OR(P763="", ISBLANK(P763)), "Imputed (Regression/Trend)", "Original")</f>
        <v>Original</v>
      </c>
      <c r="S763" s="40" t="n">
        <v>0.44</v>
      </c>
      <c r="T763" s="40" t="n">
        <v>0</v>
      </c>
      <c r="U763" s="41" t="n">
        <v>3</v>
      </c>
      <c r="V763" s="41" t="n">
        <v>10</v>
      </c>
      <c r="W763" s="41" t="n">
        <f aca="false">U763+V763</f>
        <v>13</v>
      </c>
      <c r="X763" s="42" t="n">
        <f aca="false">U763/W763</f>
        <v>0.230769230769231</v>
      </c>
      <c r="Y763" s="42" t="n">
        <f aca="false">V763/W763</f>
        <v>0.769230769230769</v>
      </c>
      <c r="Z763" s="35" t="str">
        <f aca="false">IF(W763&gt;=150, "High Demand", IF(W763&gt;=50, "Moderate Demand", "Low Demand"))</f>
        <v>Low Demand</v>
      </c>
      <c r="AA763" s="39" t="str">
        <f aca="false">TEXT(G763, "00") &amp; ":00"</f>
        <v>00:00</v>
      </c>
      <c r="AB763" s="37" t="n">
        <f aca="false">YEAR(B763)</f>
        <v>2011</v>
      </c>
      <c r="AC763" s="35" t="str">
        <f aca="false">TEXT(B763, "mmmm")</f>
        <v>February</v>
      </c>
      <c r="AD763" s="37" t="n">
        <f aca="false">LEN(TEXT(B763, "YYYY-MM-DD"))</f>
        <v>10</v>
      </c>
      <c r="AE763" s="39" t="str">
        <f aca="false">LEFT(TEXT(B763, "YYYY-MM-DD"), 4)</f>
        <v>2011</v>
      </c>
      <c r="AF763" s="39" t="str">
        <f aca="false">RIGHT(TEXT(B763, "YYYY-MM-DD"), 2)</f>
        <v>04</v>
      </c>
    </row>
    <row r="764" customFormat="false" ht="15" hidden="false" customHeight="false" outlineLevel="0" collapsed="false">
      <c r="A764" s="43" t="n">
        <v>760</v>
      </c>
      <c r="B764" s="44" t="s">
        <v>118</v>
      </c>
      <c r="C764" s="43" t="n">
        <v>1</v>
      </c>
      <c r="D764" s="33" t="str">
        <f aca="false">VLOOKUP(C764, Lookups_Metadata!$A$4:$B$7, 2, FALSE())</f>
        <v>Spring</v>
      </c>
      <c r="E764" s="43" t="n">
        <v>0</v>
      </c>
      <c r="F764" s="43" t="n">
        <v>2</v>
      </c>
      <c r="G764" s="43" t="n">
        <v>1</v>
      </c>
      <c r="H764" s="45" t="b">
        <f aca="false">FALSE()</f>
        <v>0</v>
      </c>
      <c r="I764" s="43" t="n">
        <v>5</v>
      </c>
      <c r="J764" s="33" t="str">
        <f aca="false">INDEX(Lookups_Metadata!$E$4:$E$10, MATCH(I764, Lookups_Metadata!$D$4:$D$10, 0))</f>
        <v>Friday</v>
      </c>
      <c r="K764" s="33" t="str">
        <f aca="false">IF(H764=TRUE(), "Holiday", IF(OR(I764=0, I764=6), "Weekend", "Weekday"))</f>
        <v>Weekday</v>
      </c>
      <c r="L764" s="33" t="str">
        <f aca="false">IF(AND(K764="Weekday", OR(AND(G764&gt;=7, G764&lt;=9), AND(G764&gt;=17, G764&lt;=19))), "Peak Commute", "Off-Peak")</f>
        <v>Off-Peak</v>
      </c>
      <c r="M764" s="43" t="n">
        <v>2</v>
      </c>
      <c r="N764" s="33" t="str">
        <f aca="false">VLOOKUP(M764, Lookups_Metadata!$G$4:$H$7, 2, FALSE())</f>
        <v>Mist / Cloudy</v>
      </c>
      <c r="O764" s="46" t="n">
        <v>0.16</v>
      </c>
      <c r="P764" s="46" t="n">
        <v>0.2273</v>
      </c>
      <c r="Q764" s="46" t="n">
        <f aca="false">IF(OR(P764="", ISBLANK(P764)), ROUND(0.9367*O764+0.0175, 4), P764)</f>
        <v>0.2273</v>
      </c>
      <c r="R764" s="33" t="str">
        <f aca="false">IF(OR(P764="", ISBLANK(P764)), "Imputed (Regression/Trend)", "Original")</f>
        <v>Original</v>
      </c>
      <c r="S764" s="46" t="n">
        <v>0.59</v>
      </c>
      <c r="T764" s="46" t="n">
        <v>0</v>
      </c>
      <c r="U764" s="18" t="n">
        <v>0</v>
      </c>
      <c r="V764" s="18" t="n">
        <v>7</v>
      </c>
      <c r="W764" s="18" t="n">
        <f aca="false">U764+V764</f>
        <v>7</v>
      </c>
      <c r="X764" s="47" t="n">
        <f aca="false">U764/W764</f>
        <v>0</v>
      </c>
      <c r="Y764" s="47" t="n">
        <f aca="false">V764/W764</f>
        <v>1</v>
      </c>
      <c r="Z764" s="33" t="str">
        <f aca="false">IF(W764&gt;=150, "High Demand", IF(W764&gt;=50, "Moderate Demand", "Low Demand"))</f>
        <v>Low Demand</v>
      </c>
      <c r="AA764" s="45" t="str">
        <f aca="false">TEXT(G764, "00") &amp; ":00"</f>
        <v>01:00</v>
      </c>
      <c r="AB764" s="43" t="n">
        <f aca="false">YEAR(B764)</f>
        <v>2011</v>
      </c>
      <c r="AC764" s="33" t="str">
        <f aca="false">TEXT(B764, "mmmm")</f>
        <v>February</v>
      </c>
      <c r="AD764" s="43" t="n">
        <f aca="false">LEN(TEXT(B764, "YYYY-MM-DD"))</f>
        <v>10</v>
      </c>
      <c r="AE764" s="45" t="str">
        <f aca="false">LEFT(TEXT(B764, "YYYY-MM-DD"), 4)</f>
        <v>2011</v>
      </c>
      <c r="AF764" s="45" t="str">
        <f aca="false">RIGHT(TEXT(B764, "YYYY-MM-DD"), 2)</f>
        <v>04</v>
      </c>
    </row>
    <row r="765" customFormat="false" ht="15" hidden="false" customHeight="false" outlineLevel="0" collapsed="false">
      <c r="A765" s="37" t="n">
        <v>761</v>
      </c>
      <c r="B765" s="38" t="s">
        <v>118</v>
      </c>
      <c r="C765" s="37" t="n">
        <v>1</v>
      </c>
      <c r="D765" s="35" t="str">
        <f aca="false">VLOOKUP(C765, Lookups_Metadata!$A$4:$B$7, 2, FALSE())</f>
        <v>Spring</v>
      </c>
      <c r="E765" s="37" t="n">
        <v>0</v>
      </c>
      <c r="F765" s="37" t="n">
        <v>2</v>
      </c>
      <c r="G765" s="37" t="n">
        <v>2</v>
      </c>
      <c r="H765" s="39" t="b">
        <f aca="false">FALSE()</f>
        <v>0</v>
      </c>
      <c r="I765" s="37" t="n">
        <v>5</v>
      </c>
      <c r="J765" s="35" t="str">
        <f aca="false">INDEX(Lookups_Metadata!$E$4:$E$10, MATCH(I765, Lookups_Metadata!$D$4:$D$10, 0))</f>
        <v>Friday</v>
      </c>
      <c r="K765" s="35" t="str">
        <f aca="false">IF(H765=TRUE(), "Holiday", IF(OR(I765=0, I765=6), "Weekend", "Weekday"))</f>
        <v>Weekday</v>
      </c>
      <c r="L765" s="35" t="str">
        <f aca="false">IF(AND(K765="Weekday", OR(AND(G765&gt;=7, G765&lt;=9), AND(G765&gt;=17, G765&lt;=19))), "Peak Commute", "Off-Peak")</f>
        <v>Off-Peak</v>
      </c>
      <c r="M765" s="37" t="n">
        <v>2</v>
      </c>
      <c r="N765" s="35" t="str">
        <f aca="false">VLOOKUP(M765, Lookups_Metadata!$G$4:$H$7, 2, FALSE())</f>
        <v>Mist / Cloudy</v>
      </c>
      <c r="O765" s="40" t="n">
        <v>0.14</v>
      </c>
      <c r="P765" s="40" t="n">
        <v>0.1667</v>
      </c>
      <c r="Q765" s="40" t="n">
        <f aca="false">IF(OR(P765="", ISBLANK(P765)), ROUND(0.9367*O765+0.0175, 4), P765)</f>
        <v>0.1667</v>
      </c>
      <c r="R765" s="35" t="str">
        <f aca="false">IF(OR(P765="", ISBLANK(P765)), "Imputed (Regression/Trend)", "Original")</f>
        <v>Original</v>
      </c>
      <c r="S765" s="40" t="n">
        <v>0.63</v>
      </c>
      <c r="T765" s="40" t="n">
        <v>0.1045</v>
      </c>
      <c r="U765" s="41" t="n">
        <v>0</v>
      </c>
      <c r="V765" s="41" t="n">
        <v>1</v>
      </c>
      <c r="W765" s="41" t="n">
        <f aca="false">U765+V765</f>
        <v>1</v>
      </c>
      <c r="X765" s="42" t="n">
        <f aca="false">U765/W765</f>
        <v>0</v>
      </c>
      <c r="Y765" s="42" t="n">
        <f aca="false">V765/W765</f>
        <v>1</v>
      </c>
      <c r="Z765" s="35" t="str">
        <f aca="false">IF(W765&gt;=150, "High Demand", IF(W765&gt;=50, "Moderate Demand", "Low Demand"))</f>
        <v>Low Demand</v>
      </c>
      <c r="AA765" s="39" t="str">
        <f aca="false">TEXT(G765, "00") &amp; ":00"</f>
        <v>02:00</v>
      </c>
      <c r="AB765" s="37" t="n">
        <f aca="false">YEAR(B765)</f>
        <v>2011</v>
      </c>
      <c r="AC765" s="35" t="str">
        <f aca="false">TEXT(B765, "mmmm")</f>
        <v>February</v>
      </c>
      <c r="AD765" s="37" t="n">
        <f aca="false">LEN(TEXT(B765, "YYYY-MM-DD"))</f>
        <v>10</v>
      </c>
      <c r="AE765" s="39" t="str">
        <f aca="false">LEFT(TEXT(B765, "YYYY-MM-DD"), 4)</f>
        <v>2011</v>
      </c>
      <c r="AF765" s="39" t="str">
        <f aca="false">RIGHT(TEXT(B765, "YYYY-MM-DD"), 2)</f>
        <v>04</v>
      </c>
    </row>
    <row r="766" customFormat="false" ht="15" hidden="false" customHeight="false" outlineLevel="0" collapsed="false">
      <c r="A766" s="43" t="n">
        <v>762</v>
      </c>
      <c r="B766" s="44" t="s">
        <v>118</v>
      </c>
      <c r="C766" s="43" t="n">
        <v>1</v>
      </c>
      <c r="D766" s="33" t="str">
        <f aca="false">VLOOKUP(C766, Lookups_Metadata!$A$4:$B$7, 2, FALSE())</f>
        <v>Spring</v>
      </c>
      <c r="E766" s="43" t="n">
        <v>0</v>
      </c>
      <c r="F766" s="43" t="n">
        <v>2</v>
      </c>
      <c r="G766" s="43" t="n">
        <v>3</v>
      </c>
      <c r="H766" s="45" t="b">
        <f aca="false">FALSE()</f>
        <v>0</v>
      </c>
      <c r="I766" s="43" t="n">
        <v>5</v>
      </c>
      <c r="J766" s="33" t="str">
        <f aca="false">INDEX(Lookups_Metadata!$E$4:$E$10, MATCH(I766, Lookups_Metadata!$D$4:$D$10, 0))</f>
        <v>Friday</v>
      </c>
      <c r="K766" s="33" t="str">
        <f aca="false">IF(H766=TRUE(), "Holiday", IF(OR(I766=0, I766=6), "Weekend", "Weekday"))</f>
        <v>Weekday</v>
      </c>
      <c r="L766" s="33" t="str">
        <f aca="false">IF(AND(K766="Weekday", OR(AND(G766&gt;=7, G766&lt;=9), AND(G766&gt;=17, G766&lt;=19))), "Peak Commute", "Off-Peak")</f>
        <v>Off-Peak</v>
      </c>
      <c r="M766" s="43" t="n">
        <v>2</v>
      </c>
      <c r="N766" s="33" t="str">
        <f aca="false">VLOOKUP(M766, Lookups_Metadata!$G$4:$H$7, 2, FALSE())</f>
        <v>Mist / Cloudy</v>
      </c>
      <c r="O766" s="46" t="n">
        <v>0.14</v>
      </c>
      <c r="P766" s="46" t="n">
        <v>0.1667</v>
      </c>
      <c r="Q766" s="46" t="n">
        <f aca="false">IF(OR(P766="", ISBLANK(P766)), ROUND(0.9367*O766+0.0175, 4), P766)</f>
        <v>0.1667</v>
      </c>
      <c r="R766" s="33" t="str">
        <f aca="false">IF(OR(P766="", ISBLANK(P766)), "Imputed (Regression/Trend)", "Original")</f>
        <v>Original</v>
      </c>
      <c r="S766" s="46" t="n">
        <v>0.63</v>
      </c>
      <c r="T766" s="46" t="n">
        <v>0.1045</v>
      </c>
      <c r="U766" s="18" t="n">
        <v>0</v>
      </c>
      <c r="V766" s="18" t="n">
        <v>1</v>
      </c>
      <c r="W766" s="18" t="n">
        <f aca="false">U766+V766</f>
        <v>1</v>
      </c>
      <c r="X766" s="47" t="n">
        <f aca="false">U766/W766</f>
        <v>0</v>
      </c>
      <c r="Y766" s="47" t="n">
        <f aca="false">V766/W766</f>
        <v>1</v>
      </c>
      <c r="Z766" s="33" t="str">
        <f aca="false">IF(W766&gt;=150, "High Demand", IF(W766&gt;=50, "Moderate Demand", "Low Demand"))</f>
        <v>Low Demand</v>
      </c>
      <c r="AA766" s="45" t="str">
        <f aca="false">TEXT(G766, "00") &amp; ":00"</f>
        <v>03:00</v>
      </c>
      <c r="AB766" s="43" t="n">
        <f aca="false">YEAR(B766)</f>
        <v>2011</v>
      </c>
      <c r="AC766" s="33" t="str">
        <f aca="false">TEXT(B766, "mmmm")</f>
        <v>February</v>
      </c>
      <c r="AD766" s="43" t="n">
        <f aca="false">LEN(TEXT(B766, "YYYY-MM-DD"))</f>
        <v>10</v>
      </c>
      <c r="AE766" s="45" t="str">
        <f aca="false">LEFT(TEXT(B766, "YYYY-MM-DD"), 4)</f>
        <v>2011</v>
      </c>
      <c r="AF766" s="45" t="str">
        <f aca="false">RIGHT(TEXT(B766, "YYYY-MM-DD"), 2)</f>
        <v>04</v>
      </c>
    </row>
    <row r="767" customFormat="false" ht="15" hidden="false" customHeight="false" outlineLevel="0" collapsed="false">
      <c r="A767" s="37" t="n">
        <v>763</v>
      </c>
      <c r="B767" s="38" t="s">
        <v>118</v>
      </c>
      <c r="C767" s="37" t="n">
        <v>1</v>
      </c>
      <c r="D767" s="35" t="str">
        <f aca="false">VLOOKUP(C767, Lookups_Metadata!$A$4:$B$7, 2, FALSE())</f>
        <v>Spring</v>
      </c>
      <c r="E767" s="37" t="n">
        <v>0</v>
      </c>
      <c r="F767" s="37" t="n">
        <v>2</v>
      </c>
      <c r="G767" s="37" t="n">
        <v>5</v>
      </c>
      <c r="H767" s="39" t="b">
        <f aca="false">FALSE()</f>
        <v>0</v>
      </c>
      <c r="I767" s="37" t="n">
        <v>5</v>
      </c>
      <c r="J767" s="35" t="str">
        <f aca="false">INDEX(Lookups_Metadata!$E$4:$E$10, MATCH(I767, Lookups_Metadata!$D$4:$D$10, 0))</f>
        <v>Friday</v>
      </c>
      <c r="K767" s="35" t="str">
        <f aca="false">IF(H767=TRUE(), "Holiday", IF(OR(I767=0, I767=6), "Weekend", "Weekday"))</f>
        <v>Weekday</v>
      </c>
      <c r="L767" s="35" t="str">
        <f aca="false">IF(AND(K767="Weekday", OR(AND(G767&gt;=7, G767&lt;=9), AND(G767&gt;=17, G767&lt;=19))), "Peak Commute", "Off-Peak")</f>
        <v>Off-Peak</v>
      </c>
      <c r="M767" s="37" t="n">
        <v>2</v>
      </c>
      <c r="N767" s="35" t="str">
        <f aca="false">VLOOKUP(M767, Lookups_Metadata!$G$4:$H$7, 2, FALSE())</f>
        <v>Mist / Cloudy</v>
      </c>
      <c r="O767" s="40" t="n">
        <v>0.14</v>
      </c>
      <c r="P767" s="40" t="n">
        <v>0.1515</v>
      </c>
      <c r="Q767" s="40" t="n">
        <f aca="false">IF(OR(P767="", ISBLANK(P767)), ROUND(0.9367*O767+0.0175, 4), P767)</f>
        <v>0.1515</v>
      </c>
      <c r="R767" s="35" t="str">
        <f aca="false">IF(OR(P767="", ISBLANK(P767)), "Imputed (Regression/Trend)", "Original")</f>
        <v>Original</v>
      </c>
      <c r="S767" s="40" t="n">
        <v>0.63</v>
      </c>
      <c r="T767" s="40" t="n">
        <v>0.1343</v>
      </c>
      <c r="U767" s="41" t="n">
        <v>0</v>
      </c>
      <c r="V767" s="41" t="n">
        <v>7</v>
      </c>
      <c r="W767" s="41" t="n">
        <f aca="false">U767+V767</f>
        <v>7</v>
      </c>
      <c r="X767" s="42" t="n">
        <f aca="false">U767/W767</f>
        <v>0</v>
      </c>
      <c r="Y767" s="42" t="n">
        <f aca="false">V767/W767</f>
        <v>1</v>
      </c>
      <c r="Z767" s="35" t="str">
        <f aca="false">IF(W767&gt;=150, "High Demand", IF(W767&gt;=50, "Moderate Demand", "Low Demand"))</f>
        <v>Low Demand</v>
      </c>
      <c r="AA767" s="39" t="str">
        <f aca="false">TEXT(G767, "00") &amp; ":00"</f>
        <v>05:00</v>
      </c>
      <c r="AB767" s="37" t="n">
        <f aca="false">YEAR(B767)</f>
        <v>2011</v>
      </c>
      <c r="AC767" s="35" t="str">
        <f aca="false">TEXT(B767, "mmmm")</f>
        <v>February</v>
      </c>
      <c r="AD767" s="37" t="n">
        <f aca="false">LEN(TEXT(B767, "YYYY-MM-DD"))</f>
        <v>10</v>
      </c>
      <c r="AE767" s="39" t="str">
        <f aca="false">LEFT(TEXT(B767, "YYYY-MM-DD"), 4)</f>
        <v>2011</v>
      </c>
      <c r="AF767" s="39" t="str">
        <f aca="false">RIGHT(TEXT(B767, "YYYY-MM-DD"), 2)</f>
        <v>04</v>
      </c>
    </row>
    <row r="768" customFormat="false" ht="15" hidden="false" customHeight="false" outlineLevel="0" collapsed="false">
      <c r="A768" s="43" t="n">
        <v>764</v>
      </c>
      <c r="B768" s="44" t="s">
        <v>118</v>
      </c>
      <c r="C768" s="43" t="n">
        <v>1</v>
      </c>
      <c r="D768" s="33" t="str">
        <f aca="false">VLOOKUP(C768, Lookups_Metadata!$A$4:$B$7, 2, FALSE())</f>
        <v>Spring</v>
      </c>
      <c r="E768" s="43" t="n">
        <v>0</v>
      </c>
      <c r="F768" s="43" t="n">
        <v>2</v>
      </c>
      <c r="G768" s="43" t="n">
        <v>6</v>
      </c>
      <c r="H768" s="45" t="b">
        <f aca="false">FALSE()</f>
        <v>0</v>
      </c>
      <c r="I768" s="43" t="n">
        <v>5</v>
      </c>
      <c r="J768" s="33" t="str">
        <f aca="false">INDEX(Lookups_Metadata!$E$4:$E$10, MATCH(I768, Lookups_Metadata!$D$4:$D$10, 0))</f>
        <v>Friday</v>
      </c>
      <c r="K768" s="33" t="str">
        <f aca="false">IF(H768=TRUE(), "Holiday", IF(OR(I768=0, I768=6), "Weekend", "Weekday"))</f>
        <v>Weekday</v>
      </c>
      <c r="L768" s="33" t="str">
        <f aca="false">IF(AND(K768="Weekday", OR(AND(G768&gt;=7, G768&lt;=9), AND(G768&gt;=17, G768&lt;=19))), "Peak Commute", "Off-Peak")</f>
        <v>Off-Peak</v>
      </c>
      <c r="M768" s="43" t="n">
        <v>2</v>
      </c>
      <c r="N768" s="33" t="str">
        <f aca="false">VLOOKUP(M768, Lookups_Metadata!$G$4:$H$7, 2, FALSE())</f>
        <v>Mist / Cloudy</v>
      </c>
      <c r="O768" s="46" t="n">
        <v>0.16</v>
      </c>
      <c r="P768" s="46" t="n">
        <v>0.2273</v>
      </c>
      <c r="Q768" s="46" t="n">
        <f aca="false">IF(OR(P768="", ISBLANK(P768)), ROUND(0.9367*O768+0.0175, 4), P768)</f>
        <v>0.2273</v>
      </c>
      <c r="R768" s="33" t="str">
        <f aca="false">IF(OR(P768="", ISBLANK(P768)), "Imputed (Regression/Trend)", "Original")</f>
        <v>Original</v>
      </c>
      <c r="S768" s="46" t="n">
        <v>0.55</v>
      </c>
      <c r="T768" s="46" t="n">
        <v>0</v>
      </c>
      <c r="U768" s="18" t="n">
        <v>2</v>
      </c>
      <c r="V768" s="18" t="n">
        <v>26</v>
      </c>
      <c r="W768" s="18" t="n">
        <f aca="false">U768+V768</f>
        <v>28</v>
      </c>
      <c r="X768" s="47" t="n">
        <f aca="false">U768/W768</f>
        <v>0.0714285714285714</v>
      </c>
      <c r="Y768" s="47" t="n">
        <f aca="false">V768/W768</f>
        <v>0.928571428571429</v>
      </c>
      <c r="Z768" s="33" t="str">
        <f aca="false">IF(W768&gt;=150, "High Demand", IF(W768&gt;=50, "Moderate Demand", "Low Demand"))</f>
        <v>Low Demand</v>
      </c>
      <c r="AA768" s="45" t="str">
        <f aca="false">TEXT(G768, "00") &amp; ":00"</f>
        <v>06:00</v>
      </c>
      <c r="AB768" s="43" t="n">
        <f aca="false">YEAR(B768)</f>
        <v>2011</v>
      </c>
      <c r="AC768" s="33" t="str">
        <f aca="false">TEXT(B768, "mmmm")</f>
        <v>February</v>
      </c>
      <c r="AD768" s="43" t="n">
        <f aca="false">LEN(TEXT(B768, "YYYY-MM-DD"))</f>
        <v>10</v>
      </c>
      <c r="AE768" s="45" t="str">
        <f aca="false">LEFT(TEXT(B768, "YYYY-MM-DD"), 4)</f>
        <v>2011</v>
      </c>
      <c r="AF768" s="45" t="str">
        <f aca="false">RIGHT(TEXT(B768, "YYYY-MM-DD"), 2)</f>
        <v>04</v>
      </c>
    </row>
    <row r="769" customFormat="false" ht="15" hidden="false" customHeight="false" outlineLevel="0" collapsed="false">
      <c r="A769" s="37" t="n">
        <v>765</v>
      </c>
      <c r="B769" s="38" t="s">
        <v>118</v>
      </c>
      <c r="C769" s="37" t="n">
        <v>1</v>
      </c>
      <c r="D769" s="35" t="str">
        <f aca="false">VLOOKUP(C769, Lookups_Metadata!$A$4:$B$7, 2, FALSE())</f>
        <v>Spring</v>
      </c>
      <c r="E769" s="37" t="n">
        <v>0</v>
      </c>
      <c r="F769" s="37" t="n">
        <v>2</v>
      </c>
      <c r="G769" s="37" t="n">
        <v>7</v>
      </c>
      <c r="H769" s="39" t="b">
        <f aca="false">FALSE()</f>
        <v>0</v>
      </c>
      <c r="I769" s="37" t="n">
        <v>5</v>
      </c>
      <c r="J769" s="35" t="str">
        <f aca="false">INDEX(Lookups_Metadata!$E$4:$E$10, MATCH(I769, Lookups_Metadata!$D$4:$D$10, 0))</f>
        <v>Friday</v>
      </c>
      <c r="K769" s="35" t="str">
        <f aca="false">IF(H769=TRUE(), "Holiday", IF(OR(I769=0, I769=6), "Weekend", "Weekday"))</f>
        <v>Weekday</v>
      </c>
      <c r="L769" s="35" t="str">
        <f aca="false">IF(AND(K769="Weekday", OR(AND(G769&gt;=7, G769&lt;=9), AND(G769&gt;=17, G769&lt;=19))), "Peak Commute", "Off-Peak")</f>
        <v>Peak Commute</v>
      </c>
      <c r="M769" s="37" t="n">
        <v>1</v>
      </c>
      <c r="N769" s="35" t="str">
        <f aca="false">VLOOKUP(M769, Lookups_Metadata!$G$4:$H$7, 2, FALSE())</f>
        <v>Clear / Few Clouds</v>
      </c>
      <c r="O769" s="40" t="n">
        <v>0.14</v>
      </c>
      <c r="P769" s="40" t="n">
        <v>0.2121</v>
      </c>
      <c r="Q769" s="40" t="n">
        <f aca="false">IF(OR(P769="", ISBLANK(P769)), ROUND(0.9367*O769+0.0175, 4), P769)</f>
        <v>0.2121</v>
      </c>
      <c r="R769" s="35" t="str">
        <f aca="false">IF(OR(P769="", ISBLANK(P769)), "Imputed (Regression/Trend)", "Original")</f>
        <v>Original</v>
      </c>
      <c r="S769" s="40" t="n">
        <v>0.59</v>
      </c>
      <c r="T769" s="40" t="n">
        <v>0</v>
      </c>
      <c r="U769" s="41" t="n">
        <v>0</v>
      </c>
      <c r="V769" s="41" t="n">
        <v>87</v>
      </c>
      <c r="W769" s="41" t="n">
        <f aca="false">U769+V769</f>
        <v>87</v>
      </c>
      <c r="X769" s="42" t="n">
        <f aca="false">U769/W769</f>
        <v>0</v>
      </c>
      <c r="Y769" s="42" t="n">
        <f aca="false">V769/W769</f>
        <v>1</v>
      </c>
      <c r="Z769" s="35" t="str">
        <f aca="false">IF(W769&gt;=150, "High Demand", IF(W769&gt;=50, "Moderate Demand", "Low Demand"))</f>
        <v>Moderate Demand</v>
      </c>
      <c r="AA769" s="39" t="str">
        <f aca="false">TEXT(G769, "00") &amp; ":00"</f>
        <v>07:00</v>
      </c>
      <c r="AB769" s="37" t="n">
        <f aca="false">YEAR(B769)</f>
        <v>2011</v>
      </c>
      <c r="AC769" s="35" t="str">
        <f aca="false">TEXT(B769, "mmmm")</f>
        <v>February</v>
      </c>
      <c r="AD769" s="37" t="n">
        <f aca="false">LEN(TEXT(B769, "YYYY-MM-DD"))</f>
        <v>10</v>
      </c>
      <c r="AE769" s="39" t="str">
        <f aca="false">LEFT(TEXT(B769, "YYYY-MM-DD"), 4)</f>
        <v>2011</v>
      </c>
      <c r="AF769" s="39" t="str">
        <f aca="false">RIGHT(TEXT(B769, "YYYY-MM-DD"), 2)</f>
        <v>04</v>
      </c>
    </row>
    <row r="770" customFormat="false" ht="15" hidden="false" customHeight="false" outlineLevel="0" collapsed="false">
      <c r="A770" s="43" t="n">
        <v>766</v>
      </c>
      <c r="B770" s="44" t="s">
        <v>118</v>
      </c>
      <c r="C770" s="43" t="n">
        <v>1</v>
      </c>
      <c r="D770" s="33" t="str">
        <f aca="false">VLOOKUP(C770, Lookups_Metadata!$A$4:$B$7, 2, FALSE())</f>
        <v>Spring</v>
      </c>
      <c r="E770" s="43" t="n">
        <v>0</v>
      </c>
      <c r="F770" s="43" t="n">
        <v>2</v>
      </c>
      <c r="G770" s="43" t="n">
        <v>8</v>
      </c>
      <c r="H770" s="45" t="b">
        <f aca="false">FALSE()</f>
        <v>0</v>
      </c>
      <c r="I770" s="43" t="n">
        <v>5</v>
      </c>
      <c r="J770" s="33" t="str">
        <f aca="false">INDEX(Lookups_Metadata!$E$4:$E$10, MATCH(I770, Lookups_Metadata!$D$4:$D$10, 0))</f>
        <v>Friday</v>
      </c>
      <c r="K770" s="33" t="str">
        <f aca="false">IF(H770=TRUE(), "Holiday", IF(OR(I770=0, I770=6), "Weekend", "Weekday"))</f>
        <v>Weekday</v>
      </c>
      <c r="L770" s="33" t="str">
        <f aca="false">IF(AND(K770="Weekday", OR(AND(G770&gt;=7, G770&lt;=9), AND(G770&gt;=17, G770&lt;=19))), "Peak Commute", "Off-Peak")</f>
        <v>Peak Commute</v>
      </c>
      <c r="M770" s="43" t="n">
        <v>1</v>
      </c>
      <c r="N770" s="33" t="str">
        <f aca="false">VLOOKUP(M770, Lookups_Metadata!$G$4:$H$7, 2, FALSE())</f>
        <v>Clear / Few Clouds</v>
      </c>
      <c r="O770" s="46" t="n">
        <v>0.14</v>
      </c>
      <c r="P770" s="46" t="n">
        <v>0.1515</v>
      </c>
      <c r="Q770" s="46" t="n">
        <f aca="false">IF(OR(P770="", ISBLANK(P770)), ROUND(0.9367*O770+0.0175, 4), P770)</f>
        <v>0.1515</v>
      </c>
      <c r="R770" s="33" t="str">
        <f aca="false">IF(OR(P770="", ISBLANK(P770)), "Imputed (Regression/Trend)", "Original")</f>
        <v>Original</v>
      </c>
      <c r="S770" s="46" t="n">
        <v>0.74</v>
      </c>
      <c r="T770" s="46" t="n">
        <v>0.1343</v>
      </c>
      <c r="U770" s="18" t="n">
        <v>3</v>
      </c>
      <c r="V770" s="18" t="n">
        <v>217</v>
      </c>
      <c r="W770" s="18" t="n">
        <f aca="false">U770+V770</f>
        <v>220</v>
      </c>
      <c r="X770" s="47" t="n">
        <f aca="false">U770/W770</f>
        <v>0.0136363636363636</v>
      </c>
      <c r="Y770" s="47" t="n">
        <f aca="false">V770/W770</f>
        <v>0.986363636363636</v>
      </c>
      <c r="Z770" s="33" t="str">
        <f aca="false">IF(W770&gt;=150, "High Demand", IF(W770&gt;=50, "Moderate Demand", "Low Demand"))</f>
        <v>High Demand</v>
      </c>
      <c r="AA770" s="45" t="str">
        <f aca="false">TEXT(G770, "00") &amp; ":00"</f>
        <v>08:00</v>
      </c>
      <c r="AB770" s="43" t="n">
        <f aca="false">YEAR(B770)</f>
        <v>2011</v>
      </c>
      <c r="AC770" s="33" t="str">
        <f aca="false">TEXT(B770, "mmmm")</f>
        <v>February</v>
      </c>
      <c r="AD770" s="43" t="n">
        <f aca="false">LEN(TEXT(B770, "YYYY-MM-DD"))</f>
        <v>10</v>
      </c>
      <c r="AE770" s="45" t="str">
        <f aca="false">LEFT(TEXT(B770, "YYYY-MM-DD"), 4)</f>
        <v>2011</v>
      </c>
      <c r="AF770" s="45" t="str">
        <f aca="false">RIGHT(TEXT(B770, "YYYY-MM-DD"), 2)</f>
        <v>04</v>
      </c>
    </row>
    <row r="771" customFormat="false" ht="15" hidden="false" customHeight="false" outlineLevel="0" collapsed="false">
      <c r="A771" s="37" t="n">
        <v>767</v>
      </c>
      <c r="B771" s="38" t="s">
        <v>118</v>
      </c>
      <c r="C771" s="37" t="n">
        <v>1</v>
      </c>
      <c r="D771" s="35" t="str">
        <f aca="false">VLOOKUP(C771, Lookups_Metadata!$A$4:$B$7, 2, FALSE())</f>
        <v>Spring</v>
      </c>
      <c r="E771" s="37" t="n">
        <v>0</v>
      </c>
      <c r="F771" s="37" t="n">
        <v>2</v>
      </c>
      <c r="G771" s="37" t="n">
        <v>9</v>
      </c>
      <c r="H771" s="39" t="b">
        <f aca="false">FALSE()</f>
        <v>0</v>
      </c>
      <c r="I771" s="37" t="n">
        <v>5</v>
      </c>
      <c r="J771" s="35" t="str">
        <f aca="false">INDEX(Lookups_Metadata!$E$4:$E$10, MATCH(I771, Lookups_Metadata!$D$4:$D$10, 0))</f>
        <v>Friday</v>
      </c>
      <c r="K771" s="35" t="str">
        <f aca="false">IF(H771=TRUE(), "Holiday", IF(OR(I771=0, I771=6), "Weekend", "Weekday"))</f>
        <v>Weekday</v>
      </c>
      <c r="L771" s="35" t="str">
        <f aca="false">IF(AND(K771="Weekday", OR(AND(G771&gt;=7, G771&lt;=9), AND(G771&gt;=17, G771&lt;=19))), "Peak Commute", "Off-Peak")</f>
        <v>Peak Commute</v>
      </c>
      <c r="M771" s="37" t="n">
        <v>2</v>
      </c>
      <c r="N771" s="35" t="str">
        <f aca="false">VLOOKUP(M771, Lookups_Metadata!$G$4:$H$7, 2, FALSE())</f>
        <v>Mist / Cloudy</v>
      </c>
      <c r="O771" s="40" t="n">
        <v>0.16</v>
      </c>
      <c r="P771" s="40" t="n">
        <v>0.1818</v>
      </c>
      <c r="Q771" s="40" t="n">
        <f aca="false">IF(OR(P771="", ISBLANK(P771)), ROUND(0.9367*O771+0.0175, 4), P771)</f>
        <v>0.1818</v>
      </c>
      <c r="R771" s="35" t="str">
        <f aca="false">IF(OR(P771="", ISBLANK(P771)), "Imputed (Regression/Trend)", "Original")</f>
        <v>Original</v>
      </c>
      <c r="S771" s="40" t="n">
        <v>0.8</v>
      </c>
      <c r="T771" s="40" t="n">
        <v>0.1343</v>
      </c>
      <c r="U771" s="41" t="n">
        <v>3</v>
      </c>
      <c r="V771" s="41" t="n">
        <v>124</v>
      </c>
      <c r="W771" s="41" t="n">
        <f aca="false">U771+V771</f>
        <v>127</v>
      </c>
      <c r="X771" s="42" t="n">
        <f aca="false">U771/W771</f>
        <v>0.0236220472440945</v>
      </c>
      <c r="Y771" s="42" t="n">
        <f aca="false">V771/W771</f>
        <v>0.976377952755906</v>
      </c>
      <c r="Z771" s="35" t="str">
        <f aca="false">IF(W771&gt;=150, "High Demand", IF(W771&gt;=50, "Moderate Demand", "Low Demand"))</f>
        <v>Moderate Demand</v>
      </c>
      <c r="AA771" s="39" t="str">
        <f aca="false">TEXT(G771, "00") &amp; ":00"</f>
        <v>09:00</v>
      </c>
      <c r="AB771" s="37" t="n">
        <f aca="false">YEAR(B771)</f>
        <v>2011</v>
      </c>
      <c r="AC771" s="35" t="str">
        <f aca="false">TEXT(B771, "mmmm")</f>
        <v>February</v>
      </c>
      <c r="AD771" s="37" t="n">
        <f aca="false">LEN(TEXT(B771, "YYYY-MM-DD"))</f>
        <v>10</v>
      </c>
      <c r="AE771" s="39" t="str">
        <f aca="false">LEFT(TEXT(B771, "YYYY-MM-DD"), 4)</f>
        <v>2011</v>
      </c>
      <c r="AF771" s="39" t="str">
        <f aca="false">RIGHT(TEXT(B771, "YYYY-MM-DD"), 2)</f>
        <v>04</v>
      </c>
    </row>
    <row r="772" customFormat="false" ht="15" hidden="false" customHeight="false" outlineLevel="0" collapsed="false">
      <c r="A772" s="43" t="n">
        <v>768</v>
      </c>
      <c r="B772" s="44" t="s">
        <v>118</v>
      </c>
      <c r="C772" s="43" t="n">
        <v>1</v>
      </c>
      <c r="D772" s="33" t="str">
        <f aca="false">VLOOKUP(C772, Lookups_Metadata!$A$4:$B$7, 2, FALSE())</f>
        <v>Spring</v>
      </c>
      <c r="E772" s="43" t="n">
        <v>0</v>
      </c>
      <c r="F772" s="43" t="n">
        <v>2</v>
      </c>
      <c r="G772" s="43" t="n">
        <v>10</v>
      </c>
      <c r="H772" s="45" t="b">
        <f aca="false">FALSE()</f>
        <v>0</v>
      </c>
      <c r="I772" s="43" t="n">
        <v>5</v>
      </c>
      <c r="J772" s="33" t="str">
        <f aca="false">INDEX(Lookups_Metadata!$E$4:$E$10, MATCH(I772, Lookups_Metadata!$D$4:$D$10, 0))</f>
        <v>Friday</v>
      </c>
      <c r="K772" s="33" t="str">
        <f aca="false">IF(H772=TRUE(), "Holiday", IF(OR(I772=0, I772=6), "Weekend", "Weekday"))</f>
        <v>Weekday</v>
      </c>
      <c r="L772" s="33" t="str">
        <f aca="false">IF(AND(K772="Weekday", OR(AND(G772&gt;=7, G772&lt;=9), AND(G772&gt;=17, G772&lt;=19))), "Peak Commute", "Off-Peak")</f>
        <v>Off-Peak</v>
      </c>
      <c r="M772" s="43" t="n">
        <v>2</v>
      </c>
      <c r="N772" s="33" t="str">
        <f aca="false">VLOOKUP(M772, Lookups_Metadata!$G$4:$H$7, 2, FALSE())</f>
        <v>Mist / Cloudy</v>
      </c>
      <c r="O772" s="46" t="n">
        <v>0.2</v>
      </c>
      <c r="P772" s="46" t="n">
        <v>0.2121</v>
      </c>
      <c r="Q772" s="46" t="n">
        <f aca="false">IF(OR(P772="", ISBLANK(P772)), ROUND(0.9367*O772+0.0175, 4), P772)</f>
        <v>0.2121</v>
      </c>
      <c r="R772" s="33" t="str">
        <f aca="false">IF(OR(P772="", ISBLANK(P772)), "Imputed (Regression/Trend)", "Original")</f>
        <v>Original</v>
      </c>
      <c r="S772" s="46" t="n">
        <v>0.51</v>
      </c>
      <c r="T772" s="46" t="n">
        <v>0.1343</v>
      </c>
      <c r="U772" s="18" t="n">
        <v>5</v>
      </c>
      <c r="V772" s="18" t="n">
        <v>46</v>
      </c>
      <c r="W772" s="18" t="n">
        <f aca="false">U772+V772</f>
        <v>51</v>
      </c>
      <c r="X772" s="47" t="n">
        <f aca="false">U772/W772</f>
        <v>0.0980392156862745</v>
      </c>
      <c r="Y772" s="47" t="n">
        <f aca="false">V772/W772</f>
        <v>0.901960784313726</v>
      </c>
      <c r="Z772" s="33" t="str">
        <f aca="false">IF(W772&gt;=150, "High Demand", IF(W772&gt;=50, "Moderate Demand", "Low Demand"))</f>
        <v>Moderate Demand</v>
      </c>
      <c r="AA772" s="45" t="str">
        <f aca="false">TEXT(G772, "00") &amp; ":00"</f>
        <v>10:00</v>
      </c>
      <c r="AB772" s="43" t="n">
        <f aca="false">YEAR(B772)</f>
        <v>2011</v>
      </c>
      <c r="AC772" s="33" t="str">
        <f aca="false">TEXT(B772, "mmmm")</f>
        <v>February</v>
      </c>
      <c r="AD772" s="43" t="n">
        <f aca="false">LEN(TEXT(B772, "YYYY-MM-DD"))</f>
        <v>10</v>
      </c>
      <c r="AE772" s="45" t="str">
        <f aca="false">LEFT(TEXT(B772, "YYYY-MM-DD"), 4)</f>
        <v>2011</v>
      </c>
      <c r="AF772" s="45" t="str">
        <f aca="false">RIGHT(TEXT(B772, "YYYY-MM-DD"), 2)</f>
        <v>04</v>
      </c>
    </row>
    <row r="773" customFormat="false" ht="15" hidden="false" customHeight="false" outlineLevel="0" collapsed="false">
      <c r="A773" s="37" t="n">
        <v>769</v>
      </c>
      <c r="B773" s="38" t="s">
        <v>118</v>
      </c>
      <c r="C773" s="37" t="n">
        <v>1</v>
      </c>
      <c r="D773" s="35" t="str">
        <f aca="false">VLOOKUP(C773, Lookups_Metadata!$A$4:$B$7, 2, FALSE())</f>
        <v>Spring</v>
      </c>
      <c r="E773" s="37" t="n">
        <v>0</v>
      </c>
      <c r="F773" s="37" t="n">
        <v>2</v>
      </c>
      <c r="G773" s="37" t="n">
        <v>11</v>
      </c>
      <c r="H773" s="39" t="b">
        <f aca="false">FALSE()</f>
        <v>0</v>
      </c>
      <c r="I773" s="37" t="n">
        <v>5</v>
      </c>
      <c r="J773" s="35" t="str">
        <f aca="false">INDEX(Lookups_Metadata!$E$4:$E$10, MATCH(I773, Lookups_Metadata!$D$4:$D$10, 0))</f>
        <v>Friday</v>
      </c>
      <c r="K773" s="35" t="str">
        <f aca="false">IF(H773=TRUE(), "Holiday", IF(OR(I773=0, I773=6), "Weekend", "Weekday"))</f>
        <v>Weekday</v>
      </c>
      <c r="L773" s="35" t="str">
        <f aca="false">IF(AND(K773="Weekday", OR(AND(G773&gt;=7, G773&lt;=9), AND(G773&gt;=17, G773&lt;=19))), "Peak Commute", "Off-Peak")</f>
        <v>Off-Peak</v>
      </c>
      <c r="M773" s="37" t="n">
        <v>1</v>
      </c>
      <c r="N773" s="35" t="str">
        <f aca="false">VLOOKUP(M773, Lookups_Metadata!$G$4:$H$7, 2, FALSE())</f>
        <v>Clear / Few Clouds</v>
      </c>
      <c r="O773" s="40" t="n">
        <v>0.22</v>
      </c>
      <c r="P773" s="40" t="n">
        <v>0.2273</v>
      </c>
      <c r="Q773" s="40" t="n">
        <f aca="false">IF(OR(P773="", ISBLANK(P773)), ROUND(0.9367*O773+0.0175, 4), P773)</f>
        <v>0.2273</v>
      </c>
      <c r="R773" s="35" t="str">
        <f aca="false">IF(OR(P773="", ISBLANK(P773)), "Imputed (Regression/Trend)", "Original")</f>
        <v>Original</v>
      </c>
      <c r="S773" s="40" t="n">
        <v>0.51</v>
      </c>
      <c r="T773" s="40" t="n">
        <v>0.1642</v>
      </c>
      <c r="U773" s="41" t="n">
        <v>3</v>
      </c>
      <c r="V773" s="41" t="n">
        <v>61</v>
      </c>
      <c r="W773" s="41" t="n">
        <f aca="false">U773+V773</f>
        <v>64</v>
      </c>
      <c r="X773" s="42" t="n">
        <f aca="false">U773/W773</f>
        <v>0.046875</v>
      </c>
      <c r="Y773" s="42" t="n">
        <f aca="false">V773/W773</f>
        <v>0.953125</v>
      </c>
      <c r="Z773" s="35" t="str">
        <f aca="false">IF(W773&gt;=150, "High Demand", IF(W773&gt;=50, "Moderate Demand", "Low Demand"))</f>
        <v>Moderate Demand</v>
      </c>
      <c r="AA773" s="39" t="str">
        <f aca="false">TEXT(G773, "00") &amp; ":00"</f>
        <v>11:00</v>
      </c>
      <c r="AB773" s="37" t="n">
        <f aca="false">YEAR(B773)</f>
        <v>2011</v>
      </c>
      <c r="AC773" s="35" t="str">
        <f aca="false">TEXT(B773, "mmmm")</f>
        <v>February</v>
      </c>
      <c r="AD773" s="37" t="n">
        <f aca="false">LEN(TEXT(B773, "YYYY-MM-DD"))</f>
        <v>10</v>
      </c>
      <c r="AE773" s="39" t="str">
        <f aca="false">LEFT(TEXT(B773, "YYYY-MM-DD"), 4)</f>
        <v>2011</v>
      </c>
      <c r="AF773" s="39" t="str">
        <f aca="false">RIGHT(TEXT(B773, "YYYY-MM-DD"), 2)</f>
        <v>04</v>
      </c>
    </row>
    <row r="774" customFormat="false" ht="15" hidden="false" customHeight="false" outlineLevel="0" collapsed="false">
      <c r="A774" s="43" t="n">
        <v>770</v>
      </c>
      <c r="B774" s="44" t="s">
        <v>118</v>
      </c>
      <c r="C774" s="43" t="n">
        <v>1</v>
      </c>
      <c r="D774" s="33" t="str">
        <f aca="false">VLOOKUP(C774, Lookups_Metadata!$A$4:$B$7, 2, FALSE())</f>
        <v>Spring</v>
      </c>
      <c r="E774" s="43" t="n">
        <v>0</v>
      </c>
      <c r="F774" s="43" t="n">
        <v>2</v>
      </c>
      <c r="G774" s="43" t="n">
        <v>12</v>
      </c>
      <c r="H774" s="45" t="b">
        <f aca="false">FALSE()</f>
        <v>0</v>
      </c>
      <c r="I774" s="43" t="n">
        <v>5</v>
      </c>
      <c r="J774" s="33" t="str">
        <f aca="false">INDEX(Lookups_Metadata!$E$4:$E$10, MATCH(I774, Lookups_Metadata!$D$4:$D$10, 0))</f>
        <v>Friday</v>
      </c>
      <c r="K774" s="33" t="str">
        <f aca="false">IF(H774=TRUE(), "Holiday", IF(OR(I774=0, I774=6), "Weekend", "Weekday"))</f>
        <v>Weekday</v>
      </c>
      <c r="L774" s="33" t="str">
        <f aca="false">IF(AND(K774="Weekday", OR(AND(G774&gt;=7, G774&lt;=9), AND(G774&gt;=17, G774&lt;=19))), "Peak Commute", "Off-Peak")</f>
        <v>Off-Peak</v>
      </c>
      <c r="M774" s="43" t="n">
        <v>2</v>
      </c>
      <c r="N774" s="33" t="str">
        <f aca="false">VLOOKUP(M774, Lookups_Metadata!$G$4:$H$7, 2, FALSE())</f>
        <v>Mist / Cloudy</v>
      </c>
      <c r="O774" s="46" t="n">
        <v>0.24</v>
      </c>
      <c r="P774" s="46" t="n">
        <v>0.2424</v>
      </c>
      <c r="Q774" s="46" t="n">
        <f aca="false">IF(OR(P774="", ISBLANK(P774)), ROUND(0.9367*O774+0.0175, 4), P774)</f>
        <v>0.2424</v>
      </c>
      <c r="R774" s="33" t="str">
        <f aca="false">IF(OR(P774="", ISBLANK(P774)), "Imputed (Regression/Trend)", "Original")</f>
        <v>Original</v>
      </c>
      <c r="S774" s="46" t="n">
        <v>0.48</v>
      </c>
      <c r="T774" s="46" t="n">
        <v>0.1642</v>
      </c>
      <c r="U774" s="18" t="n">
        <v>8</v>
      </c>
      <c r="V774" s="18" t="n">
        <v>78</v>
      </c>
      <c r="W774" s="18" t="n">
        <f aca="false">U774+V774</f>
        <v>86</v>
      </c>
      <c r="X774" s="47" t="n">
        <f aca="false">U774/W774</f>
        <v>0.0930232558139535</v>
      </c>
      <c r="Y774" s="47" t="n">
        <f aca="false">V774/W774</f>
        <v>0.906976744186047</v>
      </c>
      <c r="Z774" s="33" t="str">
        <f aca="false">IF(W774&gt;=150, "High Demand", IF(W774&gt;=50, "Moderate Demand", "Low Demand"))</f>
        <v>Moderate Demand</v>
      </c>
      <c r="AA774" s="45" t="str">
        <f aca="false">TEXT(G774, "00") &amp; ":00"</f>
        <v>12:00</v>
      </c>
      <c r="AB774" s="43" t="n">
        <f aca="false">YEAR(B774)</f>
        <v>2011</v>
      </c>
      <c r="AC774" s="33" t="str">
        <f aca="false">TEXT(B774, "mmmm")</f>
        <v>February</v>
      </c>
      <c r="AD774" s="43" t="n">
        <f aca="false">LEN(TEXT(B774, "YYYY-MM-DD"))</f>
        <v>10</v>
      </c>
      <c r="AE774" s="45" t="str">
        <f aca="false">LEFT(TEXT(B774, "YYYY-MM-DD"), 4)</f>
        <v>2011</v>
      </c>
      <c r="AF774" s="45" t="str">
        <f aca="false">RIGHT(TEXT(B774, "YYYY-MM-DD"), 2)</f>
        <v>04</v>
      </c>
    </row>
    <row r="775" customFormat="false" ht="15" hidden="false" customHeight="false" outlineLevel="0" collapsed="false">
      <c r="A775" s="37" t="n">
        <v>771</v>
      </c>
      <c r="B775" s="38" t="s">
        <v>118</v>
      </c>
      <c r="C775" s="37" t="n">
        <v>1</v>
      </c>
      <c r="D775" s="35" t="str">
        <f aca="false">VLOOKUP(C775, Lookups_Metadata!$A$4:$B$7, 2, FALSE())</f>
        <v>Spring</v>
      </c>
      <c r="E775" s="37" t="n">
        <v>0</v>
      </c>
      <c r="F775" s="37" t="n">
        <v>2</v>
      </c>
      <c r="G775" s="37" t="n">
        <v>13</v>
      </c>
      <c r="H775" s="39" t="b">
        <f aca="false">FALSE()</f>
        <v>0</v>
      </c>
      <c r="I775" s="37" t="n">
        <v>5</v>
      </c>
      <c r="J775" s="35" t="str">
        <f aca="false">INDEX(Lookups_Metadata!$E$4:$E$10, MATCH(I775, Lookups_Metadata!$D$4:$D$10, 0))</f>
        <v>Friday</v>
      </c>
      <c r="K775" s="35" t="str">
        <f aca="false">IF(H775=TRUE(), "Holiday", IF(OR(I775=0, I775=6), "Weekend", "Weekday"))</f>
        <v>Weekday</v>
      </c>
      <c r="L775" s="35" t="str">
        <f aca="false">IF(AND(K775="Weekday", OR(AND(G775&gt;=7, G775&lt;=9), AND(G775&gt;=17, G775&lt;=19))), "Peak Commute", "Off-Peak")</f>
        <v>Off-Peak</v>
      </c>
      <c r="M775" s="37" t="n">
        <v>2</v>
      </c>
      <c r="N775" s="35" t="str">
        <f aca="false">VLOOKUP(M775, Lookups_Metadata!$G$4:$H$7, 2, FALSE())</f>
        <v>Mist / Cloudy</v>
      </c>
      <c r="O775" s="40" t="n">
        <v>0.26</v>
      </c>
      <c r="P775" s="40" t="n">
        <v>0.2576</v>
      </c>
      <c r="Q775" s="40" t="n">
        <f aca="false">IF(OR(P775="", ISBLANK(P775)), ROUND(0.9367*O775+0.0175, 4), P775)</f>
        <v>0.2576</v>
      </c>
      <c r="R775" s="35" t="str">
        <f aca="false">IF(OR(P775="", ISBLANK(P775)), "Imputed (Regression/Trend)", "Original")</f>
        <v>Original</v>
      </c>
      <c r="S775" s="40" t="n">
        <v>0.5</v>
      </c>
      <c r="T775" s="40" t="n">
        <v>0.2239</v>
      </c>
      <c r="U775" s="41" t="n">
        <v>9</v>
      </c>
      <c r="V775" s="41" t="n">
        <v>73</v>
      </c>
      <c r="W775" s="41" t="n">
        <f aca="false">U775+V775</f>
        <v>82</v>
      </c>
      <c r="X775" s="42" t="n">
        <f aca="false">U775/W775</f>
        <v>0.109756097560976</v>
      </c>
      <c r="Y775" s="42" t="n">
        <f aca="false">V775/W775</f>
        <v>0.890243902439024</v>
      </c>
      <c r="Z775" s="35" t="str">
        <f aca="false">IF(W775&gt;=150, "High Demand", IF(W775&gt;=50, "Moderate Demand", "Low Demand"))</f>
        <v>Moderate Demand</v>
      </c>
      <c r="AA775" s="39" t="str">
        <f aca="false">TEXT(G775, "00") &amp; ":00"</f>
        <v>13:00</v>
      </c>
      <c r="AB775" s="37" t="n">
        <f aca="false">YEAR(B775)</f>
        <v>2011</v>
      </c>
      <c r="AC775" s="35" t="str">
        <f aca="false">TEXT(B775, "mmmm")</f>
        <v>February</v>
      </c>
      <c r="AD775" s="37" t="n">
        <f aca="false">LEN(TEXT(B775, "YYYY-MM-DD"))</f>
        <v>10</v>
      </c>
      <c r="AE775" s="39" t="str">
        <f aca="false">LEFT(TEXT(B775, "YYYY-MM-DD"), 4)</f>
        <v>2011</v>
      </c>
      <c r="AF775" s="39" t="str">
        <f aca="false">RIGHT(TEXT(B775, "YYYY-MM-DD"), 2)</f>
        <v>04</v>
      </c>
    </row>
    <row r="776" customFormat="false" ht="15" hidden="false" customHeight="false" outlineLevel="0" collapsed="false">
      <c r="A776" s="43" t="n">
        <v>772</v>
      </c>
      <c r="B776" s="44" t="s">
        <v>118</v>
      </c>
      <c r="C776" s="43" t="n">
        <v>1</v>
      </c>
      <c r="D776" s="33" t="str">
        <f aca="false">VLOOKUP(C776, Lookups_Metadata!$A$4:$B$7, 2, FALSE())</f>
        <v>Spring</v>
      </c>
      <c r="E776" s="43" t="n">
        <v>0</v>
      </c>
      <c r="F776" s="43" t="n">
        <v>2</v>
      </c>
      <c r="G776" s="43" t="n">
        <v>14</v>
      </c>
      <c r="H776" s="45" t="b">
        <f aca="false">FALSE()</f>
        <v>0</v>
      </c>
      <c r="I776" s="43" t="n">
        <v>5</v>
      </c>
      <c r="J776" s="33" t="str">
        <f aca="false">INDEX(Lookups_Metadata!$E$4:$E$10, MATCH(I776, Lookups_Metadata!$D$4:$D$10, 0))</f>
        <v>Friday</v>
      </c>
      <c r="K776" s="33" t="str">
        <f aca="false">IF(H776=TRUE(), "Holiday", IF(OR(I776=0, I776=6), "Weekend", "Weekday"))</f>
        <v>Weekday</v>
      </c>
      <c r="L776" s="33" t="str">
        <f aca="false">IF(AND(K776="Weekday", OR(AND(G776&gt;=7, G776&lt;=9), AND(G776&gt;=17, G776&lt;=19))), "Peak Commute", "Off-Peak")</f>
        <v>Off-Peak</v>
      </c>
      <c r="M776" s="43" t="n">
        <v>2</v>
      </c>
      <c r="N776" s="33" t="str">
        <f aca="false">VLOOKUP(M776, Lookups_Metadata!$G$4:$H$7, 2, FALSE())</f>
        <v>Mist / Cloudy</v>
      </c>
      <c r="O776" s="46" t="n">
        <v>0.28</v>
      </c>
      <c r="P776" s="46" t="n">
        <v>0.2727</v>
      </c>
      <c r="Q776" s="46" t="n">
        <f aca="false">IF(OR(P776="", ISBLANK(P776)), ROUND(0.9367*O776+0.0175, 4), P776)</f>
        <v>0.2727</v>
      </c>
      <c r="R776" s="33" t="str">
        <f aca="false">IF(OR(P776="", ISBLANK(P776)), "Imputed (Regression/Trend)", "Original")</f>
        <v>Original</v>
      </c>
      <c r="S776" s="46" t="n">
        <v>0.45</v>
      </c>
      <c r="T776" s="46" t="n">
        <v>0.1642</v>
      </c>
      <c r="U776" s="18" t="n">
        <v>15</v>
      </c>
      <c r="V776" s="18" t="n">
        <v>76</v>
      </c>
      <c r="W776" s="18" t="n">
        <f aca="false">U776+V776</f>
        <v>91</v>
      </c>
      <c r="X776" s="47" t="n">
        <f aca="false">U776/W776</f>
        <v>0.164835164835165</v>
      </c>
      <c r="Y776" s="47" t="n">
        <f aca="false">V776/W776</f>
        <v>0.835164835164835</v>
      </c>
      <c r="Z776" s="33" t="str">
        <f aca="false">IF(W776&gt;=150, "High Demand", IF(W776&gt;=50, "Moderate Demand", "Low Demand"))</f>
        <v>Moderate Demand</v>
      </c>
      <c r="AA776" s="45" t="str">
        <f aca="false">TEXT(G776, "00") &amp; ":00"</f>
        <v>14:00</v>
      </c>
      <c r="AB776" s="43" t="n">
        <f aca="false">YEAR(B776)</f>
        <v>2011</v>
      </c>
      <c r="AC776" s="33" t="str">
        <f aca="false">TEXT(B776, "mmmm")</f>
        <v>February</v>
      </c>
      <c r="AD776" s="43" t="n">
        <f aca="false">LEN(TEXT(B776, "YYYY-MM-DD"))</f>
        <v>10</v>
      </c>
      <c r="AE776" s="45" t="str">
        <f aca="false">LEFT(TEXT(B776, "YYYY-MM-DD"), 4)</f>
        <v>2011</v>
      </c>
      <c r="AF776" s="45" t="str">
        <f aca="false">RIGHT(TEXT(B776, "YYYY-MM-DD"), 2)</f>
        <v>04</v>
      </c>
    </row>
    <row r="777" customFormat="false" ht="15" hidden="false" customHeight="false" outlineLevel="0" collapsed="false">
      <c r="A777" s="37" t="n">
        <v>773</v>
      </c>
      <c r="B777" s="38" t="s">
        <v>118</v>
      </c>
      <c r="C777" s="37" t="n">
        <v>1</v>
      </c>
      <c r="D777" s="35" t="str">
        <f aca="false">VLOOKUP(C777, Lookups_Metadata!$A$4:$B$7, 2, FALSE())</f>
        <v>Spring</v>
      </c>
      <c r="E777" s="37" t="n">
        <v>0</v>
      </c>
      <c r="F777" s="37" t="n">
        <v>2</v>
      </c>
      <c r="G777" s="37" t="n">
        <v>15</v>
      </c>
      <c r="H777" s="39" t="b">
        <f aca="false">FALSE()</f>
        <v>0</v>
      </c>
      <c r="I777" s="37" t="n">
        <v>5</v>
      </c>
      <c r="J777" s="35" t="str">
        <f aca="false">INDEX(Lookups_Metadata!$E$4:$E$10, MATCH(I777, Lookups_Metadata!$D$4:$D$10, 0))</f>
        <v>Friday</v>
      </c>
      <c r="K777" s="35" t="str">
        <f aca="false">IF(H777=TRUE(), "Holiday", IF(OR(I777=0, I777=6), "Weekend", "Weekday"))</f>
        <v>Weekday</v>
      </c>
      <c r="L777" s="35" t="str">
        <f aca="false">IF(AND(K777="Weekday", OR(AND(G777&gt;=7, G777&lt;=9), AND(G777&gt;=17, G777&lt;=19))), "Peak Commute", "Off-Peak")</f>
        <v>Off-Peak</v>
      </c>
      <c r="M777" s="37" t="n">
        <v>2</v>
      </c>
      <c r="N777" s="35" t="str">
        <f aca="false">VLOOKUP(M777, Lookups_Metadata!$G$4:$H$7, 2, FALSE())</f>
        <v>Mist / Cloudy</v>
      </c>
      <c r="O777" s="40" t="n">
        <v>0.28</v>
      </c>
      <c r="P777" s="40" t="n">
        <v>0.2727</v>
      </c>
      <c r="Q777" s="40" t="n">
        <f aca="false">IF(OR(P777="", ISBLANK(P777)), ROUND(0.9367*O777+0.0175, 4), P777)</f>
        <v>0.2727</v>
      </c>
      <c r="R777" s="35" t="str">
        <f aca="false">IF(OR(P777="", ISBLANK(P777)), "Imputed (Regression/Trend)", "Original")</f>
        <v>Original</v>
      </c>
      <c r="S777" s="40" t="n">
        <v>0.48</v>
      </c>
      <c r="T777" s="40" t="n">
        <v>0.2537</v>
      </c>
      <c r="U777" s="41" t="n">
        <v>9</v>
      </c>
      <c r="V777" s="41" t="n">
        <v>81</v>
      </c>
      <c r="W777" s="41" t="n">
        <f aca="false">U777+V777</f>
        <v>90</v>
      </c>
      <c r="X777" s="42" t="n">
        <f aca="false">U777/W777</f>
        <v>0.1</v>
      </c>
      <c r="Y777" s="42" t="n">
        <f aca="false">V777/W777</f>
        <v>0.9</v>
      </c>
      <c r="Z777" s="35" t="str">
        <f aca="false">IF(W777&gt;=150, "High Demand", IF(W777&gt;=50, "Moderate Demand", "Low Demand"))</f>
        <v>Moderate Demand</v>
      </c>
      <c r="AA777" s="39" t="str">
        <f aca="false">TEXT(G777, "00") &amp; ":00"</f>
        <v>15:00</v>
      </c>
      <c r="AB777" s="37" t="n">
        <f aca="false">YEAR(B777)</f>
        <v>2011</v>
      </c>
      <c r="AC777" s="35" t="str">
        <f aca="false">TEXT(B777, "mmmm")</f>
        <v>February</v>
      </c>
      <c r="AD777" s="37" t="n">
        <f aca="false">LEN(TEXT(B777, "YYYY-MM-DD"))</f>
        <v>10</v>
      </c>
      <c r="AE777" s="39" t="str">
        <f aca="false">LEFT(TEXT(B777, "YYYY-MM-DD"), 4)</f>
        <v>2011</v>
      </c>
      <c r="AF777" s="39" t="str">
        <f aca="false">RIGHT(TEXT(B777, "YYYY-MM-DD"), 2)</f>
        <v>04</v>
      </c>
    </row>
    <row r="778" customFormat="false" ht="15" hidden="false" customHeight="false" outlineLevel="0" collapsed="false">
      <c r="A778" s="43" t="n">
        <v>774</v>
      </c>
      <c r="B778" s="44" t="s">
        <v>118</v>
      </c>
      <c r="C778" s="43" t="n">
        <v>1</v>
      </c>
      <c r="D778" s="33" t="str">
        <f aca="false">VLOOKUP(C778, Lookups_Metadata!$A$4:$B$7, 2, FALSE())</f>
        <v>Spring</v>
      </c>
      <c r="E778" s="43" t="n">
        <v>0</v>
      </c>
      <c r="F778" s="43" t="n">
        <v>2</v>
      </c>
      <c r="G778" s="43" t="n">
        <v>16</v>
      </c>
      <c r="H778" s="45" t="b">
        <f aca="false">FALSE()</f>
        <v>0</v>
      </c>
      <c r="I778" s="43" t="n">
        <v>5</v>
      </c>
      <c r="J778" s="33" t="str">
        <f aca="false">INDEX(Lookups_Metadata!$E$4:$E$10, MATCH(I778, Lookups_Metadata!$D$4:$D$10, 0))</f>
        <v>Friday</v>
      </c>
      <c r="K778" s="33" t="str">
        <f aca="false">IF(H778=TRUE(), "Holiday", IF(OR(I778=0, I778=6), "Weekend", "Weekday"))</f>
        <v>Weekday</v>
      </c>
      <c r="L778" s="33" t="str">
        <f aca="false">IF(AND(K778="Weekday", OR(AND(G778&gt;=7, G778&lt;=9), AND(G778&gt;=17, G778&lt;=19))), "Peak Commute", "Off-Peak")</f>
        <v>Off-Peak</v>
      </c>
      <c r="M778" s="43" t="n">
        <v>2</v>
      </c>
      <c r="N778" s="33" t="str">
        <f aca="false">VLOOKUP(M778, Lookups_Metadata!$G$4:$H$7, 2, FALSE())</f>
        <v>Mist / Cloudy</v>
      </c>
      <c r="O778" s="46" t="n">
        <v>0.3</v>
      </c>
      <c r="P778" s="46" t="n">
        <v>0.2879</v>
      </c>
      <c r="Q778" s="46" t="n">
        <f aca="false">IF(OR(P778="", ISBLANK(P778)), ROUND(0.9367*O778+0.0175, 4), P778)</f>
        <v>0.2879</v>
      </c>
      <c r="R778" s="33" t="str">
        <f aca="false">IF(OR(P778="", ISBLANK(P778)), "Imputed (Regression/Trend)", "Original")</f>
        <v>Original</v>
      </c>
      <c r="S778" s="46" t="n">
        <v>0.42</v>
      </c>
      <c r="T778" s="46" t="n">
        <v>0.2239</v>
      </c>
      <c r="U778" s="18" t="n">
        <v>8</v>
      </c>
      <c r="V778" s="18" t="n">
        <v>91</v>
      </c>
      <c r="W778" s="18" t="n">
        <f aca="false">U778+V778</f>
        <v>99</v>
      </c>
      <c r="X778" s="47" t="n">
        <f aca="false">U778/W778</f>
        <v>0.0808080808080808</v>
      </c>
      <c r="Y778" s="47" t="n">
        <f aca="false">V778/W778</f>
        <v>0.919191919191919</v>
      </c>
      <c r="Z778" s="33" t="str">
        <f aca="false">IF(W778&gt;=150, "High Demand", IF(W778&gt;=50, "Moderate Demand", "Low Demand"))</f>
        <v>Moderate Demand</v>
      </c>
      <c r="AA778" s="45" t="str">
        <f aca="false">TEXT(G778, "00") &amp; ":00"</f>
        <v>16:00</v>
      </c>
      <c r="AB778" s="43" t="n">
        <f aca="false">YEAR(B778)</f>
        <v>2011</v>
      </c>
      <c r="AC778" s="33" t="str">
        <f aca="false">TEXT(B778, "mmmm")</f>
        <v>February</v>
      </c>
      <c r="AD778" s="43" t="n">
        <f aca="false">LEN(TEXT(B778, "YYYY-MM-DD"))</f>
        <v>10</v>
      </c>
      <c r="AE778" s="45" t="str">
        <f aca="false">LEFT(TEXT(B778, "YYYY-MM-DD"), 4)</f>
        <v>2011</v>
      </c>
      <c r="AF778" s="45" t="str">
        <f aca="false">RIGHT(TEXT(B778, "YYYY-MM-DD"), 2)</f>
        <v>04</v>
      </c>
    </row>
    <row r="779" customFormat="false" ht="15" hidden="false" customHeight="false" outlineLevel="0" collapsed="false">
      <c r="A779" s="37" t="n">
        <v>775</v>
      </c>
      <c r="B779" s="38" t="s">
        <v>118</v>
      </c>
      <c r="C779" s="37" t="n">
        <v>1</v>
      </c>
      <c r="D779" s="35" t="str">
        <f aca="false">VLOOKUP(C779, Lookups_Metadata!$A$4:$B$7, 2, FALSE())</f>
        <v>Spring</v>
      </c>
      <c r="E779" s="37" t="n">
        <v>0</v>
      </c>
      <c r="F779" s="37" t="n">
        <v>2</v>
      </c>
      <c r="G779" s="37" t="n">
        <v>17</v>
      </c>
      <c r="H779" s="39" t="b">
        <f aca="false">FALSE()</f>
        <v>0</v>
      </c>
      <c r="I779" s="37" t="n">
        <v>5</v>
      </c>
      <c r="J779" s="35" t="str">
        <f aca="false">INDEX(Lookups_Metadata!$E$4:$E$10, MATCH(I779, Lookups_Metadata!$D$4:$D$10, 0))</f>
        <v>Friday</v>
      </c>
      <c r="K779" s="35" t="str">
        <f aca="false">IF(H779=TRUE(), "Holiday", IF(OR(I779=0, I779=6), "Weekend", "Weekday"))</f>
        <v>Weekday</v>
      </c>
      <c r="L779" s="35" t="str">
        <f aca="false">IF(AND(K779="Weekday", OR(AND(G779&gt;=7, G779&lt;=9), AND(G779&gt;=17, G779&lt;=19))), "Peak Commute", "Off-Peak")</f>
        <v>Peak Commute</v>
      </c>
      <c r="M779" s="37" t="n">
        <v>2</v>
      </c>
      <c r="N779" s="35" t="str">
        <f aca="false">VLOOKUP(M779, Lookups_Metadata!$G$4:$H$7, 2, FALSE())</f>
        <v>Mist / Cloudy</v>
      </c>
      <c r="O779" s="40" t="n">
        <v>0.26</v>
      </c>
      <c r="P779" s="40" t="n">
        <v>0.2727</v>
      </c>
      <c r="Q779" s="40" t="n">
        <f aca="false">IF(OR(P779="", ISBLANK(P779)), ROUND(0.9367*O779+0.0175, 4), P779)</f>
        <v>0.2727</v>
      </c>
      <c r="R779" s="35" t="str">
        <f aca="false">IF(OR(P779="", ISBLANK(P779)), "Imputed (Regression/Trend)", "Original")</f>
        <v>Original</v>
      </c>
      <c r="S779" s="40" t="n">
        <v>0.56</v>
      </c>
      <c r="T779" s="40" t="n">
        <v>0.1343</v>
      </c>
      <c r="U779" s="41" t="n">
        <v>10</v>
      </c>
      <c r="V779" s="41" t="n">
        <v>195</v>
      </c>
      <c r="W779" s="41" t="n">
        <f aca="false">U779+V779</f>
        <v>205</v>
      </c>
      <c r="X779" s="42" t="n">
        <f aca="false">U779/W779</f>
        <v>0.0487804878048781</v>
      </c>
      <c r="Y779" s="42" t="n">
        <f aca="false">V779/W779</f>
        <v>0.951219512195122</v>
      </c>
      <c r="Z779" s="35" t="str">
        <f aca="false">IF(W779&gt;=150, "High Demand", IF(W779&gt;=50, "Moderate Demand", "Low Demand"))</f>
        <v>High Demand</v>
      </c>
      <c r="AA779" s="39" t="str">
        <f aca="false">TEXT(G779, "00") &amp; ":00"</f>
        <v>17:00</v>
      </c>
      <c r="AB779" s="37" t="n">
        <f aca="false">YEAR(B779)</f>
        <v>2011</v>
      </c>
      <c r="AC779" s="35" t="str">
        <f aca="false">TEXT(B779, "mmmm")</f>
        <v>February</v>
      </c>
      <c r="AD779" s="37" t="n">
        <f aca="false">LEN(TEXT(B779, "YYYY-MM-DD"))</f>
        <v>10</v>
      </c>
      <c r="AE779" s="39" t="str">
        <f aca="false">LEFT(TEXT(B779, "YYYY-MM-DD"), 4)</f>
        <v>2011</v>
      </c>
      <c r="AF779" s="39" t="str">
        <f aca="false">RIGHT(TEXT(B779, "YYYY-MM-DD"), 2)</f>
        <v>04</v>
      </c>
    </row>
    <row r="780" customFormat="false" ht="15" hidden="false" customHeight="false" outlineLevel="0" collapsed="false">
      <c r="A780" s="43" t="n">
        <v>776</v>
      </c>
      <c r="B780" s="44" t="s">
        <v>118</v>
      </c>
      <c r="C780" s="43" t="n">
        <v>1</v>
      </c>
      <c r="D780" s="33" t="str">
        <f aca="false">VLOOKUP(C780, Lookups_Metadata!$A$4:$B$7, 2, FALSE())</f>
        <v>Spring</v>
      </c>
      <c r="E780" s="43" t="n">
        <v>0</v>
      </c>
      <c r="F780" s="43" t="n">
        <v>2</v>
      </c>
      <c r="G780" s="43" t="n">
        <v>18</v>
      </c>
      <c r="H780" s="45" t="b">
        <f aca="false">FALSE()</f>
        <v>0</v>
      </c>
      <c r="I780" s="43" t="n">
        <v>5</v>
      </c>
      <c r="J780" s="33" t="str">
        <f aca="false">INDEX(Lookups_Metadata!$E$4:$E$10, MATCH(I780, Lookups_Metadata!$D$4:$D$10, 0))</f>
        <v>Friday</v>
      </c>
      <c r="K780" s="33" t="str">
        <f aca="false">IF(H780=TRUE(), "Holiday", IF(OR(I780=0, I780=6), "Weekend", "Weekday"))</f>
        <v>Weekday</v>
      </c>
      <c r="L780" s="33" t="str">
        <f aca="false">IF(AND(K780="Weekday", OR(AND(G780&gt;=7, G780&lt;=9), AND(G780&gt;=17, G780&lt;=19))), "Peak Commute", "Off-Peak")</f>
        <v>Peak Commute</v>
      </c>
      <c r="M780" s="43" t="n">
        <v>2</v>
      </c>
      <c r="N780" s="33" t="str">
        <f aca="false">VLOOKUP(M780, Lookups_Metadata!$G$4:$H$7, 2, FALSE())</f>
        <v>Mist / Cloudy</v>
      </c>
      <c r="O780" s="46" t="n">
        <v>0.24</v>
      </c>
      <c r="P780" s="46" t="n">
        <v>0.2576</v>
      </c>
      <c r="Q780" s="46" t="n">
        <f aca="false">IF(OR(P780="", ISBLANK(P780)), ROUND(0.9367*O780+0.0175, 4), P780)</f>
        <v>0.2576</v>
      </c>
      <c r="R780" s="33" t="str">
        <f aca="false">IF(OR(P780="", ISBLANK(P780)), "Imputed (Regression/Trend)", "Original")</f>
        <v>Original</v>
      </c>
      <c r="S780" s="46" t="n">
        <v>0.6</v>
      </c>
      <c r="T780" s="46" t="n">
        <v>0.1045</v>
      </c>
      <c r="U780" s="18" t="n">
        <v>3</v>
      </c>
      <c r="V780" s="18" t="n">
        <v>152</v>
      </c>
      <c r="W780" s="18" t="n">
        <f aca="false">U780+V780</f>
        <v>155</v>
      </c>
      <c r="X780" s="47" t="n">
        <f aca="false">U780/W780</f>
        <v>0.0193548387096774</v>
      </c>
      <c r="Y780" s="47" t="n">
        <f aca="false">V780/W780</f>
        <v>0.980645161290323</v>
      </c>
      <c r="Z780" s="33" t="str">
        <f aca="false">IF(W780&gt;=150, "High Demand", IF(W780&gt;=50, "Moderate Demand", "Low Demand"))</f>
        <v>High Demand</v>
      </c>
      <c r="AA780" s="45" t="str">
        <f aca="false">TEXT(G780, "00") &amp; ":00"</f>
        <v>18:00</v>
      </c>
      <c r="AB780" s="43" t="n">
        <f aca="false">YEAR(B780)</f>
        <v>2011</v>
      </c>
      <c r="AC780" s="33" t="str">
        <f aca="false">TEXT(B780, "mmmm")</f>
        <v>February</v>
      </c>
      <c r="AD780" s="43" t="n">
        <f aca="false">LEN(TEXT(B780, "YYYY-MM-DD"))</f>
        <v>10</v>
      </c>
      <c r="AE780" s="45" t="str">
        <f aca="false">LEFT(TEXT(B780, "YYYY-MM-DD"), 4)</f>
        <v>2011</v>
      </c>
      <c r="AF780" s="45" t="str">
        <f aca="false">RIGHT(TEXT(B780, "YYYY-MM-DD"), 2)</f>
        <v>04</v>
      </c>
    </row>
    <row r="781" customFormat="false" ht="15" hidden="false" customHeight="false" outlineLevel="0" collapsed="false">
      <c r="A781" s="37" t="n">
        <v>777</v>
      </c>
      <c r="B781" s="38" t="s">
        <v>118</v>
      </c>
      <c r="C781" s="37" t="n">
        <v>1</v>
      </c>
      <c r="D781" s="35" t="str">
        <f aca="false">VLOOKUP(C781, Lookups_Metadata!$A$4:$B$7, 2, FALSE())</f>
        <v>Spring</v>
      </c>
      <c r="E781" s="37" t="n">
        <v>0</v>
      </c>
      <c r="F781" s="37" t="n">
        <v>2</v>
      </c>
      <c r="G781" s="37" t="n">
        <v>19</v>
      </c>
      <c r="H781" s="39" t="b">
        <f aca="false">FALSE()</f>
        <v>0</v>
      </c>
      <c r="I781" s="37" t="n">
        <v>5</v>
      </c>
      <c r="J781" s="35" t="str">
        <f aca="false">INDEX(Lookups_Metadata!$E$4:$E$10, MATCH(I781, Lookups_Metadata!$D$4:$D$10, 0))</f>
        <v>Friday</v>
      </c>
      <c r="K781" s="35" t="str">
        <f aca="false">IF(H781=TRUE(), "Holiday", IF(OR(I781=0, I781=6), "Weekend", "Weekday"))</f>
        <v>Weekday</v>
      </c>
      <c r="L781" s="35" t="str">
        <f aca="false">IF(AND(K781="Weekday", OR(AND(G781&gt;=7, G781&lt;=9), AND(G781&gt;=17, G781&lt;=19))), "Peak Commute", "Off-Peak")</f>
        <v>Peak Commute</v>
      </c>
      <c r="M781" s="37" t="n">
        <v>2</v>
      </c>
      <c r="N781" s="35" t="str">
        <f aca="false">VLOOKUP(M781, Lookups_Metadata!$G$4:$H$7, 2, FALSE())</f>
        <v>Mist / Cloudy</v>
      </c>
      <c r="O781" s="40" t="n">
        <v>0.24</v>
      </c>
      <c r="P781" s="40" t="n">
        <v>0.2424</v>
      </c>
      <c r="Q781" s="40" t="n">
        <f aca="false">IF(OR(P781="", ISBLANK(P781)), ROUND(0.9367*O781+0.0175, 4), P781)</f>
        <v>0.2424</v>
      </c>
      <c r="R781" s="35" t="str">
        <f aca="false">IF(OR(P781="", ISBLANK(P781)), "Imputed (Regression/Trend)", "Original")</f>
        <v>Original</v>
      </c>
      <c r="S781" s="40" t="n">
        <v>0.65</v>
      </c>
      <c r="T781" s="40" t="n">
        <v>0.1343</v>
      </c>
      <c r="U781" s="41" t="n">
        <v>1</v>
      </c>
      <c r="V781" s="41" t="n">
        <v>102</v>
      </c>
      <c r="W781" s="41" t="n">
        <f aca="false">U781+V781</f>
        <v>103</v>
      </c>
      <c r="X781" s="42" t="n">
        <f aca="false">U781/W781</f>
        <v>0.00970873786407767</v>
      </c>
      <c r="Y781" s="42" t="n">
        <f aca="false">V781/W781</f>
        <v>0.990291262135922</v>
      </c>
      <c r="Z781" s="35" t="str">
        <f aca="false">IF(W781&gt;=150, "High Demand", IF(W781&gt;=50, "Moderate Demand", "Low Demand"))</f>
        <v>Moderate Demand</v>
      </c>
      <c r="AA781" s="39" t="str">
        <f aca="false">TEXT(G781, "00") &amp; ":00"</f>
        <v>19:00</v>
      </c>
      <c r="AB781" s="37" t="n">
        <f aca="false">YEAR(B781)</f>
        <v>2011</v>
      </c>
      <c r="AC781" s="35" t="str">
        <f aca="false">TEXT(B781, "mmmm")</f>
        <v>February</v>
      </c>
      <c r="AD781" s="37" t="n">
        <f aca="false">LEN(TEXT(B781, "YYYY-MM-DD"))</f>
        <v>10</v>
      </c>
      <c r="AE781" s="39" t="str">
        <f aca="false">LEFT(TEXT(B781, "YYYY-MM-DD"), 4)</f>
        <v>2011</v>
      </c>
      <c r="AF781" s="39" t="str">
        <f aca="false">RIGHT(TEXT(B781, "YYYY-MM-DD"), 2)</f>
        <v>04</v>
      </c>
    </row>
    <row r="782" customFormat="false" ht="15" hidden="false" customHeight="false" outlineLevel="0" collapsed="false">
      <c r="A782" s="43" t="n">
        <v>778</v>
      </c>
      <c r="B782" s="44" t="s">
        <v>118</v>
      </c>
      <c r="C782" s="43" t="n">
        <v>1</v>
      </c>
      <c r="D782" s="33" t="str">
        <f aca="false">VLOOKUP(C782, Lookups_Metadata!$A$4:$B$7, 2, FALSE())</f>
        <v>Spring</v>
      </c>
      <c r="E782" s="43" t="n">
        <v>0</v>
      </c>
      <c r="F782" s="43" t="n">
        <v>2</v>
      </c>
      <c r="G782" s="43" t="n">
        <v>20</v>
      </c>
      <c r="H782" s="45" t="b">
        <f aca="false">FALSE()</f>
        <v>0</v>
      </c>
      <c r="I782" s="43" t="n">
        <v>5</v>
      </c>
      <c r="J782" s="33" t="str">
        <f aca="false">INDEX(Lookups_Metadata!$E$4:$E$10, MATCH(I782, Lookups_Metadata!$D$4:$D$10, 0))</f>
        <v>Friday</v>
      </c>
      <c r="K782" s="33" t="str">
        <f aca="false">IF(H782=TRUE(), "Holiday", IF(OR(I782=0, I782=6), "Weekend", "Weekday"))</f>
        <v>Weekday</v>
      </c>
      <c r="L782" s="33" t="str">
        <f aca="false">IF(AND(K782="Weekday", OR(AND(G782&gt;=7, G782&lt;=9), AND(G782&gt;=17, G782&lt;=19))), "Peak Commute", "Off-Peak")</f>
        <v>Off-Peak</v>
      </c>
      <c r="M782" s="43" t="n">
        <v>2</v>
      </c>
      <c r="N782" s="33" t="str">
        <f aca="false">VLOOKUP(M782, Lookups_Metadata!$G$4:$H$7, 2, FALSE())</f>
        <v>Mist / Cloudy</v>
      </c>
      <c r="O782" s="46" t="n">
        <v>0.24</v>
      </c>
      <c r="P782" s="46" t="n">
        <v>0.2424</v>
      </c>
      <c r="Q782" s="46" t="n">
        <f aca="false">IF(OR(P782="", ISBLANK(P782)), ROUND(0.9367*O782+0.0175, 4), P782)</f>
        <v>0.2424</v>
      </c>
      <c r="R782" s="33" t="str">
        <f aca="false">IF(OR(P782="", ISBLANK(P782)), "Imputed (Regression/Trend)", "Original")</f>
        <v>Original</v>
      </c>
      <c r="S782" s="46" t="n">
        <v>0.65</v>
      </c>
      <c r="T782" s="46" t="n">
        <v>0.1642</v>
      </c>
      <c r="U782" s="18" t="n">
        <v>2</v>
      </c>
      <c r="V782" s="18" t="n">
        <v>69</v>
      </c>
      <c r="W782" s="18" t="n">
        <f aca="false">U782+V782</f>
        <v>71</v>
      </c>
      <c r="X782" s="47" t="n">
        <f aca="false">U782/W782</f>
        <v>0.028169014084507</v>
      </c>
      <c r="Y782" s="47" t="n">
        <f aca="false">V782/W782</f>
        <v>0.971830985915493</v>
      </c>
      <c r="Z782" s="33" t="str">
        <f aca="false">IF(W782&gt;=150, "High Demand", IF(W782&gt;=50, "Moderate Demand", "Low Demand"))</f>
        <v>Moderate Demand</v>
      </c>
      <c r="AA782" s="45" t="str">
        <f aca="false">TEXT(G782, "00") &amp; ":00"</f>
        <v>20:00</v>
      </c>
      <c r="AB782" s="43" t="n">
        <f aca="false">YEAR(B782)</f>
        <v>2011</v>
      </c>
      <c r="AC782" s="33" t="str">
        <f aca="false">TEXT(B782, "mmmm")</f>
        <v>February</v>
      </c>
      <c r="AD782" s="43" t="n">
        <f aca="false">LEN(TEXT(B782, "YYYY-MM-DD"))</f>
        <v>10</v>
      </c>
      <c r="AE782" s="45" t="str">
        <f aca="false">LEFT(TEXT(B782, "YYYY-MM-DD"), 4)</f>
        <v>2011</v>
      </c>
      <c r="AF782" s="45" t="str">
        <f aca="false">RIGHT(TEXT(B782, "YYYY-MM-DD"), 2)</f>
        <v>04</v>
      </c>
    </row>
    <row r="783" customFormat="false" ht="15" hidden="false" customHeight="false" outlineLevel="0" collapsed="false">
      <c r="A783" s="37" t="n">
        <v>779</v>
      </c>
      <c r="B783" s="38" t="s">
        <v>118</v>
      </c>
      <c r="C783" s="37" t="n">
        <v>1</v>
      </c>
      <c r="D783" s="35" t="str">
        <f aca="false">VLOOKUP(C783, Lookups_Metadata!$A$4:$B$7, 2, FALSE())</f>
        <v>Spring</v>
      </c>
      <c r="E783" s="37" t="n">
        <v>0</v>
      </c>
      <c r="F783" s="37" t="n">
        <v>2</v>
      </c>
      <c r="G783" s="37" t="n">
        <v>21</v>
      </c>
      <c r="H783" s="39" t="b">
        <f aca="false">FALSE()</f>
        <v>0</v>
      </c>
      <c r="I783" s="37" t="n">
        <v>5</v>
      </c>
      <c r="J783" s="35" t="str">
        <f aca="false">INDEX(Lookups_Metadata!$E$4:$E$10, MATCH(I783, Lookups_Metadata!$D$4:$D$10, 0))</f>
        <v>Friday</v>
      </c>
      <c r="K783" s="35" t="str">
        <f aca="false">IF(H783=TRUE(), "Holiday", IF(OR(I783=0, I783=6), "Weekend", "Weekday"))</f>
        <v>Weekday</v>
      </c>
      <c r="L783" s="35" t="str">
        <f aca="false">IF(AND(K783="Weekday", OR(AND(G783&gt;=7, G783&lt;=9), AND(G783&gt;=17, G783&lt;=19))), "Peak Commute", "Off-Peak")</f>
        <v>Off-Peak</v>
      </c>
      <c r="M783" s="37" t="n">
        <v>2</v>
      </c>
      <c r="N783" s="35" t="str">
        <f aca="false">VLOOKUP(M783, Lookups_Metadata!$G$4:$H$7, 2, FALSE())</f>
        <v>Mist / Cloudy</v>
      </c>
      <c r="O783" s="40" t="n">
        <v>0.24</v>
      </c>
      <c r="P783" s="40" t="n">
        <v>0.2424</v>
      </c>
      <c r="Q783" s="40" t="n">
        <f aca="false">IF(OR(P783="", ISBLANK(P783)), ROUND(0.9367*O783+0.0175, 4), P783)</f>
        <v>0.2424</v>
      </c>
      <c r="R783" s="35" t="str">
        <f aca="false">IF(OR(P783="", ISBLANK(P783)), "Imputed (Regression/Trend)", "Original")</f>
        <v>Original</v>
      </c>
      <c r="S783" s="40" t="n">
        <v>0.7</v>
      </c>
      <c r="T783" s="40" t="n">
        <v>0.1642</v>
      </c>
      <c r="U783" s="41" t="n">
        <v>2</v>
      </c>
      <c r="V783" s="41" t="n">
        <v>41</v>
      </c>
      <c r="W783" s="41" t="n">
        <f aca="false">U783+V783</f>
        <v>43</v>
      </c>
      <c r="X783" s="42" t="n">
        <f aca="false">U783/W783</f>
        <v>0.0465116279069767</v>
      </c>
      <c r="Y783" s="42" t="n">
        <f aca="false">V783/W783</f>
        <v>0.953488372093023</v>
      </c>
      <c r="Z783" s="35" t="str">
        <f aca="false">IF(W783&gt;=150, "High Demand", IF(W783&gt;=50, "Moderate Demand", "Low Demand"))</f>
        <v>Low Demand</v>
      </c>
      <c r="AA783" s="39" t="str">
        <f aca="false">TEXT(G783, "00") &amp; ":00"</f>
        <v>21:00</v>
      </c>
      <c r="AB783" s="37" t="n">
        <f aca="false">YEAR(B783)</f>
        <v>2011</v>
      </c>
      <c r="AC783" s="35" t="str">
        <f aca="false">TEXT(B783, "mmmm")</f>
        <v>February</v>
      </c>
      <c r="AD783" s="37" t="n">
        <f aca="false">LEN(TEXT(B783, "YYYY-MM-DD"))</f>
        <v>10</v>
      </c>
      <c r="AE783" s="39" t="str">
        <f aca="false">LEFT(TEXT(B783, "YYYY-MM-DD"), 4)</f>
        <v>2011</v>
      </c>
      <c r="AF783" s="39" t="str">
        <f aca="false">RIGHT(TEXT(B783, "YYYY-MM-DD"), 2)</f>
        <v>04</v>
      </c>
    </row>
    <row r="784" customFormat="false" ht="15" hidden="false" customHeight="false" outlineLevel="0" collapsed="false">
      <c r="A784" s="43" t="n">
        <v>780</v>
      </c>
      <c r="B784" s="44" t="s">
        <v>118</v>
      </c>
      <c r="C784" s="43" t="n">
        <v>1</v>
      </c>
      <c r="D784" s="33" t="str">
        <f aca="false">VLOOKUP(C784, Lookups_Metadata!$A$4:$B$7, 2, FALSE())</f>
        <v>Spring</v>
      </c>
      <c r="E784" s="43" t="n">
        <v>0</v>
      </c>
      <c r="F784" s="43" t="n">
        <v>2</v>
      </c>
      <c r="G784" s="43" t="n">
        <v>22</v>
      </c>
      <c r="H784" s="45" t="b">
        <f aca="false">FALSE()</f>
        <v>0</v>
      </c>
      <c r="I784" s="43" t="n">
        <v>5</v>
      </c>
      <c r="J784" s="33" t="str">
        <f aca="false">INDEX(Lookups_Metadata!$E$4:$E$10, MATCH(I784, Lookups_Metadata!$D$4:$D$10, 0))</f>
        <v>Friday</v>
      </c>
      <c r="K784" s="33" t="str">
        <f aca="false">IF(H784=TRUE(), "Holiday", IF(OR(I784=0, I784=6), "Weekend", "Weekday"))</f>
        <v>Weekday</v>
      </c>
      <c r="L784" s="33" t="str">
        <f aca="false">IF(AND(K784="Weekday", OR(AND(G784&gt;=7, G784&lt;=9), AND(G784&gt;=17, G784&lt;=19))), "Peak Commute", "Off-Peak")</f>
        <v>Off-Peak</v>
      </c>
      <c r="M784" s="43" t="n">
        <v>2</v>
      </c>
      <c r="N784" s="33" t="str">
        <f aca="false">VLOOKUP(M784, Lookups_Metadata!$G$4:$H$7, 2, FALSE())</f>
        <v>Mist / Cloudy</v>
      </c>
      <c r="O784" s="46" t="n">
        <v>0.24</v>
      </c>
      <c r="P784" s="46" t="n">
        <v>0.2424</v>
      </c>
      <c r="Q784" s="46" t="n">
        <f aca="false">IF(OR(P784="", ISBLANK(P784)), ROUND(0.9367*O784+0.0175, 4), P784)</f>
        <v>0.2424</v>
      </c>
      <c r="R784" s="33" t="str">
        <f aca="false">IF(OR(P784="", ISBLANK(P784)), "Imputed (Regression/Trend)", "Original")</f>
        <v>Original</v>
      </c>
      <c r="S784" s="46" t="n">
        <v>0.65</v>
      </c>
      <c r="T784" s="46" t="n">
        <v>0.1642</v>
      </c>
      <c r="U784" s="18" t="n">
        <v>1</v>
      </c>
      <c r="V784" s="18" t="n">
        <v>45</v>
      </c>
      <c r="W784" s="18" t="n">
        <f aca="false">U784+V784</f>
        <v>46</v>
      </c>
      <c r="X784" s="47" t="n">
        <f aca="false">U784/W784</f>
        <v>0.0217391304347826</v>
      </c>
      <c r="Y784" s="47" t="n">
        <f aca="false">V784/W784</f>
        <v>0.978260869565217</v>
      </c>
      <c r="Z784" s="33" t="str">
        <f aca="false">IF(W784&gt;=150, "High Demand", IF(W784&gt;=50, "Moderate Demand", "Low Demand"))</f>
        <v>Low Demand</v>
      </c>
      <c r="AA784" s="45" t="str">
        <f aca="false">TEXT(G784, "00") &amp; ":00"</f>
        <v>22:00</v>
      </c>
      <c r="AB784" s="43" t="n">
        <f aca="false">YEAR(B784)</f>
        <v>2011</v>
      </c>
      <c r="AC784" s="33" t="str">
        <f aca="false">TEXT(B784, "mmmm")</f>
        <v>February</v>
      </c>
      <c r="AD784" s="43" t="n">
        <f aca="false">LEN(TEXT(B784, "YYYY-MM-DD"))</f>
        <v>10</v>
      </c>
      <c r="AE784" s="45" t="str">
        <f aca="false">LEFT(TEXT(B784, "YYYY-MM-DD"), 4)</f>
        <v>2011</v>
      </c>
      <c r="AF784" s="45" t="str">
        <f aca="false">RIGHT(TEXT(B784, "YYYY-MM-DD"), 2)</f>
        <v>04</v>
      </c>
    </row>
    <row r="785" customFormat="false" ht="15" hidden="false" customHeight="false" outlineLevel="0" collapsed="false">
      <c r="A785" s="37" t="n">
        <v>781</v>
      </c>
      <c r="B785" s="38" t="s">
        <v>118</v>
      </c>
      <c r="C785" s="37" t="n">
        <v>1</v>
      </c>
      <c r="D785" s="35" t="str">
        <f aca="false">VLOOKUP(C785, Lookups_Metadata!$A$4:$B$7, 2, FALSE())</f>
        <v>Spring</v>
      </c>
      <c r="E785" s="37" t="n">
        <v>0</v>
      </c>
      <c r="F785" s="37" t="n">
        <v>2</v>
      </c>
      <c r="G785" s="37" t="n">
        <v>23</v>
      </c>
      <c r="H785" s="39" t="b">
        <f aca="false">FALSE()</f>
        <v>0</v>
      </c>
      <c r="I785" s="37" t="n">
        <v>5</v>
      </c>
      <c r="J785" s="35" t="str">
        <f aca="false">INDEX(Lookups_Metadata!$E$4:$E$10, MATCH(I785, Lookups_Metadata!$D$4:$D$10, 0))</f>
        <v>Friday</v>
      </c>
      <c r="K785" s="35" t="str">
        <f aca="false">IF(H785=TRUE(), "Holiday", IF(OR(I785=0, I785=6), "Weekend", "Weekday"))</f>
        <v>Weekday</v>
      </c>
      <c r="L785" s="35" t="str">
        <f aca="false">IF(AND(K785="Weekday", OR(AND(G785&gt;=7, G785&lt;=9), AND(G785&gt;=17, G785&lt;=19))), "Peak Commute", "Off-Peak")</f>
        <v>Off-Peak</v>
      </c>
      <c r="M785" s="37" t="n">
        <v>2</v>
      </c>
      <c r="N785" s="35" t="str">
        <f aca="false">VLOOKUP(M785, Lookups_Metadata!$G$4:$H$7, 2, FALSE())</f>
        <v>Mist / Cloudy</v>
      </c>
      <c r="O785" s="40" t="n">
        <v>0.24</v>
      </c>
      <c r="P785" s="40" t="n">
        <v>0.2424</v>
      </c>
      <c r="Q785" s="40" t="n">
        <f aca="false">IF(OR(P785="", ISBLANK(P785)), ROUND(0.9367*O785+0.0175, 4), P785)</f>
        <v>0.2424</v>
      </c>
      <c r="R785" s="35" t="str">
        <f aca="false">IF(OR(P785="", ISBLANK(P785)), "Imputed (Regression/Trend)", "Original")</f>
        <v>Original</v>
      </c>
      <c r="S785" s="40" t="n">
        <v>0.7</v>
      </c>
      <c r="T785" s="40" t="n">
        <v>0.1343</v>
      </c>
      <c r="U785" s="41" t="n">
        <v>1</v>
      </c>
      <c r="V785" s="41" t="n">
        <v>30</v>
      </c>
      <c r="W785" s="41" t="n">
        <f aca="false">U785+V785</f>
        <v>31</v>
      </c>
      <c r="X785" s="42" t="n">
        <f aca="false">U785/W785</f>
        <v>0.032258064516129</v>
      </c>
      <c r="Y785" s="42" t="n">
        <f aca="false">V785/W785</f>
        <v>0.967741935483871</v>
      </c>
      <c r="Z785" s="35" t="str">
        <f aca="false">IF(W785&gt;=150, "High Demand", IF(W785&gt;=50, "Moderate Demand", "Low Demand"))</f>
        <v>Low Demand</v>
      </c>
      <c r="AA785" s="39" t="str">
        <f aca="false">TEXT(G785, "00") &amp; ":00"</f>
        <v>23:00</v>
      </c>
      <c r="AB785" s="37" t="n">
        <f aca="false">YEAR(B785)</f>
        <v>2011</v>
      </c>
      <c r="AC785" s="35" t="str">
        <f aca="false">TEXT(B785, "mmmm")</f>
        <v>February</v>
      </c>
      <c r="AD785" s="37" t="n">
        <f aca="false">LEN(TEXT(B785, "YYYY-MM-DD"))</f>
        <v>10</v>
      </c>
      <c r="AE785" s="39" t="str">
        <f aca="false">LEFT(TEXT(B785, "YYYY-MM-DD"), 4)</f>
        <v>2011</v>
      </c>
      <c r="AF785" s="39" t="str">
        <f aca="false">RIGHT(TEXT(B785, "YYYY-MM-DD"), 2)</f>
        <v>04</v>
      </c>
    </row>
    <row r="786" customFormat="false" ht="15" hidden="false" customHeight="false" outlineLevel="0" collapsed="false">
      <c r="A786" s="43" t="n">
        <v>782</v>
      </c>
      <c r="B786" s="44" t="s">
        <v>119</v>
      </c>
      <c r="C786" s="43" t="n">
        <v>1</v>
      </c>
      <c r="D786" s="33" t="str">
        <f aca="false">VLOOKUP(C786, Lookups_Metadata!$A$4:$B$7, 2, FALSE())</f>
        <v>Spring</v>
      </c>
      <c r="E786" s="43" t="n">
        <v>0</v>
      </c>
      <c r="F786" s="43" t="n">
        <v>2</v>
      </c>
      <c r="G786" s="43" t="n">
        <v>0</v>
      </c>
      <c r="H786" s="45" t="b">
        <f aca="false">FALSE()</f>
        <v>0</v>
      </c>
      <c r="I786" s="43" t="n">
        <v>6</v>
      </c>
      <c r="J786" s="33" t="str">
        <f aca="false">INDEX(Lookups_Metadata!$E$4:$E$10, MATCH(I786, Lookups_Metadata!$D$4:$D$10, 0))</f>
        <v>Saturday</v>
      </c>
      <c r="K786" s="33" t="str">
        <f aca="false">IF(H786=TRUE(), "Holiday", IF(OR(I786=0, I786=6), "Weekend", "Weekday"))</f>
        <v>Weekend</v>
      </c>
      <c r="L786" s="33" t="str">
        <f aca="false">IF(AND(K786="Weekday", OR(AND(G786&gt;=7, G786&lt;=9), AND(G786&gt;=17, G786&lt;=19))), "Peak Commute", "Off-Peak")</f>
        <v>Off-Peak</v>
      </c>
      <c r="M786" s="43" t="n">
        <v>2</v>
      </c>
      <c r="N786" s="33" t="str">
        <f aca="false">VLOOKUP(M786, Lookups_Metadata!$G$4:$H$7, 2, FALSE())</f>
        <v>Mist / Cloudy</v>
      </c>
      <c r="O786" s="46" t="n">
        <v>0.24</v>
      </c>
      <c r="P786" s="46" t="n">
        <v>0.2424</v>
      </c>
      <c r="Q786" s="46" t="n">
        <f aca="false">IF(OR(P786="", ISBLANK(P786)), ROUND(0.9367*O786+0.0175, 4), P786)</f>
        <v>0.2424</v>
      </c>
      <c r="R786" s="33" t="str">
        <f aca="false">IF(OR(P786="", ISBLANK(P786)), "Imputed (Regression/Trend)", "Original")</f>
        <v>Original</v>
      </c>
      <c r="S786" s="46" t="n">
        <v>0.7</v>
      </c>
      <c r="T786" s="46" t="n">
        <v>0.1642</v>
      </c>
      <c r="U786" s="18" t="n">
        <v>3</v>
      </c>
      <c r="V786" s="18" t="n">
        <v>36</v>
      </c>
      <c r="W786" s="18" t="n">
        <f aca="false">U786+V786</f>
        <v>39</v>
      </c>
      <c r="X786" s="47" t="n">
        <f aca="false">U786/W786</f>
        <v>0.0769230769230769</v>
      </c>
      <c r="Y786" s="47" t="n">
        <f aca="false">V786/W786</f>
        <v>0.923076923076923</v>
      </c>
      <c r="Z786" s="33" t="str">
        <f aca="false">IF(W786&gt;=150, "High Demand", IF(W786&gt;=50, "Moderate Demand", "Low Demand"))</f>
        <v>Low Demand</v>
      </c>
      <c r="AA786" s="45" t="str">
        <f aca="false">TEXT(G786, "00") &amp; ":00"</f>
        <v>00:00</v>
      </c>
      <c r="AB786" s="43" t="n">
        <f aca="false">YEAR(B786)</f>
        <v>2011</v>
      </c>
      <c r="AC786" s="33" t="str">
        <f aca="false">TEXT(B786, "mmmm")</f>
        <v>February</v>
      </c>
      <c r="AD786" s="43" t="n">
        <f aca="false">LEN(TEXT(B786, "YYYY-MM-DD"))</f>
        <v>10</v>
      </c>
      <c r="AE786" s="45" t="str">
        <f aca="false">LEFT(TEXT(B786, "YYYY-MM-DD"), 4)</f>
        <v>2011</v>
      </c>
      <c r="AF786" s="45" t="str">
        <f aca="false">RIGHT(TEXT(B786, "YYYY-MM-DD"), 2)</f>
        <v>05</v>
      </c>
    </row>
    <row r="787" customFormat="false" ht="15" hidden="false" customHeight="false" outlineLevel="0" collapsed="false">
      <c r="A787" s="37" t="n">
        <v>783</v>
      </c>
      <c r="B787" s="38" t="s">
        <v>119</v>
      </c>
      <c r="C787" s="37" t="n">
        <v>1</v>
      </c>
      <c r="D787" s="35" t="str">
        <f aca="false">VLOOKUP(C787, Lookups_Metadata!$A$4:$B$7, 2, FALSE())</f>
        <v>Spring</v>
      </c>
      <c r="E787" s="37" t="n">
        <v>0</v>
      </c>
      <c r="F787" s="37" t="n">
        <v>2</v>
      </c>
      <c r="G787" s="37" t="n">
        <v>1</v>
      </c>
      <c r="H787" s="39" t="b">
        <f aca="false">FALSE()</f>
        <v>0</v>
      </c>
      <c r="I787" s="37" t="n">
        <v>6</v>
      </c>
      <c r="J787" s="35" t="str">
        <f aca="false">INDEX(Lookups_Metadata!$E$4:$E$10, MATCH(I787, Lookups_Metadata!$D$4:$D$10, 0))</f>
        <v>Saturday</v>
      </c>
      <c r="K787" s="35" t="str">
        <f aca="false">IF(H787=TRUE(), "Holiday", IF(OR(I787=0, I787=6), "Weekend", "Weekday"))</f>
        <v>Weekend</v>
      </c>
      <c r="L787" s="35" t="str">
        <f aca="false">IF(AND(K787="Weekday", OR(AND(G787&gt;=7, G787&lt;=9), AND(G787&gt;=17, G787&lt;=19))), "Peak Commute", "Off-Peak")</f>
        <v>Off-Peak</v>
      </c>
      <c r="M787" s="37" t="n">
        <v>2</v>
      </c>
      <c r="N787" s="35" t="str">
        <f aca="false">VLOOKUP(M787, Lookups_Metadata!$G$4:$H$7, 2, FALSE())</f>
        <v>Mist / Cloudy</v>
      </c>
      <c r="O787" s="40" t="n">
        <v>0.24</v>
      </c>
      <c r="P787" s="40" t="n">
        <v>0.2424</v>
      </c>
      <c r="Q787" s="40" t="n">
        <f aca="false">IF(OR(P787="", ISBLANK(P787)), ROUND(0.9367*O787+0.0175, 4), P787)</f>
        <v>0.2424</v>
      </c>
      <c r="R787" s="35" t="str">
        <f aca="false">IF(OR(P787="", ISBLANK(P787)), "Imputed (Regression/Trend)", "Original")</f>
        <v>Original</v>
      </c>
      <c r="S787" s="40" t="n">
        <v>0.65</v>
      </c>
      <c r="T787" s="40" t="n">
        <v>0.1642</v>
      </c>
      <c r="U787" s="41" t="n">
        <v>1</v>
      </c>
      <c r="V787" s="41" t="n">
        <v>17</v>
      </c>
      <c r="W787" s="41" t="n">
        <f aca="false">U787+V787</f>
        <v>18</v>
      </c>
      <c r="X787" s="42" t="n">
        <f aca="false">U787/W787</f>
        <v>0.0555555555555556</v>
      </c>
      <c r="Y787" s="42" t="n">
        <f aca="false">V787/W787</f>
        <v>0.944444444444444</v>
      </c>
      <c r="Z787" s="35" t="str">
        <f aca="false">IF(W787&gt;=150, "High Demand", IF(W787&gt;=50, "Moderate Demand", "Low Demand"))</f>
        <v>Low Demand</v>
      </c>
      <c r="AA787" s="39" t="str">
        <f aca="false">TEXT(G787, "00") &amp; ":00"</f>
        <v>01:00</v>
      </c>
      <c r="AB787" s="37" t="n">
        <f aca="false">YEAR(B787)</f>
        <v>2011</v>
      </c>
      <c r="AC787" s="35" t="str">
        <f aca="false">TEXT(B787, "mmmm")</f>
        <v>February</v>
      </c>
      <c r="AD787" s="37" t="n">
        <f aca="false">LEN(TEXT(B787, "YYYY-MM-DD"))</f>
        <v>10</v>
      </c>
      <c r="AE787" s="39" t="str">
        <f aca="false">LEFT(TEXT(B787, "YYYY-MM-DD"), 4)</f>
        <v>2011</v>
      </c>
      <c r="AF787" s="39" t="str">
        <f aca="false">RIGHT(TEXT(B787, "YYYY-MM-DD"), 2)</f>
        <v>05</v>
      </c>
    </row>
    <row r="788" customFormat="false" ht="15" hidden="false" customHeight="false" outlineLevel="0" collapsed="false">
      <c r="A788" s="43" t="n">
        <v>784</v>
      </c>
      <c r="B788" s="44" t="s">
        <v>119</v>
      </c>
      <c r="C788" s="43" t="n">
        <v>1</v>
      </c>
      <c r="D788" s="33" t="str">
        <f aca="false">VLOOKUP(C788, Lookups_Metadata!$A$4:$B$7, 2, FALSE())</f>
        <v>Spring</v>
      </c>
      <c r="E788" s="43" t="n">
        <v>0</v>
      </c>
      <c r="F788" s="43" t="n">
        <v>2</v>
      </c>
      <c r="G788" s="43" t="n">
        <v>2</v>
      </c>
      <c r="H788" s="45" t="b">
        <f aca="false">FALSE()</f>
        <v>0</v>
      </c>
      <c r="I788" s="43" t="n">
        <v>6</v>
      </c>
      <c r="J788" s="33" t="str">
        <f aca="false">INDEX(Lookups_Metadata!$E$4:$E$10, MATCH(I788, Lookups_Metadata!$D$4:$D$10, 0))</f>
        <v>Saturday</v>
      </c>
      <c r="K788" s="33" t="str">
        <f aca="false">IF(H788=TRUE(), "Holiday", IF(OR(I788=0, I788=6), "Weekend", "Weekday"))</f>
        <v>Weekend</v>
      </c>
      <c r="L788" s="33" t="str">
        <f aca="false">IF(AND(K788="Weekday", OR(AND(G788&gt;=7, G788&lt;=9), AND(G788&gt;=17, G788&lt;=19))), "Peak Commute", "Off-Peak")</f>
        <v>Off-Peak</v>
      </c>
      <c r="M788" s="43" t="n">
        <v>2</v>
      </c>
      <c r="N788" s="33" t="str">
        <f aca="false">VLOOKUP(M788, Lookups_Metadata!$G$4:$H$7, 2, FALSE())</f>
        <v>Mist / Cloudy</v>
      </c>
      <c r="O788" s="46" t="n">
        <v>0.24</v>
      </c>
      <c r="P788" s="46" t="n">
        <v>0.2424</v>
      </c>
      <c r="Q788" s="46" t="n">
        <f aca="false">IF(OR(P788="", ISBLANK(P788)), ROUND(0.9367*O788+0.0175, 4), P788)</f>
        <v>0.2424</v>
      </c>
      <c r="R788" s="33" t="str">
        <f aca="false">IF(OR(P788="", ISBLANK(P788)), "Imputed (Regression/Trend)", "Original")</f>
        <v>Original</v>
      </c>
      <c r="S788" s="46" t="n">
        <v>0.75</v>
      </c>
      <c r="T788" s="46" t="n">
        <v>0.1642</v>
      </c>
      <c r="U788" s="18" t="n">
        <v>5</v>
      </c>
      <c r="V788" s="18" t="n">
        <v>12</v>
      </c>
      <c r="W788" s="18" t="n">
        <f aca="false">U788+V788</f>
        <v>17</v>
      </c>
      <c r="X788" s="47" t="n">
        <f aca="false">U788/W788</f>
        <v>0.294117647058824</v>
      </c>
      <c r="Y788" s="47" t="n">
        <f aca="false">V788/W788</f>
        <v>0.705882352941177</v>
      </c>
      <c r="Z788" s="33" t="str">
        <f aca="false">IF(W788&gt;=150, "High Demand", IF(W788&gt;=50, "Moderate Demand", "Low Demand"))</f>
        <v>Low Demand</v>
      </c>
      <c r="AA788" s="45" t="str">
        <f aca="false">TEXT(G788, "00") &amp; ":00"</f>
        <v>02:00</v>
      </c>
      <c r="AB788" s="43" t="n">
        <f aca="false">YEAR(B788)</f>
        <v>2011</v>
      </c>
      <c r="AC788" s="33" t="str">
        <f aca="false">TEXT(B788, "mmmm")</f>
        <v>February</v>
      </c>
      <c r="AD788" s="43" t="n">
        <f aca="false">LEN(TEXT(B788, "YYYY-MM-DD"))</f>
        <v>10</v>
      </c>
      <c r="AE788" s="45" t="str">
        <f aca="false">LEFT(TEXT(B788, "YYYY-MM-DD"), 4)</f>
        <v>2011</v>
      </c>
      <c r="AF788" s="45" t="str">
        <f aca="false">RIGHT(TEXT(B788, "YYYY-MM-DD"), 2)</f>
        <v>05</v>
      </c>
    </row>
    <row r="789" customFormat="false" ht="15" hidden="false" customHeight="false" outlineLevel="0" collapsed="false">
      <c r="A789" s="37" t="n">
        <v>785</v>
      </c>
      <c r="B789" s="38" t="s">
        <v>119</v>
      </c>
      <c r="C789" s="37" t="n">
        <v>1</v>
      </c>
      <c r="D789" s="35" t="str">
        <f aca="false">VLOOKUP(C789, Lookups_Metadata!$A$4:$B$7, 2, FALSE())</f>
        <v>Spring</v>
      </c>
      <c r="E789" s="37" t="n">
        <v>0</v>
      </c>
      <c r="F789" s="37" t="n">
        <v>2</v>
      </c>
      <c r="G789" s="37" t="n">
        <v>3</v>
      </c>
      <c r="H789" s="39" t="b">
        <f aca="false">FALSE()</f>
        <v>0</v>
      </c>
      <c r="I789" s="37" t="n">
        <v>6</v>
      </c>
      <c r="J789" s="35" t="str">
        <f aca="false">INDEX(Lookups_Metadata!$E$4:$E$10, MATCH(I789, Lookups_Metadata!$D$4:$D$10, 0))</f>
        <v>Saturday</v>
      </c>
      <c r="K789" s="35" t="str">
        <f aca="false">IF(H789=TRUE(), "Holiday", IF(OR(I789=0, I789=6), "Weekend", "Weekday"))</f>
        <v>Weekend</v>
      </c>
      <c r="L789" s="35" t="str">
        <f aca="false">IF(AND(K789="Weekday", OR(AND(G789&gt;=7, G789&lt;=9), AND(G789&gt;=17, G789&lt;=19))), "Peak Commute", "Off-Peak")</f>
        <v>Off-Peak</v>
      </c>
      <c r="M789" s="37" t="n">
        <v>2</v>
      </c>
      <c r="N789" s="35" t="str">
        <f aca="false">VLOOKUP(M789, Lookups_Metadata!$G$4:$H$7, 2, FALSE())</f>
        <v>Mist / Cloudy</v>
      </c>
      <c r="O789" s="40" t="n">
        <v>0.24</v>
      </c>
      <c r="P789" s="40" t="n">
        <v>0.2424</v>
      </c>
      <c r="Q789" s="40" t="n">
        <f aca="false">IF(OR(P789="", ISBLANK(P789)), ROUND(0.9367*O789+0.0175, 4), P789)</f>
        <v>0.2424</v>
      </c>
      <c r="R789" s="35" t="str">
        <f aca="false">IF(OR(P789="", ISBLANK(P789)), "Imputed (Regression/Trend)", "Original")</f>
        <v>Original</v>
      </c>
      <c r="S789" s="40" t="n">
        <v>0.75</v>
      </c>
      <c r="T789" s="40" t="n">
        <v>0.1642</v>
      </c>
      <c r="U789" s="41" t="n">
        <v>1</v>
      </c>
      <c r="V789" s="41" t="n">
        <v>10</v>
      </c>
      <c r="W789" s="41" t="n">
        <f aca="false">U789+V789</f>
        <v>11</v>
      </c>
      <c r="X789" s="42" t="n">
        <f aca="false">U789/W789</f>
        <v>0.0909090909090909</v>
      </c>
      <c r="Y789" s="42" t="n">
        <f aca="false">V789/W789</f>
        <v>0.909090909090909</v>
      </c>
      <c r="Z789" s="35" t="str">
        <f aca="false">IF(W789&gt;=150, "High Demand", IF(W789&gt;=50, "Moderate Demand", "Low Demand"))</f>
        <v>Low Demand</v>
      </c>
      <c r="AA789" s="39" t="str">
        <f aca="false">TEXT(G789, "00") &amp; ":00"</f>
        <v>03:00</v>
      </c>
      <c r="AB789" s="37" t="n">
        <f aca="false">YEAR(B789)</f>
        <v>2011</v>
      </c>
      <c r="AC789" s="35" t="str">
        <f aca="false">TEXT(B789, "mmmm")</f>
        <v>February</v>
      </c>
      <c r="AD789" s="37" t="n">
        <f aca="false">LEN(TEXT(B789, "YYYY-MM-DD"))</f>
        <v>10</v>
      </c>
      <c r="AE789" s="39" t="str">
        <f aca="false">LEFT(TEXT(B789, "YYYY-MM-DD"), 4)</f>
        <v>2011</v>
      </c>
      <c r="AF789" s="39" t="str">
        <f aca="false">RIGHT(TEXT(B789, "YYYY-MM-DD"), 2)</f>
        <v>05</v>
      </c>
    </row>
    <row r="790" customFormat="false" ht="15" hidden="false" customHeight="false" outlineLevel="0" collapsed="false">
      <c r="A790" s="43" t="n">
        <v>786</v>
      </c>
      <c r="B790" s="44" t="s">
        <v>119</v>
      </c>
      <c r="C790" s="43" t="n">
        <v>1</v>
      </c>
      <c r="D790" s="33" t="str">
        <f aca="false">VLOOKUP(C790, Lookups_Metadata!$A$4:$B$7, 2, FALSE())</f>
        <v>Spring</v>
      </c>
      <c r="E790" s="43" t="n">
        <v>0</v>
      </c>
      <c r="F790" s="43" t="n">
        <v>2</v>
      </c>
      <c r="G790" s="43" t="n">
        <v>4</v>
      </c>
      <c r="H790" s="45" t="b">
        <f aca="false">FALSE()</f>
        <v>0</v>
      </c>
      <c r="I790" s="43" t="n">
        <v>6</v>
      </c>
      <c r="J790" s="33" t="str">
        <f aca="false">INDEX(Lookups_Metadata!$E$4:$E$10, MATCH(I790, Lookups_Metadata!$D$4:$D$10, 0))</f>
        <v>Saturday</v>
      </c>
      <c r="K790" s="33" t="str">
        <f aca="false">IF(H790=TRUE(), "Holiday", IF(OR(I790=0, I790=6), "Weekend", "Weekday"))</f>
        <v>Weekend</v>
      </c>
      <c r="L790" s="33" t="str">
        <f aca="false">IF(AND(K790="Weekday", OR(AND(G790&gt;=7, G790&lt;=9), AND(G790&gt;=17, G790&lt;=19))), "Peak Commute", "Off-Peak")</f>
        <v>Off-Peak</v>
      </c>
      <c r="M790" s="43" t="n">
        <v>3</v>
      </c>
      <c r="N790" s="33" t="str">
        <f aca="false">VLOOKUP(M790, Lookups_Metadata!$G$4:$H$7, 2, FALSE())</f>
        <v>Light Snow / Light Rain</v>
      </c>
      <c r="O790" s="46" t="n">
        <v>0.22</v>
      </c>
      <c r="P790" s="46" t="n">
        <v>0.2273</v>
      </c>
      <c r="Q790" s="46" t="n">
        <f aca="false">IF(OR(P790="", ISBLANK(P790)), ROUND(0.9367*O790+0.0175, 4), P790)</f>
        <v>0.2273</v>
      </c>
      <c r="R790" s="33" t="str">
        <f aca="false">IF(OR(P790="", ISBLANK(P790)), "Imputed (Regression/Trend)", "Original")</f>
        <v>Original</v>
      </c>
      <c r="S790" s="46" t="n">
        <v>0.93</v>
      </c>
      <c r="T790" s="46" t="n">
        <v>0.1343</v>
      </c>
      <c r="U790" s="18" t="n">
        <v>0</v>
      </c>
      <c r="V790" s="18" t="n">
        <v>8</v>
      </c>
      <c r="W790" s="18" t="n">
        <f aca="false">U790+V790</f>
        <v>8</v>
      </c>
      <c r="X790" s="47" t="n">
        <f aca="false">U790/W790</f>
        <v>0</v>
      </c>
      <c r="Y790" s="47" t="n">
        <f aca="false">V790/W790</f>
        <v>1</v>
      </c>
      <c r="Z790" s="33" t="str">
        <f aca="false">IF(W790&gt;=150, "High Demand", IF(W790&gt;=50, "Moderate Demand", "Low Demand"))</f>
        <v>Low Demand</v>
      </c>
      <c r="AA790" s="45" t="str">
        <f aca="false">TEXT(G790, "00") &amp; ":00"</f>
        <v>04:00</v>
      </c>
      <c r="AB790" s="43" t="n">
        <f aca="false">YEAR(B790)</f>
        <v>2011</v>
      </c>
      <c r="AC790" s="33" t="str">
        <f aca="false">TEXT(B790, "mmmm")</f>
        <v>February</v>
      </c>
      <c r="AD790" s="43" t="n">
        <f aca="false">LEN(TEXT(B790, "YYYY-MM-DD"))</f>
        <v>10</v>
      </c>
      <c r="AE790" s="45" t="str">
        <f aca="false">LEFT(TEXT(B790, "YYYY-MM-DD"), 4)</f>
        <v>2011</v>
      </c>
      <c r="AF790" s="45" t="str">
        <f aca="false">RIGHT(TEXT(B790, "YYYY-MM-DD"), 2)</f>
        <v>05</v>
      </c>
    </row>
    <row r="791" customFormat="false" ht="15" hidden="false" customHeight="false" outlineLevel="0" collapsed="false">
      <c r="A791" s="37" t="n">
        <v>787</v>
      </c>
      <c r="B791" s="38" t="s">
        <v>119</v>
      </c>
      <c r="C791" s="37" t="n">
        <v>1</v>
      </c>
      <c r="D791" s="35" t="str">
        <f aca="false">VLOOKUP(C791, Lookups_Metadata!$A$4:$B$7, 2, FALSE())</f>
        <v>Spring</v>
      </c>
      <c r="E791" s="37" t="n">
        <v>0</v>
      </c>
      <c r="F791" s="37" t="n">
        <v>2</v>
      </c>
      <c r="G791" s="37" t="n">
        <v>5</v>
      </c>
      <c r="H791" s="39" t="b">
        <f aca="false">FALSE()</f>
        <v>0</v>
      </c>
      <c r="I791" s="37" t="n">
        <v>6</v>
      </c>
      <c r="J791" s="35" t="str">
        <f aca="false">INDEX(Lookups_Metadata!$E$4:$E$10, MATCH(I791, Lookups_Metadata!$D$4:$D$10, 0))</f>
        <v>Saturday</v>
      </c>
      <c r="K791" s="35" t="str">
        <f aca="false">IF(H791=TRUE(), "Holiday", IF(OR(I791=0, I791=6), "Weekend", "Weekday"))</f>
        <v>Weekend</v>
      </c>
      <c r="L791" s="35" t="str">
        <f aca="false">IF(AND(K791="Weekday", OR(AND(G791&gt;=7, G791&lt;=9), AND(G791&gt;=17, G791&lt;=19))), "Peak Commute", "Off-Peak")</f>
        <v>Off-Peak</v>
      </c>
      <c r="M791" s="37" t="n">
        <v>3</v>
      </c>
      <c r="N791" s="35" t="str">
        <f aca="false">VLOOKUP(M791, Lookups_Metadata!$G$4:$H$7, 2, FALSE())</f>
        <v>Light Snow / Light Rain</v>
      </c>
      <c r="O791" s="40" t="n">
        <v>0.2</v>
      </c>
      <c r="P791" s="40" t="n">
        <v>0.2273</v>
      </c>
      <c r="Q791" s="40" t="n">
        <f aca="false">IF(OR(P791="", ISBLANK(P791)), ROUND(0.9367*O791+0.0175, 4), P791)</f>
        <v>0.2273</v>
      </c>
      <c r="R791" s="35" t="str">
        <f aca="false">IF(OR(P791="", ISBLANK(P791)), "Imputed (Regression/Trend)", "Original")</f>
        <v>Original</v>
      </c>
      <c r="S791" s="40" t="n">
        <v>1</v>
      </c>
      <c r="T791" s="40" t="n">
        <v>0.0896</v>
      </c>
      <c r="U791" s="41" t="n">
        <v>0</v>
      </c>
      <c r="V791" s="41" t="n">
        <v>9</v>
      </c>
      <c r="W791" s="41" t="n">
        <f aca="false">U791+V791</f>
        <v>9</v>
      </c>
      <c r="X791" s="42" t="n">
        <f aca="false">U791/W791</f>
        <v>0</v>
      </c>
      <c r="Y791" s="42" t="n">
        <f aca="false">V791/W791</f>
        <v>1</v>
      </c>
      <c r="Z791" s="35" t="str">
        <f aca="false">IF(W791&gt;=150, "High Demand", IF(W791&gt;=50, "Moderate Demand", "Low Demand"))</f>
        <v>Low Demand</v>
      </c>
      <c r="AA791" s="39" t="str">
        <f aca="false">TEXT(G791, "00") &amp; ":00"</f>
        <v>05:00</v>
      </c>
      <c r="AB791" s="37" t="n">
        <f aca="false">YEAR(B791)</f>
        <v>2011</v>
      </c>
      <c r="AC791" s="35" t="str">
        <f aca="false">TEXT(B791, "mmmm")</f>
        <v>February</v>
      </c>
      <c r="AD791" s="37" t="n">
        <f aca="false">LEN(TEXT(B791, "YYYY-MM-DD"))</f>
        <v>10</v>
      </c>
      <c r="AE791" s="39" t="str">
        <f aca="false">LEFT(TEXT(B791, "YYYY-MM-DD"), 4)</f>
        <v>2011</v>
      </c>
      <c r="AF791" s="39" t="str">
        <f aca="false">RIGHT(TEXT(B791, "YYYY-MM-DD"), 2)</f>
        <v>05</v>
      </c>
    </row>
    <row r="792" customFormat="false" ht="15" hidden="false" customHeight="false" outlineLevel="0" collapsed="false">
      <c r="A792" s="43" t="n">
        <v>788</v>
      </c>
      <c r="B792" s="44" t="s">
        <v>119</v>
      </c>
      <c r="C792" s="43" t="n">
        <v>1</v>
      </c>
      <c r="D792" s="33" t="str">
        <f aca="false">VLOOKUP(C792, Lookups_Metadata!$A$4:$B$7, 2, FALSE())</f>
        <v>Spring</v>
      </c>
      <c r="E792" s="43" t="n">
        <v>0</v>
      </c>
      <c r="F792" s="43" t="n">
        <v>2</v>
      </c>
      <c r="G792" s="43" t="n">
        <v>6</v>
      </c>
      <c r="H792" s="45" t="b">
        <f aca="false">FALSE()</f>
        <v>0</v>
      </c>
      <c r="I792" s="43" t="n">
        <v>6</v>
      </c>
      <c r="J792" s="33" t="str">
        <f aca="false">INDEX(Lookups_Metadata!$E$4:$E$10, MATCH(I792, Lookups_Metadata!$D$4:$D$10, 0))</f>
        <v>Saturday</v>
      </c>
      <c r="K792" s="33" t="str">
        <f aca="false">IF(H792=TRUE(), "Holiday", IF(OR(I792=0, I792=6), "Weekend", "Weekday"))</f>
        <v>Weekend</v>
      </c>
      <c r="L792" s="33" t="str">
        <f aca="false">IF(AND(K792="Weekday", OR(AND(G792&gt;=7, G792&lt;=9), AND(G792&gt;=17, G792&lt;=19))), "Peak Commute", "Off-Peak")</f>
        <v>Off-Peak</v>
      </c>
      <c r="M792" s="43" t="n">
        <v>3</v>
      </c>
      <c r="N792" s="33" t="str">
        <f aca="false">VLOOKUP(M792, Lookups_Metadata!$G$4:$H$7, 2, FALSE())</f>
        <v>Light Snow / Light Rain</v>
      </c>
      <c r="O792" s="46" t="n">
        <v>0.2</v>
      </c>
      <c r="P792" s="46" t="n">
        <v>0.2576</v>
      </c>
      <c r="Q792" s="46" t="n">
        <f aca="false">IF(OR(P792="", ISBLANK(P792)), ROUND(0.9367*O792+0.0175, 4), P792)</f>
        <v>0.2576</v>
      </c>
      <c r="R792" s="33" t="str">
        <f aca="false">IF(OR(P792="", ISBLANK(P792)), "Imputed (Regression/Trend)", "Original")</f>
        <v>Original</v>
      </c>
      <c r="S792" s="46" t="n">
        <v>1</v>
      </c>
      <c r="T792" s="46" t="n">
        <v>0</v>
      </c>
      <c r="U792" s="18" t="n">
        <v>0</v>
      </c>
      <c r="V792" s="18" t="n">
        <v>4</v>
      </c>
      <c r="W792" s="18" t="n">
        <f aca="false">U792+V792</f>
        <v>4</v>
      </c>
      <c r="X792" s="47" t="n">
        <f aca="false">U792/W792</f>
        <v>0</v>
      </c>
      <c r="Y792" s="47" t="n">
        <f aca="false">V792/W792</f>
        <v>1</v>
      </c>
      <c r="Z792" s="33" t="str">
        <f aca="false">IF(W792&gt;=150, "High Demand", IF(W792&gt;=50, "Moderate Demand", "Low Demand"))</f>
        <v>Low Demand</v>
      </c>
      <c r="AA792" s="45" t="str">
        <f aca="false">TEXT(G792, "00") &amp; ":00"</f>
        <v>06:00</v>
      </c>
      <c r="AB792" s="43" t="n">
        <f aca="false">YEAR(B792)</f>
        <v>2011</v>
      </c>
      <c r="AC792" s="33" t="str">
        <f aca="false">TEXT(B792, "mmmm")</f>
        <v>February</v>
      </c>
      <c r="AD792" s="43" t="n">
        <f aca="false">LEN(TEXT(B792, "YYYY-MM-DD"))</f>
        <v>10</v>
      </c>
      <c r="AE792" s="45" t="str">
        <f aca="false">LEFT(TEXT(B792, "YYYY-MM-DD"), 4)</f>
        <v>2011</v>
      </c>
      <c r="AF792" s="45" t="str">
        <f aca="false">RIGHT(TEXT(B792, "YYYY-MM-DD"), 2)</f>
        <v>05</v>
      </c>
    </row>
    <row r="793" customFormat="false" ht="15" hidden="false" customHeight="false" outlineLevel="0" collapsed="false">
      <c r="A793" s="37" t="n">
        <v>789</v>
      </c>
      <c r="B793" s="38" t="s">
        <v>119</v>
      </c>
      <c r="C793" s="37" t="n">
        <v>1</v>
      </c>
      <c r="D793" s="35" t="str">
        <f aca="false">VLOOKUP(C793, Lookups_Metadata!$A$4:$B$7, 2, FALSE())</f>
        <v>Spring</v>
      </c>
      <c r="E793" s="37" t="n">
        <v>0</v>
      </c>
      <c r="F793" s="37" t="n">
        <v>2</v>
      </c>
      <c r="G793" s="37" t="n">
        <v>7</v>
      </c>
      <c r="H793" s="39" t="b">
        <f aca="false">FALSE()</f>
        <v>0</v>
      </c>
      <c r="I793" s="37" t="n">
        <v>6</v>
      </c>
      <c r="J793" s="35" t="str">
        <f aca="false">INDEX(Lookups_Metadata!$E$4:$E$10, MATCH(I793, Lookups_Metadata!$D$4:$D$10, 0))</f>
        <v>Saturday</v>
      </c>
      <c r="K793" s="35" t="str">
        <f aca="false">IF(H793=TRUE(), "Holiday", IF(OR(I793=0, I793=6), "Weekend", "Weekday"))</f>
        <v>Weekend</v>
      </c>
      <c r="L793" s="35" t="str">
        <f aca="false">IF(AND(K793="Weekday", OR(AND(G793&gt;=7, G793&lt;=9), AND(G793&gt;=17, G793&lt;=19))), "Peak Commute", "Off-Peak")</f>
        <v>Off-Peak</v>
      </c>
      <c r="M793" s="37" t="n">
        <v>3</v>
      </c>
      <c r="N793" s="35" t="str">
        <f aca="false">VLOOKUP(M793, Lookups_Metadata!$G$4:$H$7, 2, FALSE())</f>
        <v>Light Snow / Light Rain</v>
      </c>
      <c r="O793" s="40" t="n">
        <v>0.22</v>
      </c>
      <c r="P793" s="40" t="n">
        <v>0.2576</v>
      </c>
      <c r="Q793" s="40" t="n">
        <f aca="false">IF(OR(P793="", ISBLANK(P793)), ROUND(0.9367*O793+0.0175, 4), P793)</f>
        <v>0.2576</v>
      </c>
      <c r="R793" s="35" t="str">
        <f aca="false">IF(OR(P793="", ISBLANK(P793)), "Imputed (Regression/Trend)", "Original")</f>
        <v>Original</v>
      </c>
      <c r="S793" s="40" t="n">
        <v>0.93</v>
      </c>
      <c r="T793" s="40" t="n">
        <v>0.0896</v>
      </c>
      <c r="U793" s="41" t="n">
        <v>0</v>
      </c>
      <c r="V793" s="41" t="n">
        <v>4</v>
      </c>
      <c r="W793" s="41" t="n">
        <f aca="false">U793+V793</f>
        <v>4</v>
      </c>
      <c r="X793" s="42" t="n">
        <f aca="false">U793/W793</f>
        <v>0</v>
      </c>
      <c r="Y793" s="42" t="n">
        <f aca="false">V793/W793</f>
        <v>1</v>
      </c>
      <c r="Z793" s="35" t="str">
        <f aca="false">IF(W793&gt;=150, "High Demand", IF(W793&gt;=50, "Moderate Demand", "Low Demand"))</f>
        <v>Low Demand</v>
      </c>
      <c r="AA793" s="39" t="str">
        <f aca="false">TEXT(G793, "00") &amp; ":00"</f>
        <v>07:00</v>
      </c>
      <c r="AB793" s="37" t="n">
        <f aca="false">YEAR(B793)</f>
        <v>2011</v>
      </c>
      <c r="AC793" s="35" t="str">
        <f aca="false">TEXT(B793, "mmmm")</f>
        <v>February</v>
      </c>
      <c r="AD793" s="37" t="n">
        <f aca="false">LEN(TEXT(B793, "YYYY-MM-DD"))</f>
        <v>10</v>
      </c>
      <c r="AE793" s="39" t="str">
        <f aca="false">LEFT(TEXT(B793, "YYYY-MM-DD"), 4)</f>
        <v>2011</v>
      </c>
      <c r="AF793" s="39" t="str">
        <f aca="false">RIGHT(TEXT(B793, "YYYY-MM-DD"), 2)</f>
        <v>05</v>
      </c>
    </row>
    <row r="794" customFormat="false" ht="15" hidden="false" customHeight="false" outlineLevel="0" collapsed="false">
      <c r="A794" s="43" t="n">
        <v>790</v>
      </c>
      <c r="B794" s="44" t="s">
        <v>119</v>
      </c>
      <c r="C794" s="43" t="n">
        <v>1</v>
      </c>
      <c r="D794" s="33" t="str">
        <f aca="false">VLOOKUP(C794, Lookups_Metadata!$A$4:$B$7, 2, FALSE())</f>
        <v>Spring</v>
      </c>
      <c r="E794" s="43" t="n">
        <v>0</v>
      </c>
      <c r="F794" s="43" t="n">
        <v>2</v>
      </c>
      <c r="G794" s="43" t="n">
        <v>8</v>
      </c>
      <c r="H794" s="45" t="b">
        <f aca="false">FALSE()</f>
        <v>0</v>
      </c>
      <c r="I794" s="43" t="n">
        <v>6</v>
      </c>
      <c r="J794" s="33" t="str">
        <f aca="false">INDEX(Lookups_Metadata!$E$4:$E$10, MATCH(I794, Lookups_Metadata!$D$4:$D$10, 0))</f>
        <v>Saturday</v>
      </c>
      <c r="K794" s="33" t="str">
        <f aca="false">IF(H794=TRUE(), "Holiday", IF(OR(I794=0, I794=6), "Weekend", "Weekday"))</f>
        <v>Weekend</v>
      </c>
      <c r="L794" s="33" t="str">
        <f aca="false">IF(AND(K794="Weekday", OR(AND(G794&gt;=7, G794&lt;=9), AND(G794&gt;=17, G794&lt;=19))), "Peak Commute", "Off-Peak")</f>
        <v>Off-Peak</v>
      </c>
      <c r="M794" s="43" t="n">
        <v>3</v>
      </c>
      <c r="N794" s="33" t="str">
        <f aca="false">VLOOKUP(M794, Lookups_Metadata!$G$4:$H$7, 2, FALSE())</f>
        <v>Light Snow / Light Rain</v>
      </c>
      <c r="O794" s="46" t="n">
        <v>0.2</v>
      </c>
      <c r="P794" s="46" t="n">
        <v>0.2273</v>
      </c>
      <c r="Q794" s="46" t="n">
        <f aca="false">IF(OR(P794="", ISBLANK(P794)), ROUND(0.9367*O794+0.0175, 4), P794)</f>
        <v>0.2273</v>
      </c>
      <c r="R794" s="33" t="str">
        <f aca="false">IF(OR(P794="", ISBLANK(P794)), "Imputed (Regression/Trend)", "Original")</f>
        <v>Original</v>
      </c>
      <c r="S794" s="46" t="n">
        <v>1</v>
      </c>
      <c r="T794" s="46" t="n">
        <v>0.0896</v>
      </c>
      <c r="U794" s="18" t="n">
        <v>0</v>
      </c>
      <c r="V794" s="18" t="n">
        <v>10</v>
      </c>
      <c r="W794" s="18" t="n">
        <f aca="false">U794+V794</f>
        <v>10</v>
      </c>
      <c r="X794" s="47" t="n">
        <f aca="false">U794/W794</f>
        <v>0</v>
      </c>
      <c r="Y794" s="47" t="n">
        <f aca="false">V794/W794</f>
        <v>1</v>
      </c>
      <c r="Z794" s="33" t="str">
        <f aca="false">IF(W794&gt;=150, "High Demand", IF(W794&gt;=50, "Moderate Demand", "Low Demand"))</f>
        <v>Low Demand</v>
      </c>
      <c r="AA794" s="45" t="str">
        <f aca="false">TEXT(G794, "00") &amp; ":00"</f>
        <v>08:00</v>
      </c>
      <c r="AB794" s="43" t="n">
        <f aca="false">YEAR(B794)</f>
        <v>2011</v>
      </c>
      <c r="AC794" s="33" t="str">
        <f aca="false">TEXT(B794, "mmmm")</f>
        <v>February</v>
      </c>
      <c r="AD794" s="43" t="n">
        <f aca="false">LEN(TEXT(B794, "YYYY-MM-DD"))</f>
        <v>10</v>
      </c>
      <c r="AE794" s="45" t="str">
        <f aca="false">LEFT(TEXT(B794, "YYYY-MM-DD"), 4)</f>
        <v>2011</v>
      </c>
      <c r="AF794" s="45" t="str">
        <f aca="false">RIGHT(TEXT(B794, "YYYY-MM-DD"), 2)</f>
        <v>05</v>
      </c>
    </row>
    <row r="795" customFormat="false" ht="15" hidden="false" customHeight="false" outlineLevel="0" collapsed="false">
      <c r="A795" s="37" t="n">
        <v>791</v>
      </c>
      <c r="B795" s="38" t="s">
        <v>119</v>
      </c>
      <c r="C795" s="37" t="n">
        <v>1</v>
      </c>
      <c r="D795" s="35" t="str">
        <f aca="false">VLOOKUP(C795, Lookups_Metadata!$A$4:$B$7, 2, FALSE())</f>
        <v>Spring</v>
      </c>
      <c r="E795" s="37" t="n">
        <v>0</v>
      </c>
      <c r="F795" s="37" t="n">
        <v>2</v>
      </c>
      <c r="G795" s="37" t="n">
        <v>9</v>
      </c>
      <c r="H795" s="39" t="b">
        <f aca="false">FALSE()</f>
        <v>0</v>
      </c>
      <c r="I795" s="37" t="n">
        <v>6</v>
      </c>
      <c r="J795" s="35" t="str">
        <f aca="false">INDEX(Lookups_Metadata!$E$4:$E$10, MATCH(I795, Lookups_Metadata!$D$4:$D$10, 0))</f>
        <v>Saturday</v>
      </c>
      <c r="K795" s="35" t="str">
        <f aca="false">IF(H795=TRUE(), "Holiday", IF(OR(I795=0, I795=6), "Weekend", "Weekday"))</f>
        <v>Weekend</v>
      </c>
      <c r="L795" s="35" t="str">
        <f aca="false">IF(AND(K795="Weekday", OR(AND(G795&gt;=7, G795&lt;=9), AND(G795&gt;=17, G795&lt;=19))), "Peak Commute", "Off-Peak")</f>
        <v>Off-Peak</v>
      </c>
      <c r="M795" s="37" t="n">
        <v>3</v>
      </c>
      <c r="N795" s="35" t="str">
        <f aca="false">VLOOKUP(M795, Lookups_Metadata!$G$4:$H$7, 2, FALSE())</f>
        <v>Light Snow / Light Rain</v>
      </c>
      <c r="O795" s="40" t="n">
        <v>0.2</v>
      </c>
      <c r="P795" s="40" t="n">
        <v>0.2273</v>
      </c>
      <c r="Q795" s="40" t="n">
        <f aca="false">IF(OR(P795="", ISBLANK(P795)), ROUND(0.9367*O795+0.0175, 4), P795)</f>
        <v>0.2273</v>
      </c>
      <c r="R795" s="35" t="str">
        <f aca="false">IF(OR(P795="", ISBLANK(P795)), "Imputed (Regression/Trend)", "Original")</f>
        <v>Original</v>
      </c>
      <c r="S795" s="40" t="n">
        <v>1</v>
      </c>
      <c r="T795" s="40" t="n">
        <v>0.0896</v>
      </c>
      <c r="U795" s="41" t="n">
        <v>3</v>
      </c>
      <c r="V795" s="41" t="n">
        <v>17</v>
      </c>
      <c r="W795" s="41" t="n">
        <f aca="false">U795+V795</f>
        <v>20</v>
      </c>
      <c r="X795" s="42" t="n">
        <f aca="false">U795/W795</f>
        <v>0.15</v>
      </c>
      <c r="Y795" s="42" t="n">
        <f aca="false">V795/W795</f>
        <v>0.85</v>
      </c>
      <c r="Z795" s="35" t="str">
        <f aca="false">IF(W795&gt;=150, "High Demand", IF(W795&gt;=50, "Moderate Demand", "Low Demand"))</f>
        <v>Low Demand</v>
      </c>
      <c r="AA795" s="39" t="str">
        <f aca="false">TEXT(G795, "00") &amp; ":00"</f>
        <v>09:00</v>
      </c>
      <c r="AB795" s="37" t="n">
        <f aca="false">YEAR(B795)</f>
        <v>2011</v>
      </c>
      <c r="AC795" s="35" t="str">
        <f aca="false">TEXT(B795, "mmmm")</f>
        <v>February</v>
      </c>
      <c r="AD795" s="37" t="n">
        <f aca="false">LEN(TEXT(B795, "YYYY-MM-DD"))</f>
        <v>10</v>
      </c>
      <c r="AE795" s="39" t="str">
        <f aca="false">LEFT(TEXT(B795, "YYYY-MM-DD"), 4)</f>
        <v>2011</v>
      </c>
      <c r="AF795" s="39" t="str">
        <f aca="false">RIGHT(TEXT(B795, "YYYY-MM-DD"), 2)</f>
        <v>05</v>
      </c>
    </row>
    <row r="796" customFormat="false" ht="15" hidden="false" customHeight="false" outlineLevel="0" collapsed="false">
      <c r="A796" s="43" t="n">
        <v>792</v>
      </c>
      <c r="B796" s="44" t="s">
        <v>119</v>
      </c>
      <c r="C796" s="43" t="n">
        <v>1</v>
      </c>
      <c r="D796" s="33" t="str">
        <f aca="false">VLOOKUP(C796, Lookups_Metadata!$A$4:$B$7, 2, FALSE())</f>
        <v>Spring</v>
      </c>
      <c r="E796" s="43" t="n">
        <v>0</v>
      </c>
      <c r="F796" s="43" t="n">
        <v>2</v>
      </c>
      <c r="G796" s="43" t="n">
        <v>10</v>
      </c>
      <c r="H796" s="45" t="b">
        <f aca="false">FALSE()</f>
        <v>0</v>
      </c>
      <c r="I796" s="43" t="n">
        <v>6</v>
      </c>
      <c r="J796" s="33" t="str">
        <f aca="false">INDEX(Lookups_Metadata!$E$4:$E$10, MATCH(I796, Lookups_Metadata!$D$4:$D$10, 0))</f>
        <v>Saturday</v>
      </c>
      <c r="K796" s="33" t="str">
        <f aca="false">IF(H796=TRUE(), "Holiday", IF(OR(I796=0, I796=6), "Weekend", "Weekday"))</f>
        <v>Weekend</v>
      </c>
      <c r="L796" s="33" t="str">
        <f aca="false">IF(AND(K796="Weekday", OR(AND(G796&gt;=7, G796&lt;=9), AND(G796&gt;=17, G796&lt;=19))), "Peak Commute", "Off-Peak")</f>
        <v>Off-Peak</v>
      </c>
      <c r="M796" s="43" t="n">
        <v>3</v>
      </c>
      <c r="N796" s="33" t="str">
        <f aca="false">VLOOKUP(M796, Lookups_Metadata!$G$4:$H$7, 2, FALSE())</f>
        <v>Light Snow / Light Rain</v>
      </c>
      <c r="O796" s="46" t="n">
        <v>0.2</v>
      </c>
      <c r="P796" s="46" t="n">
        <v>0.2121</v>
      </c>
      <c r="Q796" s="46" t="n">
        <f aca="false">IF(OR(P796="", ISBLANK(P796)), ROUND(0.9367*O796+0.0175, 4), P796)</f>
        <v>0.2121</v>
      </c>
      <c r="R796" s="33" t="str">
        <f aca="false">IF(OR(P796="", ISBLANK(P796)), "Imputed (Regression/Trend)", "Original")</f>
        <v>Original</v>
      </c>
      <c r="S796" s="46" t="n">
        <v>1</v>
      </c>
      <c r="T796" s="46" t="n">
        <v>0.1343</v>
      </c>
      <c r="U796" s="18" t="n">
        <v>3</v>
      </c>
      <c r="V796" s="18" t="n">
        <v>31</v>
      </c>
      <c r="W796" s="18" t="n">
        <f aca="false">U796+V796</f>
        <v>34</v>
      </c>
      <c r="X796" s="47" t="n">
        <f aca="false">U796/W796</f>
        <v>0.0882352941176471</v>
      </c>
      <c r="Y796" s="47" t="n">
        <f aca="false">V796/W796</f>
        <v>0.911764705882353</v>
      </c>
      <c r="Z796" s="33" t="str">
        <f aca="false">IF(W796&gt;=150, "High Demand", IF(W796&gt;=50, "Moderate Demand", "Low Demand"))</f>
        <v>Low Demand</v>
      </c>
      <c r="AA796" s="45" t="str">
        <f aca="false">TEXT(G796, "00") &amp; ":00"</f>
        <v>10:00</v>
      </c>
      <c r="AB796" s="43" t="n">
        <f aca="false">YEAR(B796)</f>
        <v>2011</v>
      </c>
      <c r="AC796" s="33" t="str">
        <f aca="false">TEXT(B796, "mmmm")</f>
        <v>February</v>
      </c>
      <c r="AD796" s="43" t="n">
        <f aca="false">LEN(TEXT(B796, "YYYY-MM-DD"))</f>
        <v>10</v>
      </c>
      <c r="AE796" s="45" t="str">
        <f aca="false">LEFT(TEXT(B796, "YYYY-MM-DD"), 4)</f>
        <v>2011</v>
      </c>
      <c r="AF796" s="45" t="str">
        <f aca="false">RIGHT(TEXT(B796, "YYYY-MM-DD"), 2)</f>
        <v>05</v>
      </c>
    </row>
    <row r="797" customFormat="false" ht="15" hidden="false" customHeight="false" outlineLevel="0" collapsed="false">
      <c r="A797" s="37" t="n">
        <v>793</v>
      </c>
      <c r="B797" s="38" t="s">
        <v>119</v>
      </c>
      <c r="C797" s="37" t="n">
        <v>1</v>
      </c>
      <c r="D797" s="35" t="str">
        <f aca="false">VLOOKUP(C797, Lookups_Metadata!$A$4:$B$7, 2, FALSE())</f>
        <v>Spring</v>
      </c>
      <c r="E797" s="37" t="n">
        <v>0</v>
      </c>
      <c r="F797" s="37" t="n">
        <v>2</v>
      </c>
      <c r="G797" s="37" t="n">
        <v>11</v>
      </c>
      <c r="H797" s="39" t="b">
        <f aca="false">FALSE()</f>
        <v>0</v>
      </c>
      <c r="I797" s="37" t="n">
        <v>6</v>
      </c>
      <c r="J797" s="35" t="str">
        <f aca="false">INDEX(Lookups_Metadata!$E$4:$E$10, MATCH(I797, Lookups_Metadata!$D$4:$D$10, 0))</f>
        <v>Saturday</v>
      </c>
      <c r="K797" s="35" t="str">
        <f aca="false">IF(H797=TRUE(), "Holiday", IF(OR(I797=0, I797=6), "Weekend", "Weekday"))</f>
        <v>Weekend</v>
      </c>
      <c r="L797" s="35" t="str">
        <f aca="false">IF(AND(K797="Weekday", OR(AND(G797&gt;=7, G797&lt;=9), AND(G797&gt;=17, G797&lt;=19))), "Peak Commute", "Off-Peak")</f>
        <v>Off-Peak</v>
      </c>
      <c r="M797" s="37" t="n">
        <v>3</v>
      </c>
      <c r="N797" s="35" t="str">
        <f aca="false">VLOOKUP(M797, Lookups_Metadata!$G$4:$H$7, 2, FALSE())</f>
        <v>Light Snow / Light Rain</v>
      </c>
      <c r="O797" s="40" t="n">
        <v>0.22</v>
      </c>
      <c r="P797" s="40" t="n">
        <v>0.2273</v>
      </c>
      <c r="Q797" s="40" t="n">
        <f aca="false">IF(OR(P797="", ISBLANK(P797)), ROUND(0.9367*O797+0.0175, 4), P797)</f>
        <v>0.2273</v>
      </c>
      <c r="R797" s="35" t="str">
        <f aca="false">IF(OR(P797="", ISBLANK(P797)), "Imputed (Regression/Trend)", "Original")</f>
        <v>Original</v>
      </c>
      <c r="S797" s="40" t="n">
        <v>1</v>
      </c>
      <c r="T797" s="40" t="n">
        <v>0.1343</v>
      </c>
      <c r="U797" s="41" t="n">
        <v>1</v>
      </c>
      <c r="V797" s="41" t="n">
        <v>46</v>
      </c>
      <c r="W797" s="41" t="n">
        <f aca="false">U797+V797</f>
        <v>47</v>
      </c>
      <c r="X797" s="42" t="n">
        <f aca="false">U797/W797</f>
        <v>0.0212765957446809</v>
      </c>
      <c r="Y797" s="42" t="n">
        <f aca="false">V797/W797</f>
        <v>0.978723404255319</v>
      </c>
      <c r="Z797" s="35" t="str">
        <f aca="false">IF(W797&gt;=150, "High Demand", IF(W797&gt;=50, "Moderate Demand", "Low Demand"))</f>
        <v>Low Demand</v>
      </c>
      <c r="AA797" s="39" t="str">
        <f aca="false">TEXT(G797, "00") &amp; ":00"</f>
        <v>11:00</v>
      </c>
      <c r="AB797" s="37" t="n">
        <f aca="false">YEAR(B797)</f>
        <v>2011</v>
      </c>
      <c r="AC797" s="35" t="str">
        <f aca="false">TEXT(B797, "mmmm")</f>
        <v>February</v>
      </c>
      <c r="AD797" s="37" t="n">
        <f aca="false">LEN(TEXT(B797, "YYYY-MM-DD"))</f>
        <v>10</v>
      </c>
      <c r="AE797" s="39" t="str">
        <f aca="false">LEFT(TEXT(B797, "YYYY-MM-DD"), 4)</f>
        <v>2011</v>
      </c>
      <c r="AF797" s="39" t="str">
        <f aca="false">RIGHT(TEXT(B797, "YYYY-MM-DD"), 2)</f>
        <v>05</v>
      </c>
    </row>
    <row r="798" customFormat="false" ht="15" hidden="false" customHeight="false" outlineLevel="0" collapsed="false">
      <c r="A798" s="43" t="n">
        <v>794</v>
      </c>
      <c r="B798" s="44" t="s">
        <v>119</v>
      </c>
      <c r="C798" s="43" t="n">
        <v>1</v>
      </c>
      <c r="D798" s="33" t="str">
        <f aca="false">VLOOKUP(C798, Lookups_Metadata!$A$4:$B$7, 2, FALSE())</f>
        <v>Spring</v>
      </c>
      <c r="E798" s="43" t="n">
        <v>0</v>
      </c>
      <c r="F798" s="43" t="n">
        <v>2</v>
      </c>
      <c r="G798" s="43" t="n">
        <v>12</v>
      </c>
      <c r="H798" s="45" t="b">
        <f aca="false">FALSE()</f>
        <v>0</v>
      </c>
      <c r="I798" s="43" t="n">
        <v>6</v>
      </c>
      <c r="J798" s="33" t="str">
        <f aca="false">INDEX(Lookups_Metadata!$E$4:$E$10, MATCH(I798, Lookups_Metadata!$D$4:$D$10, 0))</f>
        <v>Saturday</v>
      </c>
      <c r="K798" s="33" t="str">
        <f aca="false">IF(H798=TRUE(), "Holiday", IF(OR(I798=0, I798=6), "Weekend", "Weekday"))</f>
        <v>Weekend</v>
      </c>
      <c r="L798" s="33" t="str">
        <f aca="false">IF(AND(K798="Weekday", OR(AND(G798&gt;=7, G798&lt;=9), AND(G798&gt;=17, G798&lt;=19))), "Peak Commute", "Off-Peak")</f>
        <v>Off-Peak</v>
      </c>
      <c r="M798" s="43" t="n">
        <v>3</v>
      </c>
      <c r="N798" s="33" t="str">
        <f aca="false">VLOOKUP(M798, Lookups_Metadata!$G$4:$H$7, 2, FALSE())</f>
        <v>Light Snow / Light Rain</v>
      </c>
      <c r="O798" s="46" t="n">
        <v>0.22</v>
      </c>
      <c r="P798" s="46" t="n">
        <v>0.2273</v>
      </c>
      <c r="Q798" s="46" t="n">
        <f aca="false">IF(OR(P798="", ISBLANK(P798)), ROUND(0.9367*O798+0.0175, 4), P798)</f>
        <v>0.2273</v>
      </c>
      <c r="R798" s="33" t="str">
        <f aca="false">IF(OR(P798="", ISBLANK(P798)), "Imputed (Regression/Trend)", "Original")</f>
        <v>Original</v>
      </c>
      <c r="S798" s="46" t="n">
        <v>1</v>
      </c>
      <c r="T798" s="46" t="n">
        <v>0.1642</v>
      </c>
      <c r="U798" s="18" t="n">
        <v>10</v>
      </c>
      <c r="V798" s="18" t="n">
        <v>42</v>
      </c>
      <c r="W798" s="18" t="n">
        <f aca="false">U798+V798</f>
        <v>52</v>
      </c>
      <c r="X798" s="47" t="n">
        <f aca="false">U798/W798</f>
        <v>0.192307692307692</v>
      </c>
      <c r="Y798" s="47" t="n">
        <f aca="false">V798/W798</f>
        <v>0.807692307692308</v>
      </c>
      <c r="Z798" s="33" t="str">
        <f aca="false">IF(W798&gt;=150, "High Demand", IF(W798&gt;=50, "Moderate Demand", "Low Demand"))</f>
        <v>Moderate Demand</v>
      </c>
      <c r="AA798" s="45" t="str">
        <f aca="false">TEXT(G798, "00") &amp; ":00"</f>
        <v>12:00</v>
      </c>
      <c r="AB798" s="43" t="n">
        <f aca="false">YEAR(B798)</f>
        <v>2011</v>
      </c>
      <c r="AC798" s="33" t="str">
        <f aca="false">TEXT(B798, "mmmm")</f>
        <v>February</v>
      </c>
      <c r="AD798" s="43" t="n">
        <f aca="false">LEN(TEXT(B798, "YYYY-MM-DD"))</f>
        <v>10</v>
      </c>
      <c r="AE798" s="45" t="str">
        <f aca="false">LEFT(TEXT(B798, "YYYY-MM-DD"), 4)</f>
        <v>2011</v>
      </c>
      <c r="AF798" s="45" t="str">
        <f aca="false">RIGHT(TEXT(B798, "YYYY-MM-DD"), 2)</f>
        <v>05</v>
      </c>
    </row>
    <row r="799" customFormat="false" ht="15" hidden="false" customHeight="false" outlineLevel="0" collapsed="false">
      <c r="A799" s="37" t="n">
        <v>795</v>
      </c>
      <c r="B799" s="38" t="s">
        <v>119</v>
      </c>
      <c r="C799" s="37" t="n">
        <v>1</v>
      </c>
      <c r="D799" s="35" t="str">
        <f aca="false">VLOOKUP(C799, Lookups_Metadata!$A$4:$B$7, 2, FALSE())</f>
        <v>Spring</v>
      </c>
      <c r="E799" s="37" t="n">
        <v>0</v>
      </c>
      <c r="F799" s="37" t="n">
        <v>2</v>
      </c>
      <c r="G799" s="37" t="n">
        <v>13</v>
      </c>
      <c r="H799" s="39" t="b">
        <f aca="false">FALSE()</f>
        <v>0</v>
      </c>
      <c r="I799" s="37" t="n">
        <v>6</v>
      </c>
      <c r="J799" s="35" t="str">
        <f aca="false">INDEX(Lookups_Metadata!$E$4:$E$10, MATCH(I799, Lookups_Metadata!$D$4:$D$10, 0))</f>
        <v>Saturday</v>
      </c>
      <c r="K799" s="35" t="str">
        <f aca="false">IF(H799=TRUE(), "Holiday", IF(OR(I799=0, I799=6), "Weekend", "Weekday"))</f>
        <v>Weekend</v>
      </c>
      <c r="L799" s="35" t="str">
        <f aca="false">IF(AND(K799="Weekday", OR(AND(G799&gt;=7, G799&lt;=9), AND(G799&gt;=17, G799&lt;=19))), "Peak Commute", "Off-Peak")</f>
        <v>Off-Peak</v>
      </c>
      <c r="M799" s="37" t="n">
        <v>3</v>
      </c>
      <c r="N799" s="35" t="str">
        <f aca="false">VLOOKUP(M799, Lookups_Metadata!$G$4:$H$7, 2, FALSE())</f>
        <v>Light Snow / Light Rain</v>
      </c>
      <c r="O799" s="40" t="n">
        <v>0.22</v>
      </c>
      <c r="P799" s="40" t="n">
        <v>0.2273</v>
      </c>
      <c r="Q799" s="40" t="n">
        <f aca="false">IF(OR(P799="", ISBLANK(P799)), ROUND(0.9367*O799+0.0175, 4), P799)</f>
        <v>0.2273</v>
      </c>
      <c r="R799" s="35" t="str">
        <f aca="false">IF(OR(P799="", ISBLANK(P799)), "Imputed (Regression/Trend)", "Original")</f>
        <v>Original</v>
      </c>
      <c r="S799" s="40" t="n">
        <v>1</v>
      </c>
      <c r="T799" s="40" t="n">
        <v>0.1642</v>
      </c>
      <c r="U799" s="41" t="n">
        <v>10</v>
      </c>
      <c r="V799" s="41" t="n">
        <v>62</v>
      </c>
      <c r="W799" s="41" t="n">
        <f aca="false">U799+V799</f>
        <v>72</v>
      </c>
      <c r="X799" s="42" t="n">
        <f aca="false">U799/W799</f>
        <v>0.138888888888889</v>
      </c>
      <c r="Y799" s="42" t="n">
        <f aca="false">V799/W799</f>
        <v>0.861111111111111</v>
      </c>
      <c r="Z799" s="35" t="str">
        <f aca="false">IF(W799&gt;=150, "High Demand", IF(W799&gt;=50, "Moderate Demand", "Low Demand"))</f>
        <v>Moderate Demand</v>
      </c>
      <c r="AA799" s="39" t="str">
        <f aca="false">TEXT(G799, "00") &amp; ":00"</f>
        <v>13:00</v>
      </c>
      <c r="AB799" s="37" t="n">
        <f aca="false">YEAR(B799)</f>
        <v>2011</v>
      </c>
      <c r="AC799" s="35" t="str">
        <f aca="false">TEXT(B799, "mmmm")</f>
        <v>February</v>
      </c>
      <c r="AD799" s="37" t="n">
        <f aca="false">LEN(TEXT(B799, "YYYY-MM-DD"))</f>
        <v>10</v>
      </c>
      <c r="AE799" s="39" t="str">
        <f aca="false">LEFT(TEXT(B799, "YYYY-MM-DD"), 4)</f>
        <v>2011</v>
      </c>
      <c r="AF799" s="39" t="str">
        <f aca="false">RIGHT(TEXT(B799, "YYYY-MM-DD"), 2)</f>
        <v>05</v>
      </c>
    </row>
    <row r="800" customFormat="false" ht="15" hidden="false" customHeight="false" outlineLevel="0" collapsed="false">
      <c r="A800" s="43" t="n">
        <v>796</v>
      </c>
      <c r="B800" s="44" t="s">
        <v>119</v>
      </c>
      <c r="C800" s="43" t="n">
        <v>1</v>
      </c>
      <c r="D800" s="33" t="str">
        <f aca="false">VLOOKUP(C800, Lookups_Metadata!$A$4:$B$7, 2, FALSE())</f>
        <v>Spring</v>
      </c>
      <c r="E800" s="43" t="n">
        <v>0</v>
      </c>
      <c r="F800" s="43" t="n">
        <v>2</v>
      </c>
      <c r="G800" s="43" t="n">
        <v>14</v>
      </c>
      <c r="H800" s="45" t="b">
        <f aca="false">FALSE()</f>
        <v>0</v>
      </c>
      <c r="I800" s="43" t="n">
        <v>6</v>
      </c>
      <c r="J800" s="33" t="str">
        <f aca="false">INDEX(Lookups_Metadata!$E$4:$E$10, MATCH(I800, Lookups_Metadata!$D$4:$D$10, 0))</f>
        <v>Saturday</v>
      </c>
      <c r="K800" s="33" t="str">
        <f aca="false">IF(H800=TRUE(), "Holiday", IF(OR(I800=0, I800=6), "Weekend", "Weekday"))</f>
        <v>Weekend</v>
      </c>
      <c r="L800" s="33" t="str">
        <f aca="false">IF(AND(K800="Weekday", OR(AND(G800&gt;=7, G800&lt;=9), AND(G800&gt;=17, G800&lt;=19))), "Peak Commute", "Off-Peak")</f>
        <v>Off-Peak</v>
      </c>
      <c r="M800" s="43" t="n">
        <v>3</v>
      </c>
      <c r="N800" s="33" t="str">
        <f aca="false">VLOOKUP(M800, Lookups_Metadata!$G$4:$H$7, 2, FALSE())</f>
        <v>Light Snow / Light Rain</v>
      </c>
      <c r="O800" s="46" t="n">
        <v>0.22</v>
      </c>
      <c r="P800" s="46" t="n">
        <v>0.2727</v>
      </c>
      <c r="Q800" s="46" t="n">
        <f aca="false">IF(OR(P800="", ISBLANK(P800)), ROUND(0.9367*O800+0.0175, 4), P800)</f>
        <v>0.2727</v>
      </c>
      <c r="R800" s="33" t="str">
        <f aca="false">IF(OR(P800="", ISBLANK(P800)), "Imputed (Regression/Trend)", "Original")</f>
        <v>Original</v>
      </c>
      <c r="S800" s="46" t="n">
        <v>1</v>
      </c>
      <c r="T800" s="46" t="n">
        <v>0</v>
      </c>
      <c r="U800" s="18" t="n">
        <v>5</v>
      </c>
      <c r="V800" s="18" t="n">
        <v>50</v>
      </c>
      <c r="W800" s="18" t="n">
        <f aca="false">U800+V800</f>
        <v>55</v>
      </c>
      <c r="X800" s="47" t="n">
        <f aca="false">U800/W800</f>
        <v>0.0909090909090909</v>
      </c>
      <c r="Y800" s="47" t="n">
        <f aca="false">V800/W800</f>
        <v>0.909090909090909</v>
      </c>
      <c r="Z800" s="33" t="str">
        <f aca="false">IF(W800&gt;=150, "High Demand", IF(W800&gt;=50, "Moderate Demand", "Low Demand"))</f>
        <v>Moderate Demand</v>
      </c>
      <c r="AA800" s="45" t="str">
        <f aca="false">TEXT(G800, "00") &amp; ":00"</f>
        <v>14:00</v>
      </c>
      <c r="AB800" s="43" t="n">
        <f aca="false">YEAR(B800)</f>
        <v>2011</v>
      </c>
      <c r="AC800" s="33" t="str">
        <f aca="false">TEXT(B800, "mmmm")</f>
        <v>February</v>
      </c>
      <c r="AD800" s="43" t="n">
        <f aca="false">LEN(TEXT(B800, "YYYY-MM-DD"))</f>
        <v>10</v>
      </c>
      <c r="AE800" s="45" t="str">
        <f aca="false">LEFT(TEXT(B800, "YYYY-MM-DD"), 4)</f>
        <v>2011</v>
      </c>
      <c r="AF800" s="45" t="str">
        <f aca="false">RIGHT(TEXT(B800, "YYYY-MM-DD"), 2)</f>
        <v>05</v>
      </c>
    </row>
    <row r="801" customFormat="false" ht="15" hidden="false" customHeight="false" outlineLevel="0" collapsed="false">
      <c r="A801" s="37" t="n">
        <v>797</v>
      </c>
      <c r="B801" s="38" t="s">
        <v>119</v>
      </c>
      <c r="C801" s="37" t="n">
        <v>1</v>
      </c>
      <c r="D801" s="35" t="str">
        <f aca="false">VLOOKUP(C801, Lookups_Metadata!$A$4:$B$7, 2, FALSE())</f>
        <v>Spring</v>
      </c>
      <c r="E801" s="37" t="n">
        <v>0</v>
      </c>
      <c r="F801" s="37" t="n">
        <v>2</v>
      </c>
      <c r="G801" s="37" t="n">
        <v>15</v>
      </c>
      <c r="H801" s="39" t="b">
        <f aca="false">FALSE()</f>
        <v>0</v>
      </c>
      <c r="I801" s="37" t="n">
        <v>6</v>
      </c>
      <c r="J801" s="35" t="str">
        <f aca="false">INDEX(Lookups_Metadata!$E$4:$E$10, MATCH(I801, Lookups_Metadata!$D$4:$D$10, 0))</f>
        <v>Saturday</v>
      </c>
      <c r="K801" s="35" t="str">
        <f aca="false">IF(H801=TRUE(), "Holiday", IF(OR(I801=0, I801=6), "Weekend", "Weekday"))</f>
        <v>Weekend</v>
      </c>
      <c r="L801" s="35" t="str">
        <f aca="false">IF(AND(K801="Weekday", OR(AND(G801&gt;=7, G801&lt;=9), AND(G801&gt;=17, G801&lt;=19))), "Peak Commute", "Off-Peak")</f>
        <v>Off-Peak</v>
      </c>
      <c r="M801" s="37" t="n">
        <v>3</v>
      </c>
      <c r="N801" s="35" t="str">
        <f aca="false">VLOOKUP(M801, Lookups_Metadata!$G$4:$H$7, 2, FALSE())</f>
        <v>Light Snow / Light Rain</v>
      </c>
      <c r="O801" s="40" t="n">
        <v>0.22</v>
      </c>
      <c r="P801" s="40" t="n">
        <v>0.2727</v>
      </c>
      <c r="Q801" s="40" t="n">
        <f aca="false">IF(OR(P801="", ISBLANK(P801)), ROUND(0.9367*O801+0.0175, 4), P801)</f>
        <v>0.2727</v>
      </c>
      <c r="R801" s="35" t="str">
        <f aca="false">IF(OR(P801="", ISBLANK(P801)), "Imputed (Regression/Trend)", "Original")</f>
        <v>Original</v>
      </c>
      <c r="S801" s="40" t="n">
        <v>1</v>
      </c>
      <c r="T801" s="40" t="n">
        <v>0</v>
      </c>
      <c r="U801" s="41" t="n">
        <v>11</v>
      </c>
      <c r="V801" s="41" t="n">
        <v>49</v>
      </c>
      <c r="W801" s="41" t="n">
        <f aca="false">U801+V801</f>
        <v>60</v>
      </c>
      <c r="X801" s="42" t="n">
        <f aca="false">U801/W801</f>
        <v>0.183333333333333</v>
      </c>
      <c r="Y801" s="42" t="n">
        <f aca="false">V801/W801</f>
        <v>0.816666666666667</v>
      </c>
      <c r="Z801" s="35" t="str">
        <f aca="false">IF(W801&gt;=150, "High Demand", IF(W801&gt;=50, "Moderate Demand", "Low Demand"))</f>
        <v>Moderate Demand</v>
      </c>
      <c r="AA801" s="39" t="str">
        <f aca="false">TEXT(G801, "00") &amp; ":00"</f>
        <v>15:00</v>
      </c>
      <c r="AB801" s="37" t="n">
        <f aca="false">YEAR(B801)</f>
        <v>2011</v>
      </c>
      <c r="AC801" s="35" t="str">
        <f aca="false">TEXT(B801, "mmmm")</f>
        <v>February</v>
      </c>
      <c r="AD801" s="37" t="n">
        <f aca="false">LEN(TEXT(B801, "YYYY-MM-DD"))</f>
        <v>10</v>
      </c>
      <c r="AE801" s="39" t="str">
        <f aca="false">LEFT(TEXT(B801, "YYYY-MM-DD"), 4)</f>
        <v>2011</v>
      </c>
      <c r="AF801" s="39" t="str">
        <f aca="false">RIGHT(TEXT(B801, "YYYY-MM-DD"), 2)</f>
        <v>05</v>
      </c>
    </row>
    <row r="802" customFormat="false" ht="15" hidden="false" customHeight="false" outlineLevel="0" collapsed="false">
      <c r="A802" s="43" t="n">
        <v>798</v>
      </c>
      <c r="B802" s="44" t="s">
        <v>119</v>
      </c>
      <c r="C802" s="43" t="n">
        <v>1</v>
      </c>
      <c r="D802" s="33" t="str">
        <f aca="false">VLOOKUP(C802, Lookups_Metadata!$A$4:$B$7, 2, FALSE())</f>
        <v>Spring</v>
      </c>
      <c r="E802" s="43" t="n">
        <v>0</v>
      </c>
      <c r="F802" s="43" t="n">
        <v>2</v>
      </c>
      <c r="G802" s="43" t="n">
        <v>16</v>
      </c>
      <c r="H802" s="45" t="b">
        <f aca="false">FALSE()</f>
        <v>0</v>
      </c>
      <c r="I802" s="43" t="n">
        <v>6</v>
      </c>
      <c r="J802" s="33" t="str">
        <f aca="false">INDEX(Lookups_Metadata!$E$4:$E$10, MATCH(I802, Lookups_Metadata!$D$4:$D$10, 0))</f>
        <v>Saturday</v>
      </c>
      <c r="K802" s="33" t="str">
        <f aca="false">IF(H802=TRUE(), "Holiday", IF(OR(I802=0, I802=6), "Weekend", "Weekday"))</f>
        <v>Weekend</v>
      </c>
      <c r="L802" s="33" t="str">
        <f aca="false">IF(AND(K802="Weekday", OR(AND(G802&gt;=7, G802&lt;=9), AND(G802&gt;=17, G802&lt;=19))), "Peak Commute", "Off-Peak")</f>
        <v>Off-Peak</v>
      </c>
      <c r="M802" s="43" t="n">
        <v>3</v>
      </c>
      <c r="N802" s="33" t="str">
        <f aca="false">VLOOKUP(M802, Lookups_Metadata!$G$4:$H$7, 2, FALSE())</f>
        <v>Light Snow / Light Rain</v>
      </c>
      <c r="O802" s="46" t="n">
        <v>0.22</v>
      </c>
      <c r="P802" s="46" t="n">
        <v>0.2273</v>
      </c>
      <c r="Q802" s="46" t="n">
        <f aca="false">IF(OR(P802="", ISBLANK(P802)), ROUND(0.9367*O802+0.0175, 4), P802)</f>
        <v>0.2273</v>
      </c>
      <c r="R802" s="33" t="str">
        <f aca="false">IF(OR(P802="", ISBLANK(P802)), "Imputed (Regression/Trend)", "Original")</f>
        <v>Original</v>
      </c>
      <c r="S802" s="46" t="n">
        <v>1</v>
      </c>
      <c r="T802" s="46" t="n">
        <v>0.1343</v>
      </c>
      <c r="U802" s="18" t="n">
        <v>8</v>
      </c>
      <c r="V802" s="18" t="n">
        <v>63</v>
      </c>
      <c r="W802" s="18" t="n">
        <f aca="false">U802+V802</f>
        <v>71</v>
      </c>
      <c r="X802" s="47" t="n">
        <f aca="false">U802/W802</f>
        <v>0.112676056338028</v>
      </c>
      <c r="Y802" s="47" t="n">
        <f aca="false">V802/W802</f>
        <v>0.887323943661972</v>
      </c>
      <c r="Z802" s="33" t="str">
        <f aca="false">IF(W802&gt;=150, "High Demand", IF(W802&gt;=50, "Moderate Demand", "Low Demand"))</f>
        <v>Moderate Demand</v>
      </c>
      <c r="AA802" s="45" t="str">
        <f aca="false">TEXT(G802, "00") &amp; ":00"</f>
        <v>16:00</v>
      </c>
      <c r="AB802" s="43" t="n">
        <f aca="false">YEAR(B802)</f>
        <v>2011</v>
      </c>
      <c r="AC802" s="33" t="str">
        <f aca="false">TEXT(B802, "mmmm")</f>
        <v>February</v>
      </c>
      <c r="AD802" s="43" t="n">
        <f aca="false">LEN(TEXT(B802, "YYYY-MM-DD"))</f>
        <v>10</v>
      </c>
      <c r="AE802" s="45" t="str">
        <f aca="false">LEFT(TEXT(B802, "YYYY-MM-DD"), 4)</f>
        <v>2011</v>
      </c>
      <c r="AF802" s="45" t="str">
        <f aca="false">RIGHT(TEXT(B802, "YYYY-MM-DD"), 2)</f>
        <v>05</v>
      </c>
    </row>
    <row r="803" customFormat="false" ht="15" hidden="false" customHeight="false" outlineLevel="0" collapsed="false">
      <c r="A803" s="37" t="n">
        <v>799</v>
      </c>
      <c r="B803" s="38" t="s">
        <v>119</v>
      </c>
      <c r="C803" s="37" t="n">
        <v>1</v>
      </c>
      <c r="D803" s="35" t="str">
        <f aca="false">VLOOKUP(C803, Lookups_Metadata!$A$4:$B$7, 2, FALSE())</f>
        <v>Spring</v>
      </c>
      <c r="E803" s="37" t="n">
        <v>0</v>
      </c>
      <c r="F803" s="37" t="n">
        <v>2</v>
      </c>
      <c r="G803" s="37" t="n">
        <v>17</v>
      </c>
      <c r="H803" s="39" t="b">
        <f aca="false">FALSE()</f>
        <v>0</v>
      </c>
      <c r="I803" s="37" t="n">
        <v>6</v>
      </c>
      <c r="J803" s="35" t="str">
        <f aca="false">INDEX(Lookups_Metadata!$E$4:$E$10, MATCH(I803, Lookups_Metadata!$D$4:$D$10, 0))</f>
        <v>Saturday</v>
      </c>
      <c r="K803" s="35" t="str">
        <f aca="false">IF(H803=TRUE(), "Holiday", IF(OR(I803=0, I803=6), "Weekend", "Weekday"))</f>
        <v>Weekend</v>
      </c>
      <c r="L803" s="35" t="str">
        <f aca="false">IF(AND(K803="Weekday", OR(AND(G803&gt;=7, G803&lt;=9), AND(G803&gt;=17, G803&lt;=19))), "Peak Commute", "Off-Peak")</f>
        <v>Off-Peak</v>
      </c>
      <c r="M803" s="37" t="n">
        <v>2</v>
      </c>
      <c r="N803" s="35" t="str">
        <f aca="false">VLOOKUP(M803, Lookups_Metadata!$G$4:$H$7, 2, FALSE())</f>
        <v>Mist / Cloudy</v>
      </c>
      <c r="O803" s="40" t="n">
        <v>0.24</v>
      </c>
      <c r="P803" s="40" t="n">
        <v>0.2121</v>
      </c>
      <c r="Q803" s="40" t="n">
        <f aca="false">IF(OR(P803="", ISBLANK(P803)), ROUND(0.9367*O803+0.0175, 4), P803)</f>
        <v>0.2121</v>
      </c>
      <c r="R803" s="35" t="str">
        <f aca="false">IF(OR(P803="", ISBLANK(P803)), "Imputed (Regression/Trend)", "Original")</f>
        <v>Original</v>
      </c>
      <c r="S803" s="40" t="n">
        <v>1</v>
      </c>
      <c r="T803" s="40" t="n">
        <v>0.2836</v>
      </c>
      <c r="U803" s="41" t="n">
        <v>14</v>
      </c>
      <c r="V803" s="41" t="n">
        <v>64</v>
      </c>
      <c r="W803" s="41" t="n">
        <f aca="false">U803+V803</f>
        <v>78</v>
      </c>
      <c r="X803" s="42" t="n">
        <f aca="false">U803/W803</f>
        <v>0.17948717948718</v>
      </c>
      <c r="Y803" s="42" t="n">
        <f aca="false">V803/W803</f>
        <v>0.820512820512821</v>
      </c>
      <c r="Z803" s="35" t="str">
        <f aca="false">IF(W803&gt;=150, "High Demand", IF(W803&gt;=50, "Moderate Demand", "Low Demand"))</f>
        <v>Moderate Demand</v>
      </c>
      <c r="AA803" s="39" t="str">
        <f aca="false">TEXT(G803, "00") &amp; ":00"</f>
        <v>17:00</v>
      </c>
      <c r="AB803" s="37" t="n">
        <f aca="false">YEAR(B803)</f>
        <v>2011</v>
      </c>
      <c r="AC803" s="35" t="str">
        <f aca="false">TEXT(B803, "mmmm")</f>
        <v>February</v>
      </c>
      <c r="AD803" s="37" t="n">
        <f aca="false">LEN(TEXT(B803, "YYYY-MM-DD"))</f>
        <v>10</v>
      </c>
      <c r="AE803" s="39" t="str">
        <f aca="false">LEFT(TEXT(B803, "YYYY-MM-DD"), 4)</f>
        <v>2011</v>
      </c>
      <c r="AF803" s="39" t="str">
        <f aca="false">RIGHT(TEXT(B803, "YYYY-MM-DD"), 2)</f>
        <v>05</v>
      </c>
    </row>
    <row r="804" customFormat="false" ht="15" hidden="false" customHeight="false" outlineLevel="0" collapsed="false">
      <c r="A804" s="43" t="n">
        <v>800</v>
      </c>
      <c r="B804" s="44" t="s">
        <v>119</v>
      </c>
      <c r="C804" s="43" t="n">
        <v>1</v>
      </c>
      <c r="D804" s="33" t="str">
        <f aca="false">VLOOKUP(C804, Lookups_Metadata!$A$4:$B$7, 2, FALSE())</f>
        <v>Spring</v>
      </c>
      <c r="E804" s="43" t="n">
        <v>0</v>
      </c>
      <c r="F804" s="43" t="n">
        <v>2</v>
      </c>
      <c r="G804" s="43" t="n">
        <v>18</v>
      </c>
      <c r="H804" s="45" t="b">
        <f aca="false">FALSE()</f>
        <v>0</v>
      </c>
      <c r="I804" s="43" t="n">
        <v>6</v>
      </c>
      <c r="J804" s="33" t="str">
        <f aca="false">INDEX(Lookups_Metadata!$E$4:$E$10, MATCH(I804, Lookups_Metadata!$D$4:$D$10, 0))</f>
        <v>Saturday</v>
      </c>
      <c r="K804" s="33" t="str">
        <f aca="false">IF(H804=TRUE(), "Holiday", IF(OR(I804=0, I804=6), "Weekend", "Weekday"))</f>
        <v>Weekend</v>
      </c>
      <c r="L804" s="33" t="str">
        <f aca="false">IF(AND(K804="Weekday", OR(AND(G804&gt;=7, G804&lt;=9), AND(G804&gt;=17, G804&lt;=19))), "Peak Commute", "Off-Peak")</f>
        <v>Off-Peak</v>
      </c>
      <c r="M804" s="43" t="n">
        <v>2</v>
      </c>
      <c r="N804" s="33" t="str">
        <f aca="false">VLOOKUP(M804, Lookups_Metadata!$G$4:$H$7, 2, FALSE())</f>
        <v>Mist / Cloudy</v>
      </c>
      <c r="O804" s="46" t="n">
        <v>0.28</v>
      </c>
      <c r="P804" s="46" t="n">
        <v>0.2424</v>
      </c>
      <c r="Q804" s="46" t="n">
        <f aca="false">IF(OR(P804="", ISBLANK(P804)), ROUND(0.9367*O804+0.0175, 4), P804)</f>
        <v>0.2424</v>
      </c>
      <c r="R804" s="33" t="str">
        <f aca="false">IF(OR(P804="", ISBLANK(P804)), "Imputed (Regression/Trend)", "Original")</f>
        <v>Original</v>
      </c>
      <c r="S804" s="46" t="n">
        <v>0.93</v>
      </c>
      <c r="T804" s="46" t="n">
        <v>0.4478</v>
      </c>
      <c r="U804" s="18" t="n">
        <v>2</v>
      </c>
      <c r="V804" s="18" t="n">
        <v>81</v>
      </c>
      <c r="W804" s="18" t="n">
        <f aca="false">U804+V804</f>
        <v>83</v>
      </c>
      <c r="X804" s="47" t="n">
        <f aca="false">U804/W804</f>
        <v>0.0240963855421687</v>
      </c>
      <c r="Y804" s="47" t="n">
        <f aca="false">V804/W804</f>
        <v>0.975903614457831</v>
      </c>
      <c r="Z804" s="33" t="str">
        <f aca="false">IF(W804&gt;=150, "High Demand", IF(W804&gt;=50, "Moderate Demand", "Low Demand"))</f>
        <v>Moderate Demand</v>
      </c>
      <c r="AA804" s="45" t="str">
        <f aca="false">TEXT(G804, "00") &amp; ":00"</f>
        <v>18:00</v>
      </c>
      <c r="AB804" s="43" t="n">
        <f aca="false">YEAR(B804)</f>
        <v>2011</v>
      </c>
      <c r="AC804" s="33" t="str">
        <f aca="false">TEXT(B804, "mmmm")</f>
        <v>February</v>
      </c>
      <c r="AD804" s="43" t="n">
        <f aca="false">LEN(TEXT(B804, "YYYY-MM-DD"))</f>
        <v>10</v>
      </c>
      <c r="AE804" s="45" t="str">
        <f aca="false">LEFT(TEXT(B804, "YYYY-MM-DD"), 4)</f>
        <v>2011</v>
      </c>
      <c r="AF804" s="45" t="str">
        <f aca="false">RIGHT(TEXT(B804, "YYYY-MM-DD"), 2)</f>
        <v>05</v>
      </c>
    </row>
    <row r="805" customFormat="false" ht="15" hidden="false" customHeight="false" outlineLevel="0" collapsed="false">
      <c r="A805" s="37" t="n">
        <v>801</v>
      </c>
      <c r="B805" s="38" t="s">
        <v>119</v>
      </c>
      <c r="C805" s="37" t="n">
        <v>1</v>
      </c>
      <c r="D805" s="35" t="str">
        <f aca="false">VLOOKUP(C805, Lookups_Metadata!$A$4:$B$7, 2, FALSE())</f>
        <v>Spring</v>
      </c>
      <c r="E805" s="37" t="n">
        <v>0</v>
      </c>
      <c r="F805" s="37" t="n">
        <v>2</v>
      </c>
      <c r="G805" s="37" t="n">
        <v>19</v>
      </c>
      <c r="H805" s="39" t="b">
        <f aca="false">FALSE()</f>
        <v>0</v>
      </c>
      <c r="I805" s="37" t="n">
        <v>6</v>
      </c>
      <c r="J805" s="35" t="str">
        <f aca="false">INDEX(Lookups_Metadata!$E$4:$E$10, MATCH(I805, Lookups_Metadata!$D$4:$D$10, 0))</f>
        <v>Saturday</v>
      </c>
      <c r="K805" s="35" t="str">
        <f aca="false">IF(H805=TRUE(), "Holiday", IF(OR(I805=0, I805=6), "Weekend", "Weekday"))</f>
        <v>Weekend</v>
      </c>
      <c r="L805" s="35" t="str">
        <f aca="false">IF(AND(K805="Weekday", OR(AND(G805&gt;=7, G805&lt;=9), AND(G805&gt;=17, G805&lt;=19))), "Peak Commute", "Off-Peak")</f>
        <v>Off-Peak</v>
      </c>
      <c r="M805" s="37" t="n">
        <v>2</v>
      </c>
      <c r="N805" s="35" t="str">
        <f aca="false">VLOOKUP(M805, Lookups_Metadata!$G$4:$H$7, 2, FALSE())</f>
        <v>Mist / Cloudy</v>
      </c>
      <c r="O805" s="40" t="n">
        <v>0.28</v>
      </c>
      <c r="P805" s="40" t="n">
        <v>0.2424</v>
      </c>
      <c r="Q805" s="40" t="n">
        <f aca="false">IF(OR(P805="", ISBLANK(P805)), ROUND(0.9367*O805+0.0175, 4), P805)</f>
        <v>0.2424</v>
      </c>
      <c r="R805" s="35" t="str">
        <f aca="false">IF(OR(P805="", ISBLANK(P805)), "Imputed (Regression/Trend)", "Original")</f>
        <v>Original</v>
      </c>
      <c r="S805" s="40" t="n">
        <v>0.93</v>
      </c>
      <c r="T805" s="40" t="n">
        <v>0.4478</v>
      </c>
      <c r="U805" s="41" t="n">
        <v>6</v>
      </c>
      <c r="V805" s="41" t="n">
        <v>78</v>
      </c>
      <c r="W805" s="41" t="n">
        <f aca="false">U805+V805</f>
        <v>84</v>
      </c>
      <c r="X805" s="42" t="n">
        <f aca="false">U805/W805</f>
        <v>0.0714285714285714</v>
      </c>
      <c r="Y805" s="42" t="n">
        <f aca="false">V805/W805</f>
        <v>0.928571428571429</v>
      </c>
      <c r="Z805" s="35" t="str">
        <f aca="false">IF(W805&gt;=150, "High Demand", IF(W805&gt;=50, "Moderate Demand", "Low Demand"))</f>
        <v>Moderate Demand</v>
      </c>
      <c r="AA805" s="39" t="str">
        <f aca="false">TEXT(G805, "00") &amp; ":00"</f>
        <v>19:00</v>
      </c>
      <c r="AB805" s="37" t="n">
        <f aca="false">YEAR(B805)</f>
        <v>2011</v>
      </c>
      <c r="AC805" s="35" t="str">
        <f aca="false">TEXT(B805, "mmmm")</f>
        <v>February</v>
      </c>
      <c r="AD805" s="37" t="n">
        <f aca="false">LEN(TEXT(B805, "YYYY-MM-DD"))</f>
        <v>10</v>
      </c>
      <c r="AE805" s="39" t="str">
        <f aca="false">LEFT(TEXT(B805, "YYYY-MM-DD"), 4)</f>
        <v>2011</v>
      </c>
      <c r="AF805" s="39" t="str">
        <f aca="false">RIGHT(TEXT(B805, "YYYY-MM-DD"), 2)</f>
        <v>05</v>
      </c>
    </row>
    <row r="806" customFormat="false" ht="15" hidden="false" customHeight="false" outlineLevel="0" collapsed="false">
      <c r="A806" s="43" t="n">
        <v>802</v>
      </c>
      <c r="B806" s="44" t="s">
        <v>119</v>
      </c>
      <c r="C806" s="43" t="n">
        <v>1</v>
      </c>
      <c r="D806" s="33" t="str">
        <f aca="false">VLOOKUP(C806, Lookups_Metadata!$A$4:$B$7, 2, FALSE())</f>
        <v>Spring</v>
      </c>
      <c r="E806" s="43" t="n">
        <v>0</v>
      </c>
      <c r="F806" s="43" t="n">
        <v>2</v>
      </c>
      <c r="G806" s="43" t="n">
        <v>20</v>
      </c>
      <c r="H806" s="45" t="b">
        <f aca="false">FALSE()</f>
        <v>0</v>
      </c>
      <c r="I806" s="43" t="n">
        <v>6</v>
      </c>
      <c r="J806" s="33" t="str">
        <f aca="false">INDEX(Lookups_Metadata!$E$4:$E$10, MATCH(I806, Lookups_Metadata!$D$4:$D$10, 0))</f>
        <v>Saturday</v>
      </c>
      <c r="K806" s="33" t="str">
        <f aca="false">IF(H806=TRUE(), "Holiday", IF(OR(I806=0, I806=6), "Weekend", "Weekday"))</f>
        <v>Weekend</v>
      </c>
      <c r="L806" s="33" t="str">
        <f aca="false">IF(AND(K806="Weekday", OR(AND(G806&gt;=7, G806&lt;=9), AND(G806&gt;=17, G806&lt;=19))), "Peak Commute", "Off-Peak")</f>
        <v>Off-Peak</v>
      </c>
      <c r="M806" s="43" t="n">
        <v>1</v>
      </c>
      <c r="N806" s="33" t="str">
        <f aca="false">VLOOKUP(M806, Lookups_Metadata!$G$4:$H$7, 2, FALSE())</f>
        <v>Clear / Few Clouds</v>
      </c>
      <c r="O806" s="46" t="n">
        <v>0.3</v>
      </c>
      <c r="P806" s="46" t="n">
        <v>0.2879</v>
      </c>
      <c r="Q806" s="46" t="n">
        <f aca="false">IF(OR(P806="", ISBLANK(P806)), ROUND(0.9367*O806+0.0175, 4), P806)</f>
        <v>0.2879</v>
      </c>
      <c r="R806" s="33" t="str">
        <f aca="false">IF(OR(P806="", ISBLANK(P806)), "Imputed (Regression/Trend)", "Original")</f>
        <v>Original</v>
      </c>
      <c r="S806" s="46" t="n">
        <v>0.87</v>
      </c>
      <c r="T806" s="46" t="n">
        <v>0.2537</v>
      </c>
      <c r="U806" s="18" t="n">
        <v>5</v>
      </c>
      <c r="V806" s="18" t="n">
        <v>64</v>
      </c>
      <c r="W806" s="18" t="n">
        <f aca="false">U806+V806</f>
        <v>69</v>
      </c>
      <c r="X806" s="47" t="n">
        <f aca="false">U806/W806</f>
        <v>0.072463768115942</v>
      </c>
      <c r="Y806" s="47" t="n">
        <f aca="false">V806/W806</f>
        <v>0.927536231884058</v>
      </c>
      <c r="Z806" s="33" t="str">
        <f aca="false">IF(W806&gt;=150, "High Demand", IF(W806&gt;=50, "Moderate Demand", "Low Demand"))</f>
        <v>Moderate Demand</v>
      </c>
      <c r="AA806" s="45" t="str">
        <f aca="false">TEXT(G806, "00") &amp; ":00"</f>
        <v>20:00</v>
      </c>
      <c r="AB806" s="43" t="n">
        <f aca="false">YEAR(B806)</f>
        <v>2011</v>
      </c>
      <c r="AC806" s="33" t="str">
        <f aca="false">TEXT(B806, "mmmm")</f>
        <v>February</v>
      </c>
      <c r="AD806" s="43" t="n">
        <f aca="false">LEN(TEXT(B806, "YYYY-MM-DD"))</f>
        <v>10</v>
      </c>
      <c r="AE806" s="45" t="str">
        <f aca="false">LEFT(TEXT(B806, "YYYY-MM-DD"), 4)</f>
        <v>2011</v>
      </c>
      <c r="AF806" s="45" t="str">
        <f aca="false">RIGHT(TEXT(B806, "YYYY-MM-DD"), 2)</f>
        <v>05</v>
      </c>
    </row>
    <row r="807" customFormat="false" ht="15" hidden="false" customHeight="false" outlineLevel="0" collapsed="false">
      <c r="A807" s="37" t="n">
        <v>803</v>
      </c>
      <c r="B807" s="38" t="s">
        <v>119</v>
      </c>
      <c r="C807" s="37" t="n">
        <v>1</v>
      </c>
      <c r="D807" s="35" t="str">
        <f aca="false">VLOOKUP(C807, Lookups_Metadata!$A$4:$B$7, 2, FALSE())</f>
        <v>Spring</v>
      </c>
      <c r="E807" s="37" t="n">
        <v>0</v>
      </c>
      <c r="F807" s="37" t="n">
        <v>2</v>
      </c>
      <c r="G807" s="37" t="n">
        <v>21</v>
      </c>
      <c r="H807" s="39" t="b">
        <f aca="false">FALSE()</f>
        <v>0</v>
      </c>
      <c r="I807" s="37" t="n">
        <v>6</v>
      </c>
      <c r="J807" s="35" t="str">
        <f aca="false">INDEX(Lookups_Metadata!$E$4:$E$10, MATCH(I807, Lookups_Metadata!$D$4:$D$10, 0))</f>
        <v>Saturday</v>
      </c>
      <c r="K807" s="35" t="str">
        <f aca="false">IF(H807=TRUE(), "Holiday", IF(OR(I807=0, I807=6), "Weekend", "Weekday"))</f>
        <v>Weekend</v>
      </c>
      <c r="L807" s="35" t="str">
        <f aca="false">IF(AND(K807="Weekday", OR(AND(G807&gt;=7, G807&lt;=9), AND(G807&gt;=17, G807&lt;=19))), "Peak Commute", "Off-Peak")</f>
        <v>Off-Peak</v>
      </c>
      <c r="M807" s="37" t="n">
        <v>1</v>
      </c>
      <c r="N807" s="35" t="str">
        <f aca="false">VLOOKUP(M807, Lookups_Metadata!$G$4:$H$7, 2, FALSE())</f>
        <v>Clear / Few Clouds</v>
      </c>
      <c r="O807" s="40" t="n">
        <v>0.26</v>
      </c>
      <c r="P807" s="40" t="n">
        <v>0.2576</v>
      </c>
      <c r="Q807" s="40" t="n">
        <f aca="false">IF(OR(P807="", ISBLANK(P807)), ROUND(0.9367*O807+0.0175, 4), P807)</f>
        <v>0.2576</v>
      </c>
      <c r="R807" s="35" t="str">
        <f aca="false">IF(OR(P807="", ISBLANK(P807)), "Imputed (Regression/Trend)", "Original")</f>
        <v>Original</v>
      </c>
      <c r="S807" s="40" t="n">
        <v>1</v>
      </c>
      <c r="T807" s="40" t="n">
        <v>0.194</v>
      </c>
      <c r="U807" s="41" t="n">
        <v>3</v>
      </c>
      <c r="V807" s="41" t="n">
        <v>53</v>
      </c>
      <c r="W807" s="41" t="n">
        <f aca="false">U807+V807</f>
        <v>56</v>
      </c>
      <c r="X807" s="42" t="n">
        <f aca="false">U807/W807</f>
        <v>0.0535714285714286</v>
      </c>
      <c r="Y807" s="42" t="n">
        <f aca="false">V807/W807</f>
        <v>0.946428571428571</v>
      </c>
      <c r="Z807" s="35" t="str">
        <f aca="false">IF(W807&gt;=150, "High Demand", IF(W807&gt;=50, "Moderate Demand", "Low Demand"))</f>
        <v>Moderate Demand</v>
      </c>
      <c r="AA807" s="39" t="str">
        <f aca="false">TEXT(G807, "00") &amp; ":00"</f>
        <v>21:00</v>
      </c>
      <c r="AB807" s="37" t="n">
        <f aca="false">YEAR(B807)</f>
        <v>2011</v>
      </c>
      <c r="AC807" s="35" t="str">
        <f aca="false">TEXT(B807, "mmmm")</f>
        <v>February</v>
      </c>
      <c r="AD807" s="37" t="n">
        <f aca="false">LEN(TEXT(B807, "YYYY-MM-DD"))</f>
        <v>10</v>
      </c>
      <c r="AE807" s="39" t="str">
        <f aca="false">LEFT(TEXT(B807, "YYYY-MM-DD"), 4)</f>
        <v>2011</v>
      </c>
      <c r="AF807" s="39" t="str">
        <f aca="false">RIGHT(TEXT(B807, "YYYY-MM-DD"), 2)</f>
        <v>05</v>
      </c>
    </row>
    <row r="808" customFormat="false" ht="15" hidden="false" customHeight="false" outlineLevel="0" collapsed="false">
      <c r="A808" s="43" t="n">
        <v>804</v>
      </c>
      <c r="B808" s="44" t="s">
        <v>119</v>
      </c>
      <c r="C808" s="43" t="n">
        <v>1</v>
      </c>
      <c r="D808" s="33" t="str">
        <f aca="false">VLOOKUP(C808, Lookups_Metadata!$A$4:$B$7, 2, FALSE())</f>
        <v>Spring</v>
      </c>
      <c r="E808" s="43" t="n">
        <v>0</v>
      </c>
      <c r="F808" s="43" t="n">
        <v>2</v>
      </c>
      <c r="G808" s="43" t="n">
        <v>22</v>
      </c>
      <c r="H808" s="45" t="b">
        <f aca="false">FALSE()</f>
        <v>0</v>
      </c>
      <c r="I808" s="43" t="n">
        <v>6</v>
      </c>
      <c r="J808" s="33" t="str">
        <f aca="false">INDEX(Lookups_Metadata!$E$4:$E$10, MATCH(I808, Lookups_Metadata!$D$4:$D$10, 0))</f>
        <v>Saturday</v>
      </c>
      <c r="K808" s="33" t="str">
        <f aca="false">IF(H808=TRUE(), "Holiday", IF(OR(I808=0, I808=6), "Weekend", "Weekday"))</f>
        <v>Weekend</v>
      </c>
      <c r="L808" s="33" t="str">
        <f aca="false">IF(AND(K808="Weekday", OR(AND(G808&gt;=7, G808&lt;=9), AND(G808&gt;=17, G808&lt;=19))), "Peak Commute", "Off-Peak")</f>
        <v>Off-Peak</v>
      </c>
      <c r="M808" s="43" t="n">
        <v>1</v>
      </c>
      <c r="N808" s="33" t="str">
        <f aca="false">VLOOKUP(M808, Lookups_Metadata!$G$4:$H$7, 2, FALSE())</f>
        <v>Clear / Few Clouds</v>
      </c>
      <c r="O808" s="46" t="n">
        <v>0.26</v>
      </c>
      <c r="P808" s="46" t="n">
        <v>0.2727</v>
      </c>
      <c r="Q808" s="46" t="n">
        <f aca="false">IF(OR(P808="", ISBLANK(P808)), ROUND(0.9367*O808+0.0175, 4), P808)</f>
        <v>0.2727</v>
      </c>
      <c r="R808" s="33" t="str">
        <f aca="false">IF(OR(P808="", ISBLANK(P808)), "Imputed (Regression/Trend)", "Original")</f>
        <v>Original</v>
      </c>
      <c r="S808" s="46" t="n">
        <v>0.93</v>
      </c>
      <c r="T808" s="46" t="n">
        <v>0.1343</v>
      </c>
      <c r="U808" s="18" t="n">
        <v>2</v>
      </c>
      <c r="V808" s="18" t="n">
        <v>43</v>
      </c>
      <c r="W808" s="18" t="n">
        <f aca="false">U808+V808</f>
        <v>45</v>
      </c>
      <c r="X808" s="47" t="n">
        <f aca="false">U808/W808</f>
        <v>0.0444444444444444</v>
      </c>
      <c r="Y808" s="47" t="n">
        <f aca="false">V808/W808</f>
        <v>0.955555555555556</v>
      </c>
      <c r="Z808" s="33" t="str">
        <f aca="false">IF(W808&gt;=150, "High Demand", IF(W808&gt;=50, "Moderate Demand", "Low Demand"))</f>
        <v>Low Demand</v>
      </c>
      <c r="AA808" s="45" t="str">
        <f aca="false">TEXT(G808, "00") &amp; ":00"</f>
        <v>22:00</v>
      </c>
      <c r="AB808" s="43" t="n">
        <f aca="false">YEAR(B808)</f>
        <v>2011</v>
      </c>
      <c r="AC808" s="33" t="str">
        <f aca="false">TEXT(B808, "mmmm")</f>
        <v>February</v>
      </c>
      <c r="AD808" s="43" t="n">
        <f aca="false">LEN(TEXT(B808, "YYYY-MM-DD"))</f>
        <v>10</v>
      </c>
      <c r="AE808" s="45" t="str">
        <f aca="false">LEFT(TEXT(B808, "YYYY-MM-DD"), 4)</f>
        <v>2011</v>
      </c>
      <c r="AF808" s="45" t="str">
        <f aca="false">RIGHT(TEXT(B808, "YYYY-MM-DD"), 2)</f>
        <v>05</v>
      </c>
    </row>
    <row r="809" customFormat="false" ht="15" hidden="false" customHeight="false" outlineLevel="0" collapsed="false">
      <c r="A809" s="37" t="n">
        <v>805</v>
      </c>
      <c r="B809" s="38" t="s">
        <v>119</v>
      </c>
      <c r="C809" s="37" t="n">
        <v>1</v>
      </c>
      <c r="D809" s="35" t="str">
        <f aca="false">VLOOKUP(C809, Lookups_Metadata!$A$4:$B$7, 2, FALSE())</f>
        <v>Spring</v>
      </c>
      <c r="E809" s="37" t="n">
        <v>0</v>
      </c>
      <c r="F809" s="37" t="n">
        <v>2</v>
      </c>
      <c r="G809" s="37" t="n">
        <v>23</v>
      </c>
      <c r="H809" s="39" t="b">
        <f aca="false">FALSE()</f>
        <v>0</v>
      </c>
      <c r="I809" s="37" t="n">
        <v>6</v>
      </c>
      <c r="J809" s="35" t="str">
        <f aca="false">INDEX(Lookups_Metadata!$E$4:$E$10, MATCH(I809, Lookups_Metadata!$D$4:$D$10, 0))</f>
        <v>Saturday</v>
      </c>
      <c r="K809" s="35" t="str">
        <f aca="false">IF(H809=TRUE(), "Holiday", IF(OR(I809=0, I809=6), "Weekend", "Weekday"))</f>
        <v>Weekend</v>
      </c>
      <c r="L809" s="35" t="str">
        <f aca="false">IF(AND(K809="Weekday", OR(AND(G809&gt;=7, G809&lt;=9), AND(G809&gt;=17, G809&lt;=19))), "Peak Commute", "Off-Peak")</f>
        <v>Off-Peak</v>
      </c>
      <c r="M809" s="37" t="n">
        <v>1</v>
      </c>
      <c r="N809" s="35" t="str">
        <f aca="false">VLOOKUP(M809, Lookups_Metadata!$G$4:$H$7, 2, FALSE())</f>
        <v>Clear / Few Clouds</v>
      </c>
      <c r="O809" s="40" t="n">
        <v>0.26</v>
      </c>
      <c r="P809" s="40" t="n">
        <v>0.2576</v>
      </c>
      <c r="Q809" s="40" t="n">
        <f aca="false">IF(OR(P809="", ISBLANK(P809)), ROUND(0.9367*O809+0.0175, 4), P809)</f>
        <v>0.2576</v>
      </c>
      <c r="R809" s="35" t="str">
        <f aca="false">IF(OR(P809="", ISBLANK(P809)), "Imputed (Regression/Trend)", "Original")</f>
        <v>Original</v>
      </c>
      <c r="S809" s="40" t="n">
        <v>0.93</v>
      </c>
      <c r="T809" s="40" t="n">
        <v>0.2239</v>
      </c>
      <c r="U809" s="41" t="n">
        <v>7</v>
      </c>
      <c r="V809" s="41" t="n">
        <v>52</v>
      </c>
      <c r="W809" s="41" t="n">
        <f aca="false">U809+V809</f>
        <v>59</v>
      </c>
      <c r="X809" s="42" t="n">
        <f aca="false">U809/W809</f>
        <v>0.11864406779661</v>
      </c>
      <c r="Y809" s="42" t="n">
        <f aca="false">V809/W809</f>
        <v>0.88135593220339</v>
      </c>
      <c r="Z809" s="35" t="str">
        <f aca="false">IF(W809&gt;=150, "High Demand", IF(W809&gt;=50, "Moderate Demand", "Low Demand"))</f>
        <v>Moderate Demand</v>
      </c>
      <c r="AA809" s="39" t="str">
        <f aca="false">TEXT(G809, "00") &amp; ":00"</f>
        <v>23:00</v>
      </c>
      <c r="AB809" s="37" t="n">
        <f aca="false">YEAR(B809)</f>
        <v>2011</v>
      </c>
      <c r="AC809" s="35" t="str">
        <f aca="false">TEXT(B809, "mmmm")</f>
        <v>February</v>
      </c>
      <c r="AD809" s="37" t="n">
        <f aca="false">LEN(TEXT(B809, "YYYY-MM-DD"))</f>
        <v>10</v>
      </c>
      <c r="AE809" s="39" t="str">
        <f aca="false">LEFT(TEXT(B809, "YYYY-MM-DD"), 4)</f>
        <v>2011</v>
      </c>
      <c r="AF809" s="39" t="str">
        <f aca="false">RIGHT(TEXT(B809, "YYYY-MM-DD"), 2)</f>
        <v>05</v>
      </c>
    </row>
    <row r="810" customFormat="false" ht="15" hidden="false" customHeight="false" outlineLevel="0" collapsed="false">
      <c r="A810" s="43" t="n">
        <v>806</v>
      </c>
      <c r="B810" s="44" t="s">
        <v>120</v>
      </c>
      <c r="C810" s="43" t="n">
        <v>1</v>
      </c>
      <c r="D810" s="33" t="str">
        <f aca="false">VLOOKUP(C810, Lookups_Metadata!$A$4:$B$7, 2, FALSE())</f>
        <v>Spring</v>
      </c>
      <c r="E810" s="43" t="n">
        <v>0</v>
      </c>
      <c r="F810" s="43" t="n">
        <v>2</v>
      </c>
      <c r="G810" s="43" t="n">
        <v>0</v>
      </c>
      <c r="H810" s="45" t="b">
        <f aca="false">FALSE()</f>
        <v>0</v>
      </c>
      <c r="I810" s="43" t="n">
        <v>0</v>
      </c>
      <c r="J810" s="33" t="str">
        <f aca="false">INDEX(Lookups_Metadata!$E$4:$E$10, MATCH(I810, Lookups_Metadata!$D$4:$D$10, 0))</f>
        <v>Sunday</v>
      </c>
      <c r="K810" s="33" t="str">
        <f aca="false">IF(H810=TRUE(), "Holiday", IF(OR(I810=0, I810=6), "Weekend", "Weekday"))</f>
        <v>Weekend</v>
      </c>
      <c r="L810" s="33" t="str">
        <f aca="false">IF(AND(K810="Weekday", OR(AND(G810&gt;=7, G810&lt;=9), AND(G810&gt;=17, G810&lt;=19))), "Peak Commute", "Off-Peak")</f>
        <v>Off-Peak</v>
      </c>
      <c r="M810" s="43" t="n">
        <v>1</v>
      </c>
      <c r="N810" s="33" t="str">
        <f aca="false">VLOOKUP(M810, Lookups_Metadata!$G$4:$H$7, 2, FALSE())</f>
        <v>Clear / Few Clouds</v>
      </c>
      <c r="O810" s="46" t="n">
        <v>0.26</v>
      </c>
      <c r="P810" s="46" t="n">
        <v>0.2576</v>
      </c>
      <c r="Q810" s="46" t="n">
        <f aca="false">IF(OR(P810="", ISBLANK(P810)), ROUND(0.9367*O810+0.0175, 4), P810)</f>
        <v>0.2576</v>
      </c>
      <c r="R810" s="33" t="str">
        <f aca="false">IF(OR(P810="", ISBLANK(P810)), "Imputed (Regression/Trend)", "Original")</f>
        <v>Original</v>
      </c>
      <c r="S810" s="46" t="n">
        <v>0.7</v>
      </c>
      <c r="T810" s="46" t="n">
        <v>0.194</v>
      </c>
      <c r="U810" s="18" t="n">
        <v>2</v>
      </c>
      <c r="V810" s="18" t="n">
        <v>37</v>
      </c>
      <c r="W810" s="18" t="n">
        <f aca="false">U810+V810</f>
        <v>39</v>
      </c>
      <c r="X810" s="47" t="n">
        <f aca="false">U810/W810</f>
        <v>0.0512820512820513</v>
      </c>
      <c r="Y810" s="47" t="n">
        <f aca="false">V810/W810</f>
        <v>0.948717948717949</v>
      </c>
      <c r="Z810" s="33" t="str">
        <f aca="false">IF(W810&gt;=150, "High Demand", IF(W810&gt;=50, "Moderate Demand", "Low Demand"))</f>
        <v>Low Demand</v>
      </c>
      <c r="AA810" s="45" t="str">
        <f aca="false">TEXT(G810, "00") &amp; ":00"</f>
        <v>00:00</v>
      </c>
      <c r="AB810" s="43" t="n">
        <f aca="false">YEAR(B810)</f>
        <v>2011</v>
      </c>
      <c r="AC810" s="33" t="str">
        <f aca="false">TEXT(B810, "mmmm")</f>
        <v>February</v>
      </c>
      <c r="AD810" s="43" t="n">
        <f aca="false">LEN(TEXT(B810, "YYYY-MM-DD"))</f>
        <v>10</v>
      </c>
      <c r="AE810" s="45" t="str">
        <f aca="false">LEFT(TEXT(B810, "YYYY-MM-DD"), 4)</f>
        <v>2011</v>
      </c>
      <c r="AF810" s="45" t="str">
        <f aca="false">RIGHT(TEXT(B810, "YYYY-MM-DD"), 2)</f>
        <v>06</v>
      </c>
    </row>
    <row r="811" customFormat="false" ht="15" hidden="false" customHeight="false" outlineLevel="0" collapsed="false">
      <c r="A811" s="37" t="n">
        <v>807</v>
      </c>
      <c r="B811" s="38" t="s">
        <v>120</v>
      </c>
      <c r="C811" s="37" t="n">
        <v>1</v>
      </c>
      <c r="D811" s="35" t="str">
        <f aca="false">VLOOKUP(C811, Lookups_Metadata!$A$4:$B$7, 2, FALSE())</f>
        <v>Spring</v>
      </c>
      <c r="E811" s="37" t="n">
        <v>0</v>
      </c>
      <c r="F811" s="37" t="n">
        <v>2</v>
      </c>
      <c r="G811" s="37" t="n">
        <v>1</v>
      </c>
      <c r="H811" s="39" t="b">
        <f aca="false">FALSE()</f>
        <v>0</v>
      </c>
      <c r="I811" s="37" t="n">
        <v>0</v>
      </c>
      <c r="J811" s="35" t="str">
        <f aca="false">INDEX(Lookups_Metadata!$E$4:$E$10, MATCH(I811, Lookups_Metadata!$D$4:$D$10, 0))</f>
        <v>Sunday</v>
      </c>
      <c r="K811" s="35" t="str">
        <f aca="false">IF(H811=TRUE(), "Holiday", IF(OR(I811=0, I811=6), "Weekend", "Weekday"))</f>
        <v>Weekend</v>
      </c>
      <c r="L811" s="35" t="str">
        <f aca="false">IF(AND(K811="Weekday", OR(AND(G811&gt;=7, G811&lt;=9), AND(G811&gt;=17, G811&lt;=19))), "Peak Commute", "Off-Peak")</f>
        <v>Off-Peak</v>
      </c>
      <c r="M811" s="37" t="n">
        <v>1</v>
      </c>
      <c r="N811" s="35" t="str">
        <f aca="false">VLOOKUP(M811, Lookups_Metadata!$G$4:$H$7, 2, FALSE())</f>
        <v>Clear / Few Clouds</v>
      </c>
      <c r="O811" s="40" t="n">
        <v>0.26</v>
      </c>
      <c r="P811" s="40" t="n">
        <v>0.2273</v>
      </c>
      <c r="Q811" s="40" t="n">
        <f aca="false">IF(OR(P811="", ISBLANK(P811)), ROUND(0.9367*O811+0.0175, 4), P811)</f>
        <v>0.2273</v>
      </c>
      <c r="R811" s="35" t="str">
        <f aca="false">IF(OR(P811="", ISBLANK(P811)), "Imputed (Regression/Trend)", "Original")</f>
        <v>Original</v>
      </c>
      <c r="S811" s="40" t="n">
        <v>0.65</v>
      </c>
      <c r="T811" s="40" t="n">
        <v>0.4179</v>
      </c>
      <c r="U811" s="41" t="n">
        <v>4</v>
      </c>
      <c r="V811" s="41" t="n">
        <v>40</v>
      </c>
      <c r="W811" s="41" t="n">
        <f aca="false">U811+V811</f>
        <v>44</v>
      </c>
      <c r="X811" s="42" t="n">
        <f aca="false">U811/W811</f>
        <v>0.0909090909090909</v>
      </c>
      <c r="Y811" s="42" t="n">
        <f aca="false">V811/W811</f>
        <v>0.909090909090909</v>
      </c>
      <c r="Z811" s="35" t="str">
        <f aca="false">IF(W811&gt;=150, "High Demand", IF(W811&gt;=50, "Moderate Demand", "Low Demand"))</f>
        <v>Low Demand</v>
      </c>
      <c r="AA811" s="39" t="str">
        <f aca="false">TEXT(G811, "00") &amp; ":00"</f>
        <v>01:00</v>
      </c>
      <c r="AB811" s="37" t="n">
        <f aca="false">YEAR(B811)</f>
        <v>2011</v>
      </c>
      <c r="AC811" s="35" t="str">
        <f aca="false">TEXT(B811, "mmmm")</f>
        <v>February</v>
      </c>
      <c r="AD811" s="37" t="n">
        <f aca="false">LEN(TEXT(B811, "YYYY-MM-DD"))</f>
        <v>10</v>
      </c>
      <c r="AE811" s="39" t="str">
        <f aca="false">LEFT(TEXT(B811, "YYYY-MM-DD"), 4)</f>
        <v>2011</v>
      </c>
      <c r="AF811" s="39" t="str">
        <f aca="false">RIGHT(TEXT(B811, "YYYY-MM-DD"), 2)</f>
        <v>06</v>
      </c>
    </row>
    <row r="812" customFormat="false" ht="15" hidden="false" customHeight="false" outlineLevel="0" collapsed="false">
      <c r="A812" s="43" t="n">
        <v>808</v>
      </c>
      <c r="B812" s="44" t="s">
        <v>120</v>
      </c>
      <c r="C812" s="43" t="n">
        <v>1</v>
      </c>
      <c r="D812" s="33" t="str">
        <f aca="false">VLOOKUP(C812, Lookups_Metadata!$A$4:$B$7, 2, FALSE())</f>
        <v>Spring</v>
      </c>
      <c r="E812" s="43" t="n">
        <v>0</v>
      </c>
      <c r="F812" s="43" t="n">
        <v>2</v>
      </c>
      <c r="G812" s="43" t="n">
        <v>2</v>
      </c>
      <c r="H812" s="45" t="b">
        <f aca="false">FALSE()</f>
        <v>0</v>
      </c>
      <c r="I812" s="43" t="n">
        <v>0</v>
      </c>
      <c r="J812" s="33" t="str">
        <f aca="false">INDEX(Lookups_Metadata!$E$4:$E$10, MATCH(I812, Lookups_Metadata!$D$4:$D$10, 0))</f>
        <v>Sunday</v>
      </c>
      <c r="K812" s="33" t="str">
        <f aca="false">IF(H812=TRUE(), "Holiday", IF(OR(I812=0, I812=6), "Weekend", "Weekday"))</f>
        <v>Weekend</v>
      </c>
      <c r="L812" s="33" t="str">
        <f aca="false">IF(AND(K812="Weekday", OR(AND(G812&gt;=7, G812&lt;=9), AND(G812&gt;=17, G812&lt;=19))), "Peak Commute", "Off-Peak")</f>
        <v>Off-Peak</v>
      </c>
      <c r="M812" s="43" t="n">
        <v>1</v>
      </c>
      <c r="N812" s="33" t="str">
        <f aca="false">VLOOKUP(M812, Lookups_Metadata!$G$4:$H$7, 2, FALSE())</f>
        <v>Clear / Few Clouds</v>
      </c>
      <c r="O812" s="46" t="n">
        <v>0.26</v>
      </c>
      <c r="P812" s="46" t="n">
        <v>0.2273</v>
      </c>
      <c r="Q812" s="46" t="n">
        <f aca="false">IF(OR(P812="", ISBLANK(P812)), ROUND(0.9367*O812+0.0175, 4), P812)</f>
        <v>0.2273</v>
      </c>
      <c r="R812" s="33" t="str">
        <f aca="false">IF(OR(P812="", ISBLANK(P812)), "Imputed (Regression/Trend)", "Original")</f>
        <v>Original</v>
      </c>
      <c r="S812" s="46" t="n">
        <v>0.6</v>
      </c>
      <c r="T812" s="46" t="n">
        <v>0.3284</v>
      </c>
      <c r="U812" s="18" t="n">
        <v>0</v>
      </c>
      <c r="V812" s="18" t="n">
        <v>20</v>
      </c>
      <c r="W812" s="18" t="n">
        <f aca="false">U812+V812</f>
        <v>20</v>
      </c>
      <c r="X812" s="47" t="n">
        <f aca="false">U812/W812</f>
        <v>0</v>
      </c>
      <c r="Y812" s="47" t="n">
        <f aca="false">V812/W812</f>
        <v>1</v>
      </c>
      <c r="Z812" s="33" t="str">
        <f aca="false">IF(W812&gt;=150, "High Demand", IF(W812&gt;=50, "Moderate Demand", "Low Demand"))</f>
        <v>Low Demand</v>
      </c>
      <c r="AA812" s="45" t="str">
        <f aca="false">TEXT(G812, "00") &amp; ":00"</f>
        <v>02:00</v>
      </c>
      <c r="AB812" s="43" t="n">
        <f aca="false">YEAR(B812)</f>
        <v>2011</v>
      </c>
      <c r="AC812" s="33" t="str">
        <f aca="false">TEXT(B812, "mmmm")</f>
        <v>February</v>
      </c>
      <c r="AD812" s="43" t="n">
        <f aca="false">LEN(TEXT(B812, "YYYY-MM-DD"))</f>
        <v>10</v>
      </c>
      <c r="AE812" s="45" t="str">
        <f aca="false">LEFT(TEXT(B812, "YYYY-MM-DD"), 4)</f>
        <v>2011</v>
      </c>
      <c r="AF812" s="45" t="str">
        <f aca="false">RIGHT(TEXT(B812, "YYYY-MM-DD"), 2)</f>
        <v>06</v>
      </c>
    </row>
    <row r="813" customFormat="false" ht="15" hidden="false" customHeight="false" outlineLevel="0" collapsed="false">
      <c r="A813" s="37" t="n">
        <v>809</v>
      </c>
      <c r="B813" s="38" t="s">
        <v>120</v>
      </c>
      <c r="C813" s="37" t="n">
        <v>1</v>
      </c>
      <c r="D813" s="35" t="str">
        <f aca="false">VLOOKUP(C813, Lookups_Metadata!$A$4:$B$7, 2, FALSE())</f>
        <v>Spring</v>
      </c>
      <c r="E813" s="37" t="n">
        <v>0</v>
      </c>
      <c r="F813" s="37" t="n">
        <v>2</v>
      </c>
      <c r="G813" s="37" t="n">
        <v>3</v>
      </c>
      <c r="H813" s="39" t="b">
        <f aca="false">FALSE()</f>
        <v>0</v>
      </c>
      <c r="I813" s="37" t="n">
        <v>0</v>
      </c>
      <c r="J813" s="35" t="str">
        <f aca="false">INDEX(Lookups_Metadata!$E$4:$E$10, MATCH(I813, Lookups_Metadata!$D$4:$D$10, 0))</f>
        <v>Sunday</v>
      </c>
      <c r="K813" s="35" t="str">
        <f aca="false">IF(H813=TRUE(), "Holiday", IF(OR(I813=0, I813=6), "Weekend", "Weekday"))</f>
        <v>Weekend</v>
      </c>
      <c r="L813" s="35" t="str">
        <f aca="false">IF(AND(K813="Weekday", OR(AND(G813&gt;=7, G813&lt;=9), AND(G813&gt;=17, G813&lt;=19))), "Peak Commute", "Off-Peak")</f>
        <v>Off-Peak</v>
      </c>
      <c r="M813" s="37" t="n">
        <v>1</v>
      </c>
      <c r="N813" s="35" t="str">
        <f aca="false">VLOOKUP(M813, Lookups_Metadata!$G$4:$H$7, 2, FALSE())</f>
        <v>Clear / Few Clouds</v>
      </c>
      <c r="O813" s="40" t="n">
        <v>0.26</v>
      </c>
      <c r="P813" s="40" t="n">
        <v>0.2879</v>
      </c>
      <c r="Q813" s="40" t="n">
        <f aca="false">IF(OR(P813="", ISBLANK(P813)), ROUND(0.9367*O813+0.0175, 4), P813)</f>
        <v>0.2879</v>
      </c>
      <c r="R813" s="35" t="str">
        <f aca="false">IF(OR(P813="", ISBLANK(P813)), "Imputed (Regression/Trend)", "Original")</f>
        <v>Original</v>
      </c>
      <c r="S813" s="40" t="n">
        <v>0.6</v>
      </c>
      <c r="T813" s="40" t="n">
        <v>0.0896</v>
      </c>
      <c r="U813" s="41" t="n">
        <v>3</v>
      </c>
      <c r="V813" s="41" t="n">
        <v>10</v>
      </c>
      <c r="W813" s="41" t="n">
        <f aca="false">U813+V813</f>
        <v>13</v>
      </c>
      <c r="X813" s="42" t="n">
        <f aca="false">U813/W813</f>
        <v>0.230769230769231</v>
      </c>
      <c r="Y813" s="42" t="n">
        <f aca="false">V813/W813</f>
        <v>0.769230769230769</v>
      </c>
      <c r="Z813" s="35" t="str">
        <f aca="false">IF(W813&gt;=150, "High Demand", IF(W813&gt;=50, "Moderate Demand", "Low Demand"))</f>
        <v>Low Demand</v>
      </c>
      <c r="AA813" s="39" t="str">
        <f aca="false">TEXT(G813, "00") &amp; ":00"</f>
        <v>03:00</v>
      </c>
      <c r="AB813" s="37" t="n">
        <f aca="false">YEAR(B813)</f>
        <v>2011</v>
      </c>
      <c r="AC813" s="35" t="str">
        <f aca="false">TEXT(B813, "mmmm")</f>
        <v>February</v>
      </c>
      <c r="AD813" s="37" t="n">
        <f aca="false">LEN(TEXT(B813, "YYYY-MM-DD"))</f>
        <v>10</v>
      </c>
      <c r="AE813" s="39" t="str">
        <f aca="false">LEFT(TEXT(B813, "YYYY-MM-DD"), 4)</f>
        <v>2011</v>
      </c>
      <c r="AF813" s="39" t="str">
        <f aca="false">RIGHT(TEXT(B813, "YYYY-MM-DD"), 2)</f>
        <v>06</v>
      </c>
    </row>
    <row r="814" customFormat="false" ht="15" hidden="false" customHeight="false" outlineLevel="0" collapsed="false">
      <c r="A814" s="43" t="n">
        <v>810</v>
      </c>
      <c r="B814" s="44" t="s">
        <v>120</v>
      </c>
      <c r="C814" s="43" t="n">
        <v>1</v>
      </c>
      <c r="D814" s="33" t="str">
        <f aca="false">VLOOKUP(C814, Lookups_Metadata!$A$4:$B$7, 2, FALSE())</f>
        <v>Spring</v>
      </c>
      <c r="E814" s="43" t="n">
        <v>0</v>
      </c>
      <c r="F814" s="43" t="n">
        <v>2</v>
      </c>
      <c r="G814" s="43" t="n">
        <v>4</v>
      </c>
      <c r="H814" s="45" t="b">
        <f aca="false">FALSE()</f>
        <v>0</v>
      </c>
      <c r="I814" s="43" t="n">
        <v>0</v>
      </c>
      <c r="J814" s="33" t="str">
        <f aca="false">INDEX(Lookups_Metadata!$E$4:$E$10, MATCH(I814, Lookups_Metadata!$D$4:$D$10, 0))</f>
        <v>Sunday</v>
      </c>
      <c r="K814" s="33" t="str">
        <f aca="false">IF(H814=TRUE(), "Holiday", IF(OR(I814=0, I814=6), "Weekend", "Weekday"))</f>
        <v>Weekend</v>
      </c>
      <c r="L814" s="33" t="str">
        <f aca="false">IF(AND(K814="Weekday", OR(AND(G814&gt;=7, G814&lt;=9), AND(G814&gt;=17, G814&lt;=19))), "Peak Commute", "Off-Peak")</f>
        <v>Off-Peak</v>
      </c>
      <c r="M814" s="43" t="n">
        <v>1</v>
      </c>
      <c r="N814" s="33" t="str">
        <f aca="false">VLOOKUP(M814, Lookups_Metadata!$G$4:$H$7, 2, FALSE())</f>
        <v>Clear / Few Clouds</v>
      </c>
      <c r="O814" s="46" t="n">
        <v>0.26</v>
      </c>
      <c r="P814" s="46" t="n">
        <v>0.2273</v>
      </c>
      <c r="Q814" s="46" t="n">
        <f aca="false">IF(OR(P814="", ISBLANK(P814)), ROUND(0.9367*O814+0.0175, 4), P814)</f>
        <v>0.2273</v>
      </c>
      <c r="R814" s="33" t="str">
        <f aca="false">IF(OR(P814="", ISBLANK(P814)), "Imputed (Regression/Trend)", "Original")</f>
        <v>Original</v>
      </c>
      <c r="S814" s="46" t="n">
        <v>0.6</v>
      </c>
      <c r="T814" s="46" t="n">
        <v>0.3582</v>
      </c>
      <c r="U814" s="18" t="n">
        <v>0</v>
      </c>
      <c r="V814" s="18" t="n">
        <v>2</v>
      </c>
      <c r="W814" s="18" t="n">
        <f aca="false">U814+V814</f>
        <v>2</v>
      </c>
      <c r="X814" s="47" t="n">
        <f aca="false">U814/W814</f>
        <v>0</v>
      </c>
      <c r="Y814" s="47" t="n">
        <f aca="false">V814/W814</f>
        <v>1</v>
      </c>
      <c r="Z814" s="33" t="str">
        <f aca="false">IF(W814&gt;=150, "High Demand", IF(W814&gt;=50, "Moderate Demand", "Low Demand"))</f>
        <v>Low Demand</v>
      </c>
      <c r="AA814" s="45" t="str">
        <f aca="false">TEXT(G814, "00") &amp; ":00"</f>
        <v>04:00</v>
      </c>
      <c r="AB814" s="43" t="n">
        <f aca="false">YEAR(B814)</f>
        <v>2011</v>
      </c>
      <c r="AC814" s="33" t="str">
        <f aca="false">TEXT(B814, "mmmm")</f>
        <v>February</v>
      </c>
      <c r="AD814" s="43" t="n">
        <f aca="false">LEN(TEXT(B814, "YYYY-MM-DD"))</f>
        <v>10</v>
      </c>
      <c r="AE814" s="45" t="str">
        <f aca="false">LEFT(TEXT(B814, "YYYY-MM-DD"), 4)</f>
        <v>2011</v>
      </c>
      <c r="AF814" s="45" t="str">
        <f aca="false">RIGHT(TEXT(B814, "YYYY-MM-DD"), 2)</f>
        <v>06</v>
      </c>
    </row>
    <row r="815" customFormat="false" ht="15" hidden="false" customHeight="false" outlineLevel="0" collapsed="false">
      <c r="A815" s="37" t="n">
        <v>811</v>
      </c>
      <c r="B815" s="38" t="s">
        <v>120</v>
      </c>
      <c r="C815" s="37" t="n">
        <v>1</v>
      </c>
      <c r="D815" s="35" t="str">
        <f aca="false">VLOOKUP(C815, Lookups_Metadata!$A$4:$B$7, 2, FALSE())</f>
        <v>Spring</v>
      </c>
      <c r="E815" s="37" t="n">
        <v>0</v>
      </c>
      <c r="F815" s="37" t="n">
        <v>2</v>
      </c>
      <c r="G815" s="37" t="n">
        <v>5</v>
      </c>
      <c r="H815" s="39" t="b">
        <f aca="false">FALSE()</f>
        <v>0</v>
      </c>
      <c r="I815" s="37" t="n">
        <v>0</v>
      </c>
      <c r="J815" s="35" t="str">
        <f aca="false">INDEX(Lookups_Metadata!$E$4:$E$10, MATCH(I815, Lookups_Metadata!$D$4:$D$10, 0))</f>
        <v>Sunday</v>
      </c>
      <c r="K815" s="35" t="str">
        <f aca="false">IF(H815=TRUE(), "Holiday", IF(OR(I815=0, I815=6), "Weekend", "Weekday"))</f>
        <v>Weekend</v>
      </c>
      <c r="L815" s="35" t="str">
        <f aca="false">IF(AND(K815="Weekday", OR(AND(G815&gt;=7, G815&lt;=9), AND(G815&gt;=17, G815&lt;=19))), "Peak Commute", "Off-Peak")</f>
        <v>Off-Peak</v>
      </c>
      <c r="M815" s="37" t="n">
        <v>1</v>
      </c>
      <c r="N815" s="35" t="str">
        <f aca="false">VLOOKUP(M815, Lookups_Metadata!$G$4:$H$7, 2, FALSE())</f>
        <v>Clear / Few Clouds</v>
      </c>
      <c r="O815" s="40" t="n">
        <v>0.26</v>
      </c>
      <c r="P815" s="40" t="n">
        <v>0.2576</v>
      </c>
      <c r="Q815" s="40" t="n">
        <f aca="false">IF(OR(P815="", ISBLANK(P815)), ROUND(0.9367*O815+0.0175, 4), P815)</f>
        <v>0.2576</v>
      </c>
      <c r="R815" s="35" t="str">
        <f aca="false">IF(OR(P815="", ISBLANK(P815)), "Imputed (Regression/Trend)", "Original")</f>
        <v>Original</v>
      </c>
      <c r="S815" s="40" t="n">
        <v>0.6</v>
      </c>
      <c r="T815" s="40" t="n">
        <v>0.2239</v>
      </c>
      <c r="U815" s="41" t="n">
        <v>0</v>
      </c>
      <c r="V815" s="41" t="n">
        <v>1</v>
      </c>
      <c r="W815" s="41" t="n">
        <f aca="false">U815+V815</f>
        <v>1</v>
      </c>
      <c r="X815" s="42" t="n">
        <f aca="false">U815/W815</f>
        <v>0</v>
      </c>
      <c r="Y815" s="42" t="n">
        <f aca="false">V815/W815</f>
        <v>1</v>
      </c>
      <c r="Z815" s="35" t="str">
        <f aca="false">IF(W815&gt;=150, "High Demand", IF(W815&gt;=50, "Moderate Demand", "Low Demand"))</f>
        <v>Low Demand</v>
      </c>
      <c r="AA815" s="39" t="str">
        <f aca="false">TEXT(G815, "00") &amp; ":00"</f>
        <v>05:00</v>
      </c>
      <c r="AB815" s="37" t="n">
        <f aca="false">YEAR(B815)</f>
        <v>2011</v>
      </c>
      <c r="AC815" s="35" t="str">
        <f aca="false">TEXT(B815, "mmmm")</f>
        <v>February</v>
      </c>
      <c r="AD815" s="37" t="n">
        <f aca="false">LEN(TEXT(B815, "YYYY-MM-DD"))</f>
        <v>10</v>
      </c>
      <c r="AE815" s="39" t="str">
        <f aca="false">LEFT(TEXT(B815, "YYYY-MM-DD"), 4)</f>
        <v>2011</v>
      </c>
      <c r="AF815" s="39" t="str">
        <f aca="false">RIGHT(TEXT(B815, "YYYY-MM-DD"), 2)</f>
        <v>06</v>
      </c>
    </row>
    <row r="816" customFormat="false" ht="15" hidden="false" customHeight="false" outlineLevel="0" collapsed="false">
      <c r="A816" s="43" t="n">
        <v>812</v>
      </c>
      <c r="B816" s="44" t="s">
        <v>120</v>
      </c>
      <c r="C816" s="43" t="n">
        <v>1</v>
      </c>
      <c r="D816" s="33" t="str">
        <f aca="false">VLOOKUP(C816, Lookups_Metadata!$A$4:$B$7, 2, FALSE())</f>
        <v>Spring</v>
      </c>
      <c r="E816" s="43" t="n">
        <v>0</v>
      </c>
      <c r="F816" s="43" t="n">
        <v>2</v>
      </c>
      <c r="G816" s="43" t="n">
        <v>6</v>
      </c>
      <c r="H816" s="45" t="b">
        <f aca="false">FALSE()</f>
        <v>0</v>
      </c>
      <c r="I816" s="43" t="n">
        <v>0</v>
      </c>
      <c r="J816" s="33" t="str">
        <f aca="false">INDEX(Lookups_Metadata!$E$4:$E$10, MATCH(I816, Lookups_Metadata!$D$4:$D$10, 0))</f>
        <v>Sunday</v>
      </c>
      <c r="K816" s="33" t="str">
        <f aca="false">IF(H816=TRUE(), "Holiday", IF(OR(I816=0, I816=6), "Weekend", "Weekday"))</f>
        <v>Weekend</v>
      </c>
      <c r="L816" s="33" t="str">
        <f aca="false">IF(AND(K816="Weekday", OR(AND(G816&gt;=7, G816&lt;=9), AND(G816&gt;=17, G816&lt;=19))), "Peak Commute", "Off-Peak")</f>
        <v>Off-Peak</v>
      </c>
      <c r="M816" s="43" t="n">
        <v>1</v>
      </c>
      <c r="N816" s="33" t="str">
        <f aca="false">VLOOKUP(M816, Lookups_Metadata!$G$4:$H$7, 2, FALSE())</f>
        <v>Clear / Few Clouds</v>
      </c>
      <c r="O816" s="46" t="n">
        <v>0.26</v>
      </c>
      <c r="P816" s="46" t="n">
        <v>0.2576</v>
      </c>
      <c r="Q816" s="46" t="n">
        <f aca="false">IF(OR(P816="", ISBLANK(P816)), ROUND(0.9367*O816+0.0175, 4), P816)</f>
        <v>0.2576</v>
      </c>
      <c r="R816" s="33" t="str">
        <f aca="false">IF(OR(P816="", ISBLANK(P816)), "Imputed (Regression/Trend)", "Original")</f>
        <v>Original</v>
      </c>
      <c r="S816" s="46" t="n">
        <v>0.6</v>
      </c>
      <c r="T816" s="46" t="n">
        <v>0.2239</v>
      </c>
      <c r="U816" s="18" t="n">
        <v>0</v>
      </c>
      <c r="V816" s="18" t="n">
        <v>1</v>
      </c>
      <c r="W816" s="18" t="n">
        <f aca="false">U816+V816</f>
        <v>1</v>
      </c>
      <c r="X816" s="47" t="n">
        <f aca="false">U816/W816</f>
        <v>0</v>
      </c>
      <c r="Y816" s="47" t="n">
        <f aca="false">V816/W816</f>
        <v>1</v>
      </c>
      <c r="Z816" s="33" t="str">
        <f aca="false">IF(W816&gt;=150, "High Demand", IF(W816&gt;=50, "Moderate Demand", "Low Demand"))</f>
        <v>Low Demand</v>
      </c>
      <c r="AA816" s="45" t="str">
        <f aca="false">TEXT(G816, "00") &amp; ":00"</f>
        <v>06:00</v>
      </c>
      <c r="AB816" s="43" t="n">
        <f aca="false">YEAR(B816)</f>
        <v>2011</v>
      </c>
      <c r="AC816" s="33" t="str">
        <f aca="false">TEXT(B816, "mmmm")</f>
        <v>February</v>
      </c>
      <c r="AD816" s="43" t="n">
        <f aca="false">LEN(TEXT(B816, "YYYY-MM-DD"))</f>
        <v>10</v>
      </c>
      <c r="AE816" s="45" t="str">
        <f aca="false">LEFT(TEXT(B816, "YYYY-MM-DD"), 4)</f>
        <v>2011</v>
      </c>
      <c r="AF816" s="45" t="str">
        <f aca="false">RIGHT(TEXT(B816, "YYYY-MM-DD"), 2)</f>
        <v>06</v>
      </c>
    </row>
    <row r="817" customFormat="false" ht="15" hidden="false" customHeight="false" outlineLevel="0" collapsed="false">
      <c r="A817" s="37" t="n">
        <v>813</v>
      </c>
      <c r="B817" s="38" t="s">
        <v>120</v>
      </c>
      <c r="C817" s="37" t="n">
        <v>1</v>
      </c>
      <c r="D817" s="35" t="str">
        <f aca="false">VLOOKUP(C817, Lookups_Metadata!$A$4:$B$7, 2, FALSE())</f>
        <v>Spring</v>
      </c>
      <c r="E817" s="37" t="n">
        <v>0</v>
      </c>
      <c r="F817" s="37" t="n">
        <v>2</v>
      </c>
      <c r="G817" s="37" t="n">
        <v>7</v>
      </c>
      <c r="H817" s="39" t="b">
        <f aca="false">FALSE()</f>
        <v>0</v>
      </c>
      <c r="I817" s="37" t="n">
        <v>0</v>
      </c>
      <c r="J817" s="35" t="str">
        <f aca="false">INDEX(Lookups_Metadata!$E$4:$E$10, MATCH(I817, Lookups_Metadata!$D$4:$D$10, 0))</f>
        <v>Sunday</v>
      </c>
      <c r="K817" s="35" t="str">
        <f aca="false">IF(H817=TRUE(), "Holiday", IF(OR(I817=0, I817=6), "Weekend", "Weekday"))</f>
        <v>Weekend</v>
      </c>
      <c r="L817" s="35" t="str">
        <f aca="false">IF(AND(K817="Weekday", OR(AND(G817&gt;=7, G817&lt;=9), AND(G817&gt;=17, G817&lt;=19))), "Peak Commute", "Off-Peak")</f>
        <v>Off-Peak</v>
      </c>
      <c r="M817" s="37" t="n">
        <v>1</v>
      </c>
      <c r="N817" s="35" t="str">
        <f aca="false">VLOOKUP(M817, Lookups_Metadata!$G$4:$H$7, 2, FALSE())</f>
        <v>Clear / Few Clouds</v>
      </c>
      <c r="O817" s="40" t="n">
        <v>0.24</v>
      </c>
      <c r="P817" s="40" t="n">
        <v>0.2424</v>
      </c>
      <c r="Q817" s="40" t="n">
        <f aca="false">IF(OR(P817="", ISBLANK(P817)), ROUND(0.9367*O817+0.0175, 4), P817)</f>
        <v>0.2424</v>
      </c>
      <c r="R817" s="35" t="str">
        <f aca="false">IF(OR(P817="", ISBLANK(P817)), "Imputed (Regression/Trend)", "Original")</f>
        <v>Original</v>
      </c>
      <c r="S817" s="40" t="n">
        <v>0.65</v>
      </c>
      <c r="T817" s="40" t="n">
        <v>0.1642</v>
      </c>
      <c r="U817" s="41" t="n">
        <v>0</v>
      </c>
      <c r="V817" s="41" t="n">
        <v>8</v>
      </c>
      <c r="W817" s="41" t="n">
        <f aca="false">U817+V817</f>
        <v>8</v>
      </c>
      <c r="X817" s="42" t="n">
        <f aca="false">U817/W817</f>
        <v>0</v>
      </c>
      <c r="Y817" s="42" t="n">
        <f aca="false">V817/W817</f>
        <v>1</v>
      </c>
      <c r="Z817" s="35" t="str">
        <f aca="false">IF(W817&gt;=150, "High Demand", IF(W817&gt;=50, "Moderate Demand", "Low Demand"))</f>
        <v>Low Demand</v>
      </c>
      <c r="AA817" s="39" t="str">
        <f aca="false">TEXT(G817, "00") &amp; ":00"</f>
        <v>07:00</v>
      </c>
      <c r="AB817" s="37" t="n">
        <f aca="false">YEAR(B817)</f>
        <v>2011</v>
      </c>
      <c r="AC817" s="35" t="str">
        <f aca="false">TEXT(B817, "mmmm")</f>
        <v>February</v>
      </c>
      <c r="AD817" s="37" t="n">
        <f aca="false">LEN(TEXT(B817, "YYYY-MM-DD"))</f>
        <v>10</v>
      </c>
      <c r="AE817" s="39" t="str">
        <f aca="false">LEFT(TEXT(B817, "YYYY-MM-DD"), 4)</f>
        <v>2011</v>
      </c>
      <c r="AF817" s="39" t="str">
        <f aca="false">RIGHT(TEXT(B817, "YYYY-MM-DD"), 2)</f>
        <v>06</v>
      </c>
    </row>
    <row r="818" customFormat="false" ht="15" hidden="false" customHeight="false" outlineLevel="0" collapsed="false">
      <c r="A818" s="43" t="n">
        <v>814</v>
      </c>
      <c r="B818" s="44" t="s">
        <v>120</v>
      </c>
      <c r="C818" s="43" t="n">
        <v>1</v>
      </c>
      <c r="D818" s="33" t="str">
        <f aca="false">VLOOKUP(C818, Lookups_Metadata!$A$4:$B$7, 2, FALSE())</f>
        <v>Spring</v>
      </c>
      <c r="E818" s="43" t="n">
        <v>0</v>
      </c>
      <c r="F818" s="43" t="n">
        <v>2</v>
      </c>
      <c r="G818" s="43" t="n">
        <v>8</v>
      </c>
      <c r="H818" s="45" t="b">
        <f aca="false">FALSE()</f>
        <v>0</v>
      </c>
      <c r="I818" s="43" t="n">
        <v>0</v>
      </c>
      <c r="J818" s="33" t="str">
        <f aca="false">INDEX(Lookups_Metadata!$E$4:$E$10, MATCH(I818, Lookups_Metadata!$D$4:$D$10, 0))</f>
        <v>Sunday</v>
      </c>
      <c r="K818" s="33" t="str">
        <f aca="false">IF(H818=TRUE(), "Holiday", IF(OR(I818=0, I818=6), "Weekend", "Weekday"))</f>
        <v>Weekend</v>
      </c>
      <c r="L818" s="33" t="str">
        <f aca="false">IF(AND(K818="Weekday", OR(AND(G818&gt;=7, G818&lt;=9), AND(G818&gt;=17, G818&lt;=19))), "Peak Commute", "Off-Peak")</f>
        <v>Off-Peak</v>
      </c>
      <c r="M818" s="43" t="n">
        <v>1</v>
      </c>
      <c r="N818" s="33" t="str">
        <f aca="false">VLOOKUP(M818, Lookups_Metadata!$G$4:$H$7, 2, FALSE())</f>
        <v>Clear / Few Clouds</v>
      </c>
      <c r="O818" s="46" t="n">
        <v>0.24</v>
      </c>
      <c r="P818" s="46" t="n">
        <v>0.2576</v>
      </c>
      <c r="Q818" s="46" t="n">
        <f aca="false">IF(OR(P818="", ISBLANK(P818)), ROUND(0.9367*O818+0.0175, 4), P818)</f>
        <v>0.2576</v>
      </c>
      <c r="R818" s="33" t="str">
        <f aca="false">IF(OR(P818="", ISBLANK(P818)), "Imputed (Regression/Trend)", "Original")</f>
        <v>Original</v>
      </c>
      <c r="S818" s="46" t="n">
        <v>0.65</v>
      </c>
      <c r="T818" s="46" t="n">
        <v>0.1045</v>
      </c>
      <c r="U818" s="18" t="n">
        <v>2</v>
      </c>
      <c r="V818" s="18" t="n">
        <v>21</v>
      </c>
      <c r="W818" s="18" t="n">
        <f aca="false">U818+V818</f>
        <v>23</v>
      </c>
      <c r="X818" s="47" t="n">
        <f aca="false">U818/W818</f>
        <v>0.0869565217391304</v>
      </c>
      <c r="Y818" s="47" t="n">
        <f aca="false">V818/W818</f>
        <v>0.91304347826087</v>
      </c>
      <c r="Z818" s="33" t="str">
        <f aca="false">IF(W818&gt;=150, "High Demand", IF(W818&gt;=50, "Moderate Demand", "Low Demand"))</f>
        <v>Low Demand</v>
      </c>
      <c r="AA818" s="45" t="str">
        <f aca="false">TEXT(G818, "00") &amp; ":00"</f>
        <v>08:00</v>
      </c>
      <c r="AB818" s="43" t="n">
        <f aca="false">YEAR(B818)</f>
        <v>2011</v>
      </c>
      <c r="AC818" s="33" t="str">
        <f aca="false">TEXT(B818, "mmmm")</f>
        <v>February</v>
      </c>
      <c r="AD818" s="43" t="n">
        <f aca="false">LEN(TEXT(B818, "YYYY-MM-DD"))</f>
        <v>10</v>
      </c>
      <c r="AE818" s="45" t="str">
        <f aca="false">LEFT(TEXT(B818, "YYYY-MM-DD"), 4)</f>
        <v>2011</v>
      </c>
      <c r="AF818" s="45" t="str">
        <f aca="false">RIGHT(TEXT(B818, "YYYY-MM-DD"), 2)</f>
        <v>06</v>
      </c>
    </row>
    <row r="819" customFormat="false" ht="15" hidden="false" customHeight="false" outlineLevel="0" collapsed="false">
      <c r="A819" s="37" t="n">
        <v>815</v>
      </c>
      <c r="B819" s="38" t="s">
        <v>120</v>
      </c>
      <c r="C819" s="37" t="n">
        <v>1</v>
      </c>
      <c r="D819" s="35" t="str">
        <f aca="false">VLOOKUP(C819, Lookups_Metadata!$A$4:$B$7, 2, FALSE())</f>
        <v>Spring</v>
      </c>
      <c r="E819" s="37" t="n">
        <v>0</v>
      </c>
      <c r="F819" s="37" t="n">
        <v>2</v>
      </c>
      <c r="G819" s="37" t="n">
        <v>9</v>
      </c>
      <c r="H819" s="39" t="b">
        <f aca="false">FALSE()</f>
        <v>0</v>
      </c>
      <c r="I819" s="37" t="n">
        <v>0</v>
      </c>
      <c r="J819" s="35" t="str">
        <f aca="false">INDEX(Lookups_Metadata!$E$4:$E$10, MATCH(I819, Lookups_Metadata!$D$4:$D$10, 0))</f>
        <v>Sunday</v>
      </c>
      <c r="K819" s="35" t="str">
        <f aca="false">IF(H819=TRUE(), "Holiday", IF(OR(I819=0, I819=6), "Weekend", "Weekday"))</f>
        <v>Weekend</v>
      </c>
      <c r="L819" s="35" t="str">
        <f aca="false">IF(AND(K819="Weekday", OR(AND(G819&gt;=7, G819&lt;=9), AND(G819&gt;=17, G819&lt;=19))), "Peak Commute", "Off-Peak")</f>
        <v>Off-Peak</v>
      </c>
      <c r="M819" s="37" t="n">
        <v>1</v>
      </c>
      <c r="N819" s="35" t="str">
        <f aca="false">VLOOKUP(M819, Lookups_Metadata!$G$4:$H$7, 2, FALSE())</f>
        <v>Clear / Few Clouds</v>
      </c>
      <c r="O819" s="40" t="n">
        <v>0.28</v>
      </c>
      <c r="P819" s="40" t="n">
        <v>0.2879</v>
      </c>
      <c r="Q819" s="40" t="n">
        <f aca="false">IF(OR(P819="", ISBLANK(P819)), ROUND(0.9367*O819+0.0175, 4), P819)</f>
        <v>0.2879</v>
      </c>
      <c r="R819" s="35" t="str">
        <f aca="false">IF(OR(P819="", ISBLANK(P819)), "Imputed (Regression/Trend)", "Original")</f>
        <v>Original</v>
      </c>
      <c r="S819" s="40" t="n">
        <v>0.56</v>
      </c>
      <c r="T819" s="40" t="n">
        <v>0.1045</v>
      </c>
      <c r="U819" s="41" t="n">
        <v>7</v>
      </c>
      <c r="V819" s="41" t="n">
        <v>38</v>
      </c>
      <c r="W819" s="41" t="n">
        <f aca="false">U819+V819</f>
        <v>45</v>
      </c>
      <c r="X819" s="42" t="n">
        <f aca="false">U819/W819</f>
        <v>0.155555555555556</v>
      </c>
      <c r="Y819" s="42" t="n">
        <f aca="false">V819/W819</f>
        <v>0.844444444444444</v>
      </c>
      <c r="Z819" s="35" t="str">
        <f aca="false">IF(W819&gt;=150, "High Demand", IF(W819&gt;=50, "Moderate Demand", "Low Demand"))</f>
        <v>Low Demand</v>
      </c>
      <c r="AA819" s="39" t="str">
        <f aca="false">TEXT(G819, "00") &amp; ":00"</f>
        <v>09:00</v>
      </c>
      <c r="AB819" s="37" t="n">
        <f aca="false">YEAR(B819)</f>
        <v>2011</v>
      </c>
      <c r="AC819" s="35" t="str">
        <f aca="false">TEXT(B819, "mmmm")</f>
        <v>February</v>
      </c>
      <c r="AD819" s="37" t="n">
        <f aca="false">LEN(TEXT(B819, "YYYY-MM-DD"))</f>
        <v>10</v>
      </c>
      <c r="AE819" s="39" t="str">
        <f aca="false">LEFT(TEXT(B819, "YYYY-MM-DD"), 4)</f>
        <v>2011</v>
      </c>
      <c r="AF819" s="39" t="str">
        <f aca="false">RIGHT(TEXT(B819, "YYYY-MM-DD"), 2)</f>
        <v>06</v>
      </c>
    </row>
    <row r="820" customFormat="false" ht="15" hidden="false" customHeight="false" outlineLevel="0" collapsed="false">
      <c r="A820" s="43" t="n">
        <v>816</v>
      </c>
      <c r="B820" s="44" t="s">
        <v>120</v>
      </c>
      <c r="C820" s="43" t="n">
        <v>1</v>
      </c>
      <c r="D820" s="33" t="str">
        <f aca="false">VLOOKUP(C820, Lookups_Metadata!$A$4:$B$7, 2, FALSE())</f>
        <v>Spring</v>
      </c>
      <c r="E820" s="43" t="n">
        <v>0</v>
      </c>
      <c r="F820" s="43" t="n">
        <v>2</v>
      </c>
      <c r="G820" s="43" t="n">
        <v>10</v>
      </c>
      <c r="H820" s="45" t="b">
        <f aca="false">FALSE()</f>
        <v>0</v>
      </c>
      <c r="I820" s="43" t="n">
        <v>0</v>
      </c>
      <c r="J820" s="33" t="str">
        <f aca="false">INDEX(Lookups_Metadata!$E$4:$E$10, MATCH(I820, Lookups_Metadata!$D$4:$D$10, 0))</f>
        <v>Sunday</v>
      </c>
      <c r="K820" s="33" t="str">
        <f aca="false">IF(H820=TRUE(), "Holiday", IF(OR(I820=0, I820=6), "Weekend", "Weekday"))</f>
        <v>Weekend</v>
      </c>
      <c r="L820" s="33" t="str">
        <f aca="false">IF(AND(K820="Weekday", OR(AND(G820&gt;=7, G820&lt;=9), AND(G820&gt;=17, G820&lt;=19))), "Peak Commute", "Off-Peak")</f>
        <v>Off-Peak</v>
      </c>
      <c r="M820" s="43" t="n">
        <v>1</v>
      </c>
      <c r="N820" s="33" t="str">
        <f aca="false">VLOOKUP(M820, Lookups_Metadata!$G$4:$H$7, 2, FALSE())</f>
        <v>Clear / Few Clouds</v>
      </c>
      <c r="O820" s="46" t="n">
        <v>0.3</v>
      </c>
      <c r="P820" s="46" t="n">
        <v>0.2879</v>
      </c>
      <c r="Q820" s="46" t="n">
        <f aca="false">IF(OR(P820="", ISBLANK(P820)), ROUND(0.9367*O820+0.0175, 4), P820)</f>
        <v>0.2879</v>
      </c>
      <c r="R820" s="33" t="str">
        <f aca="false">IF(OR(P820="", ISBLANK(P820)), "Imputed (Regression/Trend)", "Original")</f>
        <v>Original</v>
      </c>
      <c r="S820" s="46" t="n">
        <v>0.52</v>
      </c>
      <c r="T820" s="46" t="n">
        <v>0.2537</v>
      </c>
      <c r="U820" s="18" t="n">
        <v>15</v>
      </c>
      <c r="V820" s="18" t="n">
        <v>74</v>
      </c>
      <c r="W820" s="18" t="n">
        <f aca="false">U820+V820</f>
        <v>89</v>
      </c>
      <c r="X820" s="47" t="n">
        <f aca="false">U820/W820</f>
        <v>0.168539325842697</v>
      </c>
      <c r="Y820" s="47" t="n">
        <f aca="false">V820/W820</f>
        <v>0.831460674157303</v>
      </c>
      <c r="Z820" s="33" t="str">
        <f aca="false">IF(W820&gt;=150, "High Demand", IF(W820&gt;=50, "Moderate Demand", "Low Demand"))</f>
        <v>Moderate Demand</v>
      </c>
      <c r="AA820" s="45" t="str">
        <f aca="false">TEXT(G820, "00") &amp; ":00"</f>
        <v>10:00</v>
      </c>
      <c r="AB820" s="43" t="n">
        <f aca="false">YEAR(B820)</f>
        <v>2011</v>
      </c>
      <c r="AC820" s="33" t="str">
        <f aca="false">TEXT(B820, "mmmm")</f>
        <v>February</v>
      </c>
      <c r="AD820" s="43" t="n">
        <f aca="false">LEN(TEXT(B820, "YYYY-MM-DD"))</f>
        <v>10</v>
      </c>
      <c r="AE820" s="45" t="str">
        <f aca="false">LEFT(TEXT(B820, "YYYY-MM-DD"), 4)</f>
        <v>2011</v>
      </c>
      <c r="AF820" s="45" t="str">
        <f aca="false">RIGHT(TEXT(B820, "YYYY-MM-DD"), 2)</f>
        <v>06</v>
      </c>
    </row>
    <row r="821" customFormat="false" ht="15" hidden="false" customHeight="false" outlineLevel="0" collapsed="false">
      <c r="A821" s="37" t="n">
        <v>817</v>
      </c>
      <c r="B821" s="38" t="s">
        <v>120</v>
      </c>
      <c r="C821" s="37" t="n">
        <v>1</v>
      </c>
      <c r="D821" s="35" t="str">
        <f aca="false">VLOOKUP(C821, Lookups_Metadata!$A$4:$B$7, 2, FALSE())</f>
        <v>Spring</v>
      </c>
      <c r="E821" s="37" t="n">
        <v>0</v>
      </c>
      <c r="F821" s="37" t="n">
        <v>2</v>
      </c>
      <c r="G821" s="37" t="n">
        <v>11</v>
      </c>
      <c r="H821" s="39" t="b">
        <f aca="false">FALSE()</f>
        <v>0</v>
      </c>
      <c r="I821" s="37" t="n">
        <v>0</v>
      </c>
      <c r="J821" s="35" t="str">
        <f aca="false">INDEX(Lookups_Metadata!$E$4:$E$10, MATCH(I821, Lookups_Metadata!$D$4:$D$10, 0))</f>
        <v>Sunday</v>
      </c>
      <c r="K821" s="35" t="str">
        <f aca="false">IF(H821=TRUE(), "Holiday", IF(OR(I821=0, I821=6), "Weekend", "Weekday"))</f>
        <v>Weekend</v>
      </c>
      <c r="L821" s="35" t="str">
        <f aca="false">IF(AND(K821="Weekday", OR(AND(G821&gt;=7, G821&lt;=9), AND(G821&gt;=17, G821&lt;=19))), "Peak Commute", "Off-Peak")</f>
        <v>Off-Peak</v>
      </c>
      <c r="M821" s="37" t="n">
        <v>1</v>
      </c>
      <c r="N821" s="35" t="str">
        <f aca="false">VLOOKUP(M821, Lookups_Metadata!$G$4:$H$7, 2, FALSE())</f>
        <v>Clear / Few Clouds</v>
      </c>
      <c r="O821" s="40" t="n">
        <v>0.32</v>
      </c>
      <c r="P821" s="40" t="n">
        <v>0.303</v>
      </c>
      <c r="Q821" s="40" t="n">
        <f aca="false">IF(OR(P821="", ISBLANK(P821)), ROUND(0.9367*O821+0.0175, 4), P821)</f>
        <v>0.303</v>
      </c>
      <c r="R821" s="35" t="str">
        <f aca="false">IF(OR(P821="", ISBLANK(P821)), "Imputed (Regression/Trend)", "Original")</f>
        <v>Original</v>
      </c>
      <c r="S821" s="40" t="n">
        <v>0.49</v>
      </c>
      <c r="T821" s="40" t="n">
        <v>0.2537</v>
      </c>
      <c r="U821" s="41" t="n">
        <v>28</v>
      </c>
      <c r="V821" s="41" t="n">
        <v>89</v>
      </c>
      <c r="W821" s="41" t="n">
        <f aca="false">U821+V821</f>
        <v>117</v>
      </c>
      <c r="X821" s="42" t="n">
        <f aca="false">U821/W821</f>
        <v>0.239316239316239</v>
      </c>
      <c r="Y821" s="42" t="n">
        <f aca="false">V821/W821</f>
        <v>0.760683760683761</v>
      </c>
      <c r="Z821" s="35" t="str">
        <f aca="false">IF(W821&gt;=150, "High Demand", IF(W821&gt;=50, "Moderate Demand", "Low Demand"))</f>
        <v>Moderate Demand</v>
      </c>
      <c r="AA821" s="39" t="str">
        <f aca="false">TEXT(G821, "00") &amp; ":00"</f>
        <v>11:00</v>
      </c>
      <c r="AB821" s="37" t="n">
        <f aca="false">YEAR(B821)</f>
        <v>2011</v>
      </c>
      <c r="AC821" s="35" t="str">
        <f aca="false">TEXT(B821, "mmmm")</f>
        <v>February</v>
      </c>
      <c r="AD821" s="37" t="n">
        <f aca="false">LEN(TEXT(B821, "YYYY-MM-DD"))</f>
        <v>10</v>
      </c>
      <c r="AE821" s="39" t="str">
        <f aca="false">LEFT(TEXT(B821, "YYYY-MM-DD"), 4)</f>
        <v>2011</v>
      </c>
      <c r="AF821" s="39" t="str">
        <f aca="false">RIGHT(TEXT(B821, "YYYY-MM-DD"), 2)</f>
        <v>06</v>
      </c>
    </row>
    <row r="822" customFormat="false" ht="15" hidden="false" customHeight="false" outlineLevel="0" collapsed="false">
      <c r="A822" s="43" t="n">
        <v>818</v>
      </c>
      <c r="B822" s="44" t="s">
        <v>120</v>
      </c>
      <c r="C822" s="43" t="n">
        <v>1</v>
      </c>
      <c r="D822" s="33" t="str">
        <f aca="false">VLOOKUP(C822, Lookups_Metadata!$A$4:$B$7, 2, FALSE())</f>
        <v>Spring</v>
      </c>
      <c r="E822" s="43" t="n">
        <v>0</v>
      </c>
      <c r="F822" s="43" t="n">
        <v>2</v>
      </c>
      <c r="G822" s="43" t="n">
        <v>12</v>
      </c>
      <c r="H822" s="45" t="b">
        <f aca="false">FALSE()</f>
        <v>0</v>
      </c>
      <c r="I822" s="43" t="n">
        <v>0</v>
      </c>
      <c r="J822" s="33" t="str">
        <f aca="false">INDEX(Lookups_Metadata!$E$4:$E$10, MATCH(I822, Lookups_Metadata!$D$4:$D$10, 0))</f>
        <v>Sunday</v>
      </c>
      <c r="K822" s="33" t="str">
        <f aca="false">IF(H822=TRUE(), "Holiday", IF(OR(I822=0, I822=6), "Weekend", "Weekday"))</f>
        <v>Weekend</v>
      </c>
      <c r="L822" s="33" t="str">
        <f aca="false">IF(AND(K822="Weekday", OR(AND(G822&gt;=7, G822&lt;=9), AND(G822&gt;=17, G822&lt;=19))), "Peak Commute", "Off-Peak")</f>
        <v>Off-Peak</v>
      </c>
      <c r="M822" s="43" t="n">
        <v>1</v>
      </c>
      <c r="N822" s="33" t="str">
        <f aca="false">VLOOKUP(M822, Lookups_Metadata!$G$4:$H$7, 2, FALSE())</f>
        <v>Clear / Few Clouds</v>
      </c>
      <c r="O822" s="46" t="n">
        <v>0.34</v>
      </c>
      <c r="P822" s="46" t="n">
        <v>0.3333</v>
      </c>
      <c r="Q822" s="46" t="n">
        <f aca="false">IF(OR(P822="", ISBLANK(P822)), ROUND(0.9367*O822+0.0175, 4), P822)</f>
        <v>0.3333</v>
      </c>
      <c r="R822" s="33" t="str">
        <f aca="false">IF(OR(P822="", ISBLANK(P822)), "Imputed (Regression/Trend)", "Original")</f>
        <v>Original</v>
      </c>
      <c r="S822" s="46" t="n">
        <v>0.46</v>
      </c>
      <c r="T822" s="46" t="n">
        <v>0</v>
      </c>
      <c r="U822" s="18" t="n">
        <v>48</v>
      </c>
      <c r="V822" s="18" t="n">
        <v>126</v>
      </c>
      <c r="W822" s="18" t="n">
        <f aca="false">U822+V822</f>
        <v>174</v>
      </c>
      <c r="X822" s="47" t="n">
        <f aca="false">U822/W822</f>
        <v>0.275862068965517</v>
      </c>
      <c r="Y822" s="47" t="n">
        <f aca="false">V822/W822</f>
        <v>0.724137931034483</v>
      </c>
      <c r="Z822" s="33" t="str">
        <f aca="false">IF(W822&gt;=150, "High Demand", IF(W822&gt;=50, "Moderate Demand", "Low Demand"))</f>
        <v>High Demand</v>
      </c>
      <c r="AA822" s="45" t="str">
        <f aca="false">TEXT(G822, "00") &amp; ":00"</f>
        <v>12:00</v>
      </c>
      <c r="AB822" s="43" t="n">
        <f aca="false">YEAR(B822)</f>
        <v>2011</v>
      </c>
      <c r="AC822" s="33" t="str">
        <f aca="false">TEXT(B822, "mmmm")</f>
        <v>February</v>
      </c>
      <c r="AD822" s="43" t="n">
        <f aca="false">LEN(TEXT(B822, "YYYY-MM-DD"))</f>
        <v>10</v>
      </c>
      <c r="AE822" s="45" t="str">
        <f aca="false">LEFT(TEXT(B822, "YYYY-MM-DD"), 4)</f>
        <v>2011</v>
      </c>
      <c r="AF822" s="45" t="str">
        <f aca="false">RIGHT(TEXT(B822, "YYYY-MM-DD"), 2)</f>
        <v>06</v>
      </c>
    </row>
    <row r="823" customFormat="false" ht="15" hidden="false" customHeight="false" outlineLevel="0" collapsed="false">
      <c r="A823" s="37" t="n">
        <v>819</v>
      </c>
      <c r="B823" s="38" t="s">
        <v>120</v>
      </c>
      <c r="C823" s="37" t="n">
        <v>1</v>
      </c>
      <c r="D823" s="35" t="str">
        <f aca="false">VLOOKUP(C823, Lookups_Metadata!$A$4:$B$7, 2, FALSE())</f>
        <v>Spring</v>
      </c>
      <c r="E823" s="37" t="n">
        <v>0</v>
      </c>
      <c r="F823" s="37" t="n">
        <v>2</v>
      </c>
      <c r="G823" s="37" t="n">
        <v>13</v>
      </c>
      <c r="H823" s="39" t="b">
        <f aca="false">FALSE()</f>
        <v>0</v>
      </c>
      <c r="I823" s="37" t="n">
        <v>0</v>
      </c>
      <c r="J823" s="35" t="str">
        <f aca="false">INDEX(Lookups_Metadata!$E$4:$E$10, MATCH(I823, Lookups_Metadata!$D$4:$D$10, 0))</f>
        <v>Sunday</v>
      </c>
      <c r="K823" s="35" t="str">
        <f aca="false">IF(H823=TRUE(), "Holiday", IF(OR(I823=0, I823=6), "Weekend", "Weekday"))</f>
        <v>Weekend</v>
      </c>
      <c r="L823" s="35" t="str">
        <f aca="false">IF(AND(K823="Weekday", OR(AND(G823&gt;=7, G823&lt;=9), AND(G823&gt;=17, G823&lt;=19))), "Peak Commute", "Off-Peak")</f>
        <v>Off-Peak</v>
      </c>
      <c r="M823" s="37" t="n">
        <v>1</v>
      </c>
      <c r="N823" s="35" t="str">
        <f aca="false">VLOOKUP(M823, Lookups_Metadata!$G$4:$H$7, 2, FALSE())</f>
        <v>Clear / Few Clouds</v>
      </c>
      <c r="O823" s="40" t="n">
        <v>0.34</v>
      </c>
      <c r="P823" s="40" t="n">
        <v>0.3636</v>
      </c>
      <c r="Q823" s="40" t="n">
        <f aca="false">IF(OR(P823="", ISBLANK(P823)), ROUND(0.9367*O823+0.0175, 4), P823)</f>
        <v>0.3636</v>
      </c>
      <c r="R823" s="35" t="str">
        <f aca="false">IF(OR(P823="", ISBLANK(P823)), "Imputed (Regression/Trend)", "Original")</f>
        <v>Original</v>
      </c>
      <c r="S823" s="40" t="n">
        <v>0.46</v>
      </c>
      <c r="T823" s="40" t="n">
        <v>0</v>
      </c>
      <c r="U823" s="41" t="n">
        <v>47</v>
      </c>
      <c r="V823" s="41" t="n">
        <v>135</v>
      </c>
      <c r="W823" s="41" t="n">
        <f aca="false">U823+V823</f>
        <v>182</v>
      </c>
      <c r="X823" s="42" t="n">
        <f aca="false">U823/W823</f>
        <v>0.258241758241758</v>
      </c>
      <c r="Y823" s="42" t="n">
        <f aca="false">V823/W823</f>
        <v>0.741758241758242</v>
      </c>
      <c r="Z823" s="35" t="str">
        <f aca="false">IF(W823&gt;=150, "High Demand", IF(W823&gt;=50, "Moderate Demand", "Low Demand"))</f>
        <v>High Demand</v>
      </c>
      <c r="AA823" s="39" t="str">
        <f aca="false">TEXT(G823, "00") &amp; ":00"</f>
        <v>13:00</v>
      </c>
      <c r="AB823" s="37" t="n">
        <f aca="false">YEAR(B823)</f>
        <v>2011</v>
      </c>
      <c r="AC823" s="35" t="str">
        <f aca="false">TEXT(B823, "mmmm")</f>
        <v>February</v>
      </c>
      <c r="AD823" s="37" t="n">
        <f aca="false">LEN(TEXT(B823, "YYYY-MM-DD"))</f>
        <v>10</v>
      </c>
      <c r="AE823" s="39" t="str">
        <f aca="false">LEFT(TEXT(B823, "YYYY-MM-DD"), 4)</f>
        <v>2011</v>
      </c>
      <c r="AF823" s="39" t="str">
        <f aca="false">RIGHT(TEXT(B823, "YYYY-MM-DD"), 2)</f>
        <v>06</v>
      </c>
    </row>
    <row r="824" customFormat="false" ht="15" hidden="false" customHeight="false" outlineLevel="0" collapsed="false">
      <c r="A824" s="43" t="n">
        <v>820</v>
      </c>
      <c r="B824" s="44" t="s">
        <v>120</v>
      </c>
      <c r="C824" s="43" t="n">
        <v>1</v>
      </c>
      <c r="D824" s="33" t="str">
        <f aca="false">VLOOKUP(C824, Lookups_Metadata!$A$4:$B$7, 2, FALSE())</f>
        <v>Spring</v>
      </c>
      <c r="E824" s="43" t="n">
        <v>0</v>
      </c>
      <c r="F824" s="43" t="n">
        <v>2</v>
      </c>
      <c r="G824" s="43" t="n">
        <v>14</v>
      </c>
      <c r="H824" s="45" t="b">
        <f aca="false">FALSE()</f>
        <v>0</v>
      </c>
      <c r="I824" s="43" t="n">
        <v>0</v>
      </c>
      <c r="J824" s="33" t="str">
        <f aca="false">INDEX(Lookups_Metadata!$E$4:$E$10, MATCH(I824, Lookups_Metadata!$D$4:$D$10, 0))</f>
        <v>Sunday</v>
      </c>
      <c r="K824" s="33" t="str">
        <f aca="false">IF(H824=TRUE(), "Holiday", IF(OR(I824=0, I824=6), "Weekend", "Weekday"))</f>
        <v>Weekend</v>
      </c>
      <c r="L824" s="33" t="str">
        <f aca="false">IF(AND(K824="Weekday", OR(AND(G824&gt;=7, G824&lt;=9), AND(G824&gt;=17, G824&lt;=19))), "Peak Commute", "Off-Peak")</f>
        <v>Off-Peak</v>
      </c>
      <c r="M824" s="43" t="n">
        <v>1</v>
      </c>
      <c r="N824" s="33" t="str">
        <f aca="false">VLOOKUP(M824, Lookups_Metadata!$G$4:$H$7, 2, FALSE())</f>
        <v>Clear / Few Clouds</v>
      </c>
      <c r="O824" s="46" t="n">
        <v>0.34</v>
      </c>
      <c r="P824" s="46" t="n">
        <v>0.3485</v>
      </c>
      <c r="Q824" s="46" t="n">
        <f aca="false">IF(OR(P824="", ISBLANK(P824)), ROUND(0.9367*O824+0.0175, 4), P824)</f>
        <v>0.3485</v>
      </c>
      <c r="R824" s="33" t="str">
        <f aca="false">IF(OR(P824="", ISBLANK(P824)), "Imputed (Regression/Trend)", "Original")</f>
        <v>Original</v>
      </c>
      <c r="S824" s="46" t="n">
        <v>0.46</v>
      </c>
      <c r="T824" s="46" t="n">
        <v>0.0896</v>
      </c>
      <c r="U824" s="18" t="n">
        <v>47</v>
      </c>
      <c r="V824" s="18" t="n">
        <v>114</v>
      </c>
      <c r="W824" s="18" t="n">
        <f aca="false">U824+V824</f>
        <v>161</v>
      </c>
      <c r="X824" s="47" t="n">
        <f aca="false">U824/W824</f>
        <v>0.291925465838509</v>
      </c>
      <c r="Y824" s="47" t="n">
        <f aca="false">V824/W824</f>
        <v>0.708074534161491</v>
      </c>
      <c r="Z824" s="33" t="str">
        <f aca="false">IF(W824&gt;=150, "High Demand", IF(W824&gt;=50, "Moderate Demand", "Low Demand"))</f>
        <v>High Demand</v>
      </c>
      <c r="AA824" s="45" t="str">
        <f aca="false">TEXT(G824, "00") &amp; ":00"</f>
        <v>14:00</v>
      </c>
      <c r="AB824" s="43" t="n">
        <f aca="false">YEAR(B824)</f>
        <v>2011</v>
      </c>
      <c r="AC824" s="33" t="str">
        <f aca="false">TEXT(B824, "mmmm")</f>
        <v>February</v>
      </c>
      <c r="AD824" s="43" t="n">
        <f aca="false">LEN(TEXT(B824, "YYYY-MM-DD"))</f>
        <v>10</v>
      </c>
      <c r="AE824" s="45" t="str">
        <f aca="false">LEFT(TEXT(B824, "YYYY-MM-DD"), 4)</f>
        <v>2011</v>
      </c>
      <c r="AF824" s="45" t="str">
        <f aca="false">RIGHT(TEXT(B824, "YYYY-MM-DD"), 2)</f>
        <v>06</v>
      </c>
    </row>
    <row r="825" customFormat="false" ht="15" hidden="false" customHeight="false" outlineLevel="0" collapsed="false">
      <c r="A825" s="37" t="n">
        <v>821</v>
      </c>
      <c r="B825" s="38" t="s">
        <v>120</v>
      </c>
      <c r="C825" s="37" t="n">
        <v>1</v>
      </c>
      <c r="D825" s="35" t="str">
        <f aca="false">VLOOKUP(C825, Lookups_Metadata!$A$4:$B$7, 2, FALSE())</f>
        <v>Spring</v>
      </c>
      <c r="E825" s="37" t="n">
        <v>0</v>
      </c>
      <c r="F825" s="37" t="n">
        <v>2</v>
      </c>
      <c r="G825" s="37" t="n">
        <v>15</v>
      </c>
      <c r="H825" s="39" t="b">
        <f aca="false">FALSE()</f>
        <v>0</v>
      </c>
      <c r="I825" s="37" t="n">
        <v>0</v>
      </c>
      <c r="J825" s="35" t="str">
        <f aca="false">INDEX(Lookups_Metadata!$E$4:$E$10, MATCH(I825, Lookups_Metadata!$D$4:$D$10, 0))</f>
        <v>Sunday</v>
      </c>
      <c r="K825" s="35" t="str">
        <f aca="false">IF(H825=TRUE(), "Holiday", IF(OR(I825=0, I825=6), "Weekend", "Weekday"))</f>
        <v>Weekend</v>
      </c>
      <c r="L825" s="35" t="str">
        <f aca="false">IF(AND(K825="Weekday", OR(AND(G825&gt;=7, G825&lt;=9), AND(G825&gt;=17, G825&lt;=19))), "Peak Commute", "Off-Peak")</f>
        <v>Off-Peak</v>
      </c>
      <c r="M825" s="37" t="n">
        <v>1</v>
      </c>
      <c r="N825" s="35" t="str">
        <f aca="false">VLOOKUP(M825, Lookups_Metadata!$G$4:$H$7, 2, FALSE())</f>
        <v>Clear / Few Clouds</v>
      </c>
      <c r="O825" s="40" t="n">
        <v>0.34</v>
      </c>
      <c r="P825" s="40" t="n">
        <v>0.3485</v>
      </c>
      <c r="Q825" s="40" t="n">
        <f aca="false">IF(OR(P825="", ISBLANK(P825)), ROUND(0.9367*O825+0.0175, 4), P825)</f>
        <v>0.3485</v>
      </c>
      <c r="R825" s="35" t="str">
        <f aca="false">IF(OR(P825="", ISBLANK(P825)), "Imputed (Regression/Trend)", "Original")</f>
        <v>Original</v>
      </c>
      <c r="S825" s="40" t="n">
        <v>0.46</v>
      </c>
      <c r="T825" s="40" t="n">
        <v>0.0896</v>
      </c>
      <c r="U825" s="41" t="n">
        <v>52</v>
      </c>
      <c r="V825" s="41" t="n">
        <v>130</v>
      </c>
      <c r="W825" s="41" t="n">
        <f aca="false">U825+V825</f>
        <v>182</v>
      </c>
      <c r="X825" s="42" t="n">
        <f aca="false">U825/W825</f>
        <v>0.285714285714286</v>
      </c>
      <c r="Y825" s="42" t="n">
        <f aca="false">V825/W825</f>
        <v>0.714285714285714</v>
      </c>
      <c r="Z825" s="35" t="str">
        <f aca="false">IF(W825&gt;=150, "High Demand", IF(W825&gt;=50, "Moderate Demand", "Low Demand"))</f>
        <v>High Demand</v>
      </c>
      <c r="AA825" s="39" t="str">
        <f aca="false">TEXT(G825, "00") &amp; ":00"</f>
        <v>15:00</v>
      </c>
      <c r="AB825" s="37" t="n">
        <f aca="false">YEAR(B825)</f>
        <v>2011</v>
      </c>
      <c r="AC825" s="35" t="str">
        <f aca="false">TEXT(B825, "mmmm")</f>
        <v>February</v>
      </c>
      <c r="AD825" s="37" t="n">
        <f aca="false">LEN(TEXT(B825, "YYYY-MM-DD"))</f>
        <v>10</v>
      </c>
      <c r="AE825" s="39" t="str">
        <f aca="false">LEFT(TEXT(B825, "YYYY-MM-DD"), 4)</f>
        <v>2011</v>
      </c>
      <c r="AF825" s="39" t="str">
        <f aca="false">RIGHT(TEXT(B825, "YYYY-MM-DD"), 2)</f>
        <v>06</v>
      </c>
    </row>
    <row r="826" customFormat="false" ht="15" hidden="false" customHeight="false" outlineLevel="0" collapsed="false">
      <c r="A826" s="43" t="n">
        <v>822</v>
      </c>
      <c r="B826" s="44" t="s">
        <v>120</v>
      </c>
      <c r="C826" s="43" t="n">
        <v>1</v>
      </c>
      <c r="D826" s="33" t="str">
        <f aca="false">VLOOKUP(C826, Lookups_Metadata!$A$4:$B$7, 2, FALSE())</f>
        <v>Spring</v>
      </c>
      <c r="E826" s="43" t="n">
        <v>0</v>
      </c>
      <c r="F826" s="43" t="n">
        <v>2</v>
      </c>
      <c r="G826" s="43" t="n">
        <v>16</v>
      </c>
      <c r="H826" s="45" t="b">
        <f aca="false">FALSE()</f>
        <v>0</v>
      </c>
      <c r="I826" s="43" t="n">
        <v>0</v>
      </c>
      <c r="J826" s="33" t="str">
        <f aca="false">INDEX(Lookups_Metadata!$E$4:$E$10, MATCH(I826, Lookups_Metadata!$D$4:$D$10, 0))</f>
        <v>Sunday</v>
      </c>
      <c r="K826" s="33" t="str">
        <f aca="false">IF(H826=TRUE(), "Holiday", IF(OR(I826=0, I826=6), "Weekend", "Weekday"))</f>
        <v>Weekend</v>
      </c>
      <c r="L826" s="33" t="str">
        <f aca="false">IF(AND(K826="Weekday", OR(AND(G826&gt;=7, G826&lt;=9), AND(G826&gt;=17, G826&lt;=19))), "Peak Commute", "Off-Peak")</f>
        <v>Off-Peak</v>
      </c>
      <c r="M826" s="43" t="n">
        <v>1</v>
      </c>
      <c r="N826" s="33" t="str">
        <f aca="false">VLOOKUP(M826, Lookups_Metadata!$G$4:$H$7, 2, FALSE())</f>
        <v>Clear / Few Clouds</v>
      </c>
      <c r="O826" s="46" t="n">
        <v>0.34</v>
      </c>
      <c r="P826" s="46" t="n">
        <v>0.3485</v>
      </c>
      <c r="Q826" s="46" t="n">
        <f aca="false">IF(OR(P826="", ISBLANK(P826)), ROUND(0.9367*O826+0.0175, 4), P826)</f>
        <v>0.3485</v>
      </c>
      <c r="R826" s="33" t="str">
        <f aca="false">IF(OR(P826="", ISBLANK(P826)), "Imputed (Regression/Trend)", "Original")</f>
        <v>Original</v>
      </c>
      <c r="S826" s="46" t="n">
        <v>0.49</v>
      </c>
      <c r="T826" s="46" t="n">
        <v>0.1045</v>
      </c>
      <c r="U826" s="18" t="n">
        <v>42</v>
      </c>
      <c r="V826" s="18" t="n">
        <v>115</v>
      </c>
      <c r="W826" s="18" t="n">
        <f aca="false">U826+V826</f>
        <v>157</v>
      </c>
      <c r="X826" s="47" t="n">
        <f aca="false">U826/W826</f>
        <v>0.267515923566879</v>
      </c>
      <c r="Y826" s="47" t="n">
        <f aca="false">V826/W826</f>
        <v>0.732484076433121</v>
      </c>
      <c r="Z826" s="33" t="str">
        <f aca="false">IF(W826&gt;=150, "High Demand", IF(W826&gt;=50, "Moderate Demand", "Low Demand"))</f>
        <v>High Demand</v>
      </c>
      <c r="AA826" s="45" t="str">
        <f aca="false">TEXT(G826, "00") &amp; ":00"</f>
        <v>16:00</v>
      </c>
      <c r="AB826" s="43" t="n">
        <f aca="false">YEAR(B826)</f>
        <v>2011</v>
      </c>
      <c r="AC826" s="33" t="str">
        <f aca="false">TEXT(B826, "mmmm")</f>
        <v>February</v>
      </c>
      <c r="AD826" s="43" t="n">
        <f aca="false">LEN(TEXT(B826, "YYYY-MM-DD"))</f>
        <v>10</v>
      </c>
      <c r="AE826" s="45" t="str">
        <f aca="false">LEFT(TEXT(B826, "YYYY-MM-DD"), 4)</f>
        <v>2011</v>
      </c>
      <c r="AF826" s="45" t="str">
        <f aca="false">RIGHT(TEXT(B826, "YYYY-MM-DD"), 2)</f>
        <v>06</v>
      </c>
    </row>
    <row r="827" customFormat="false" ht="15" hidden="false" customHeight="false" outlineLevel="0" collapsed="false">
      <c r="A827" s="37" t="n">
        <v>823</v>
      </c>
      <c r="B827" s="38" t="s">
        <v>120</v>
      </c>
      <c r="C827" s="37" t="n">
        <v>1</v>
      </c>
      <c r="D827" s="35" t="str">
        <f aca="false">VLOOKUP(C827, Lookups_Metadata!$A$4:$B$7, 2, FALSE())</f>
        <v>Spring</v>
      </c>
      <c r="E827" s="37" t="n">
        <v>0</v>
      </c>
      <c r="F827" s="37" t="n">
        <v>2</v>
      </c>
      <c r="G827" s="37" t="n">
        <v>17</v>
      </c>
      <c r="H827" s="39" t="b">
        <f aca="false">FALSE()</f>
        <v>0</v>
      </c>
      <c r="I827" s="37" t="n">
        <v>0</v>
      </c>
      <c r="J827" s="35" t="str">
        <f aca="false">INDEX(Lookups_Metadata!$E$4:$E$10, MATCH(I827, Lookups_Metadata!$D$4:$D$10, 0))</f>
        <v>Sunday</v>
      </c>
      <c r="K827" s="35" t="str">
        <f aca="false">IF(H827=TRUE(), "Holiday", IF(OR(I827=0, I827=6), "Weekend", "Weekday"))</f>
        <v>Weekend</v>
      </c>
      <c r="L827" s="35" t="str">
        <f aca="false">IF(AND(K827="Weekday", OR(AND(G827&gt;=7, G827&lt;=9), AND(G827&gt;=17, G827&lt;=19))), "Peak Commute", "Off-Peak")</f>
        <v>Off-Peak</v>
      </c>
      <c r="M827" s="37" t="n">
        <v>1</v>
      </c>
      <c r="N827" s="35" t="str">
        <f aca="false">VLOOKUP(M827, Lookups_Metadata!$G$4:$H$7, 2, FALSE())</f>
        <v>Clear / Few Clouds</v>
      </c>
      <c r="O827" s="40" t="n">
        <v>0.34</v>
      </c>
      <c r="P827" s="40" t="n">
        <v>0.3636</v>
      </c>
      <c r="Q827" s="40" t="n">
        <f aca="false">IF(OR(P827="", ISBLANK(P827)), ROUND(0.9367*O827+0.0175, 4), P827)</f>
        <v>0.3636</v>
      </c>
      <c r="R827" s="35" t="str">
        <f aca="false">IF(OR(P827="", ISBLANK(P827)), "Imputed (Regression/Trend)", "Original")</f>
        <v>Original</v>
      </c>
      <c r="S827" s="40" t="n">
        <v>0.46</v>
      </c>
      <c r="T827" s="40" t="n">
        <v>0</v>
      </c>
      <c r="U827" s="41" t="n">
        <v>24</v>
      </c>
      <c r="V827" s="41" t="n">
        <v>97</v>
      </c>
      <c r="W827" s="41" t="n">
        <f aca="false">U827+V827</f>
        <v>121</v>
      </c>
      <c r="X827" s="42" t="n">
        <f aca="false">U827/W827</f>
        <v>0.198347107438017</v>
      </c>
      <c r="Y827" s="42" t="n">
        <f aca="false">V827/W827</f>
        <v>0.801652892561984</v>
      </c>
      <c r="Z827" s="35" t="str">
        <f aca="false">IF(W827&gt;=150, "High Demand", IF(W827&gt;=50, "Moderate Demand", "Low Demand"))</f>
        <v>Moderate Demand</v>
      </c>
      <c r="AA827" s="39" t="str">
        <f aca="false">TEXT(G827, "00") &amp; ":00"</f>
        <v>17:00</v>
      </c>
      <c r="AB827" s="37" t="n">
        <f aca="false">YEAR(B827)</f>
        <v>2011</v>
      </c>
      <c r="AC827" s="35" t="str">
        <f aca="false">TEXT(B827, "mmmm")</f>
        <v>February</v>
      </c>
      <c r="AD827" s="37" t="n">
        <f aca="false">LEN(TEXT(B827, "YYYY-MM-DD"))</f>
        <v>10</v>
      </c>
      <c r="AE827" s="39" t="str">
        <f aca="false">LEFT(TEXT(B827, "YYYY-MM-DD"), 4)</f>
        <v>2011</v>
      </c>
      <c r="AF827" s="39" t="str">
        <f aca="false">RIGHT(TEXT(B827, "YYYY-MM-DD"), 2)</f>
        <v>06</v>
      </c>
    </row>
    <row r="828" customFormat="false" ht="15" hidden="false" customHeight="false" outlineLevel="0" collapsed="false">
      <c r="A828" s="43" t="n">
        <v>824</v>
      </c>
      <c r="B828" s="44" t="s">
        <v>120</v>
      </c>
      <c r="C828" s="43" t="n">
        <v>1</v>
      </c>
      <c r="D828" s="33" t="str">
        <f aca="false">VLOOKUP(C828, Lookups_Metadata!$A$4:$B$7, 2, FALSE())</f>
        <v>Spring</v>
      </c>
      <c r="E828" s="43" t="n">
        <v>0</v>
      </c>
      <c r="F828" s="43" t="n">
        <v>2</v>
      </c>
      <c r="G828" s="43" t="n">
        <v>18</v>
      </c>
      <c r="H828" s="45" t="b">
        <f aca="false">FALSE()</f>
        <v>0</v>
      </c>
      <c r="I828" s="43" t="n">
        <v>0</v>
      </c>
      <c r="J828" s="33" t="str">
        <f aca="false">INDEX(Lookups_Metadata!$E$4:$E$10, MATCH(I828, Lookups_Metadata!$D$4:$D$10, 0))</f>
        <v>Sunday</v>
      </c>
      <c r="K828" s="33" t="str">
        <f aca="false">IF(H828=TRUE(), "Holiday", IF(OR(I828=0, I828=6), "Weekend", "Weekday"))</f>
        <v>Weekend</v>
      </c>
      <c r="L828" s="33" t="str">
        <f aca="false">IF(AND(K828="Weekday", OR(AND(G828&gt;=7, G828&lt;=9), AND(G828&gt;=17, G828&lt;=19))), "Peak Commute", "Off-Peak")</f>
        <v>Off-Peak</v>
      </c>
      <c r="M828" s="43" t="n">
        <v>1</v>
      </c>
      <c r="N828" s="33" t="str">
        <f aca="false">VLOOKUP(M828, Lookups_Metadata!$G$4:$H$7, 2, FALSE())</f>
        <v>Clear / Few Clouds</v>
      </c>
      <c r="O828" s="46" t="n">
        <v>0.3</v>
      </c>
      <c r="P828" s="46" t="n">
        <v>0.303</v>
      </c>
      <c r="Q828" s="46" t="n">
        <f aca="false">IF(OR(P828="", ISBLANK(P828)), ROUND(0.9367*O828+0.0175, 4), P828)</f>
        <v>0.303</v>
      </c>
      <c r="R828" s="33" t="str">
        <f aca="false">IF(OR(P828="", ISBLANK(P828)), "Imputed (Regression/Trend)", "Original")</f>
        <v>Original</v>
      </c>
      <c r="S828" s="46" t="n">
        <v>0.56</v>
      </c>
      <c r="T828" s="46" t="n">
        <v>0.1642</v>
      </c>
      <c r="U828" s="18" t="n">
        <v>13</v>
      </c>
      <c r="V828" s="18" t="n">
        <v>65</v>
      </c>
      <c r="W828" s="18" t="n">
        <f aca="false">U828+V828</f>
        <v>78</v>
      </c>
      <c r="X828" s="47" t="n">
        <f aca="false">U828/W828</f>
        <v>0.166666666666667</v>
      </c>
      <c r="Y828" s="47" t="n">
        <f aca="false">V828/W828</f>
        <v>0.833333333333333</v>
      </c>
      <c r="Z828" s="33" t="str">
        <f aca="false">IF(W828&gt;=150, "High Demand", IF(W828&gt;=50, "Moderate Demand", "Low Demand"))</f>
        <v>Moderate Demand</v>
      </c>
      <c r="AA828" s="45" t="str">
        <f aca="false">TEXT(G828, "00") &amp; ":00"</f>
        <v>18:00</v>
      </c>
      <c r="AB828" s="43" t="n">
        <f aca="false">YEAR(B828)</f>
        <v>2011</v>
      </c>
      <c r="AC828" s="33" t="str">
        <f aca="false">TEXT(B828, "mmmm")</f>
        <v>February</v>
      </c>
      <c r="AD828" s="43" t="n">
        <f aca="false">LEN(TEXT(B828, "YYYY-MM-DD"))</f>
        <v>10</v>
      </c>
      <c r="AE828" s="45" t="str">
        <f aca="false">LEFT(TEXT(B828, "YYYY-MM-DD"), 4)</f>
        <v>2011</v>
      </c>
      <c r="AF828" s="45" t="str">
        <f aca="false">RIGHT(TEXT(B828, "YYYY-MM-DD"), 2)</f>
        <v>06</v>
      </c>
    </row>
    <row r="829" customFormat="false" ht="15" hidden="false" customHeight="false" outlineLevel="0" collapsed="false">
      <c r="A829" s="37" t="n">
        <v>825</v>
      </c>
      <c r="B829" s="38" t="s">
        <v>120</v>
      </c>
      <c r="C829" s="37" t="n">
        <v>1</v>
      </c>
      <c r="D829" s="35" t="str">
        <f aca="false">VLOOKUP(C829, Lookups_Metadata!$A$4:$B$7, 2, FALSE())</f>
        <v>Spring</v>
      </c>
      <c r="E829" s="37" t="n">
        <v>0</v>
      </c>
      <c r="F829" s="37" t="n">
        <v>2</v>
      </c>
      <c r="G829" s="37" t="n">
        <v>19</v>
      </c>
      <c r="H829" s="39" t="b">
        <f aca="false">FALSE()</f>
        <v>0</v>
      </c>
      <c r="I829" s="37" t="n">
        <v>0</v>
      </c>
      <c r="J829" s="35" t="str">
        <f aca="false">INDEX(Lookups_Metadata!$E$4:$E$10, MATCH(I829, Lookups_Metadata!$D$4:$D$10, 0))</f>
        <v>Sunday</v>
      </c>
      <c r="K829" s="35" t="str">
        <f aca="false">IF(H829=TRUE(), "Holiday", IF(OR(I829=0, I829=6), "Weekend", "Weekday"))</f>
        <v>Weekend</v>
      </c>
      <c r="L829" s="35" t="str">
        <f aca="false">IF(AND(K829="Weekday", OR(AND(G829&gt;=7, G829&lt;=9), AND(G829&gt;=17, G829&lt;=19))), "Peak Commute", "Off-Peak")</f>
        <v>Off-Peak</v>
      </c>
      <c r="M829" s="37" t="n">
        <v>1</v>
      </c>
      <c r="N829" s="35" t="str">
        <f aca="false">VLOOKUP(M829, Lookups_Metadata!$G$4:$H$7, 2, FALSE())</f>
        <v>Clear / Few Clouds</v>
      </c>
      <c r="O829" s="40" t="n">
        <v>0.28</v>
      </c>
      <c r="P829" s="40" t="n">
        <v>0.2879</v>
      </c>
      <c r="Q829" s="40" t="n">
        <f aca="false">IF(OR(P829="", ISBLANK(P829)), ROUND(0.9367*O829+0.0175, 4), P829)</f>
        <v>0.2879</v>
      </c>
      <c r="R829" s="35" t="str">
        <f aca="false">IF(OR(P829="", ISBLANK(P829)), "Imputed (Regression/Trend)", "Original")</f>
        <v>Original</v>
      </c>
      <c r="S829" s="40" t="n">
        <v>0.61</v>
      </c>
      <c r="T829" s="40" t="n">
        <v>0.1343</v>
      </c>
      <c r="U829" s="41" t="n">
        <v>1</v>
      </c>
      <c r="V829" s="41" t="n">
        <v>20</v>
      </c>
      <c r="W829" s="41" t="n">
        <f aca="false">U829+V829</f>
        <v>21</v>
      </c>
      <c r="X829" s="42" t="n">
        <f aca="false">U829/W829</f>
        <v>0.0476190476190476</v>
      </c>
      <c r="Y829" s="42" t="n">
        <f aca="false">V829/W829</f>
        <v>0.952380952380952</v>
      </c>
      <c r="Z829" s="35" t="str">
        <f aca="false">IF(W829&gt;=150, "High Demand", IF(W829&gt;=50, "Moderate Demand", "Low Demand"))</f>
        <v>Low Demand</v>
      </c>
      <c r="AA829" s="39" t="str">
        <f aca="false">TEXT(G829, "00") &amp; ":00"</f>
        <v>19:00</v>
      </c>
      <c r="AB829" s="37" t="n">
        <f aca="false">YEAR(B829)</f>
        <v>2011</v>
      </c>
      <c r="AC829" s="35" t="str">
        <f aca="false">TEXT(B829, "mmmm")</f>
        <v>February</v>
      </c>
      <c r="AD829" s="37" t="n">
        <f aca="false">LEN(TEXT(B829, "YYYY-MM-DD"))</f>
        <v>10</v>
      </c>
      <c r="AE829" s="39" t="str">
        <f aca="false">LEFT(TEXT(B829, "YYYY-MM-DD"), 4)</f>
        <v>2011</v>
      </c>
      <c r="AF829" s="39" t="str">
        <f aca="false">RIGHT(TEXT(B829, "YYYY-MM-DD"), 2)</f>
        <v>06</v>
      </c>
    </row>
    <row r="830" customFormat="false" ht="15" hidden="false" customHeight="false" outlineLevel="0" collapsed="false">
      <c r="A830" s="43" t="n">
        <v>826</v>
      </c>
      <c r="B830" s="44" t="s">
        <v>120</v>
      </c>
      <c r="C830" s="43" t="n">
        <v>1</v>
      </c>
      <c r="D830" s="33" t="str">
        <f aca="false">VLOOKUP(C830, Lookups_Metadata!$A$4:$B$7, 2, FALSE())</f>
        <v>Spring</v>
      </c>
      <c r="E830" s="43" t="n">
        <v>0</v>
      </c>
      <c r="F830" s="43" t="n">
        <v>2</v>
      </c>
      <c r="G830" s="43" t="n">
        <v>20</v>
      </c>
      <c r="H830" s="45" t="b">
        <f aca="false">FALSE()</f>
        <v>0</v>
      </c>
      <c r="I830" s="43" t="n">
        <v>0</v>
      </c>
      <c r="J830" s="33" t="str">
        <f aca="false">INDEX(Lookups_Metadata!$E$4:$E$10, MATCH(I830, Lookups_Metadata!$D$4:$D$10, 0))</f>
        <v>Sunday</v>
      </c>
      <c r="K830" s="33" t="str">
        <f aca="false">IF(H830=TRUE(), "Holiday", IF(OR(I830=0, I830=6), "Weekend", "Weekday"))</f>
        <v>Weekend</v>
      </c>
      <c r="L830" s="33" t="str">
        <f aca="false">IF(AND(K830="Weekday", OR(AND(G830&gt;=7, G830&lt;=9), AND(G830&gt;=17, G830&lt;=19))), "Peak Commute", "Off-Peak")</f>
        <v>Off-Peak</v>
      </c>
      <c r="M830" s="43" t="n">
        <v>1</v>
      </c>
      <c r="N830" s="33" t="str">
        <f aca="false">VLOOKUP(M830, Lookups_Metadata!$G$4:$H$7, 2, FALSE())</f>
        <v>Clear / Few Clouds</v>
      </c>
      <c r="O830" s="46" t="n">
        <v>0.28</v>
      </c>
      <c r="P830" s="46" t="n">
        <v>0.2879</v>
      </c>
      <c r="Q830" s="46" t="n">
        <f aca="false">IF(OR(P830="", ISBLANK(P830)), ROUND(0.9367*O830+0.0175, 4), P830)</f>
        <v>0.2879</v>
      </c>
      <c r="R830" s="33" t="str">
        <f aca="false">IF(OR(P830="", ISBLANK(P830)), "Imputed (Regression/Trend)", "Original")</f>
        <v>Original</v>
      </c>
      <c r="S830" s="46" t="n">
        <v>0.61</v>
      </c>
      <c r="T830" s="46" t="n">
        <v>0.1045</v>
      </c>
      <c r="U830" s="18" t="n">
        <v>5</v>
      </c>
      <c r="V830" s="18" t="n">
        <v>21</v>
      </c>
      <c r="W830" s="18" t="n">
        <f aca="false">U830+V830</f>
        <v>26</v>
      </c>
      <c r="X830" s="47" t="n">
        <f aca="false">U830/W830</f>
        <v>0.192307692307692</v>
      </c>
      <c r="Y830" s="47" t="n">
        <f aca="false">V830/W830</f>
        <v>0.807692307692308</v>
      </c>
      <c r="Z830" s="33" t="str">
        <f aca="false">IF(W830&gt;=150, "High Demand", IF(W830&gt;=50, "Moderate Demand", "Low Demand"))</f>
        <v>Low Demand</v>
      </c>
      <c r="AA830" s="45" t="str">
        <f aca="false">TEXT(G830, "00") &amp; ":00"</f>
        <v>20:00</v>
      </c>
      <c r="AB830" s="43" t="n">
        <f aca="false">YEAR(B830)</f>
        <v>2011</v>
      </c>
      <c r="AC830" s="33" t="str">
        <f aca="false">TEXT(B830, "mmmm")</f>
        <v>February</v>
      </c>
      <c r="AD830" s="43" t="n">
        <f aca="false">LEN(TEXT(B830, "YYYY-MM-DD"))</f>
        <v>10</v>
      </c>
      <c r="AE830" s="45" t="str">
        <f aca="false">LEFT(TEXT(B830, "YYYY-MM-DD"), 4)</f>
        <v>2011</v>
      </c>
      <c r="AF830" s="45" t="str">
        <f aca="false">RIGHT(TEXT(B830, "YYYY-MM-DD"), 2)</f>
        <v>06</v>
      </c>
    </row>
    <row r="831" customFormat="false" ht="15" hidden="false" customHeight="false" outlineLevel="0" collapsed="false">
      <c r="A831" s="37" t="n">
        <v>827</v>
      </c>
      <c r="B831" s="38" t="s">
        <v>120</v>
      </c>
      <c r="C831" s="37" t="n">
        <v>1</v>
      </c>
      <c r="D831" s="35" t="str">
        <f aca="false">VLOOKUP(C831, Lookups_Metadata!$A$4:$B$7, 2, FALSE())</f>
        <v>Spring</v>
      </c>
      <c r="E831" s="37" t="n">
        <v>0</v>
      </c>
      <c r="F831" s="37" t="n">
        <v>2</v>
      </c>
      <c r="G831" s="37" t="n">
        <v>21</v>
      </c>
      <c r="H831" s="39" t="b">
        <f aca="false">FALSE()</f>
        <v>0</v>
      </c>
      <c r="I831" s="37" t="n">
        <v>0</v>
      </c>
      <c r="J831" s="35" t="str">
        <f aca="false">INDEX(Lookups_Metadata!$E$4:$E$10, MATCH(I831, Lookups_Metadata!$D$4:$D$10, 0))</f>
        <v>Sunday</v>
      </c>
      <c r="K831" s="35" t="str">
        <f aca="false">IF(H831=TRUE(), "Holiday", IF(OR(I831=0, I831=6), "Weekend", "Weekday"))</f>
        <v>Weekend</v>
      </c>
      <c r="L831" s="35" t="str">
        <f aca="false">IF(AND(K831="Weekday", OR(AND(G831&gt;=7, G831&lt;=9), AND(G831&gt;=17, G831&lt;=19))), "Peak Commute", "Off-Peak")</f>
        <v>Off-Peak</v>
      </c>
      <c r="M831" s="37" t="n">
        <v>1</v>
      </c>
      <c r="N831" s="35" t="str">
        <f aca="false">VLOOKUP(M831, Lookups_Metadata!$G$4:$H$7, 2, FALSE())</f>
        <v>Clear / Few Clouds</v>
      </c>
      <c r="O831" s="40" t="n">
        <v>0.26</v>
      </c>
      <c r="P831" s="40" t="n">
        <v>0.303</v>
      </c>
      <c r="Q831" s="40" t="n">
        <f aca="false">IF(OR(P831="", ISBLANK(P831)), ROUND(0.9367*O831+0.0175, 4), P831)</f>
        <v>0.303</v>
      </c>
      <c r="R831" s="35" t="str">
        <f aca="false">IF(OR(P831="", ISBLANK(P831)), "Imputed (Regression/Trend)", "Original")</f>
        <v>Original</v>
      </c>
      <c r="S831" s="40" t="n">
        <v>0.6</v>
      </c>
      <c r="T831" s="40" t="n">
        <v>0</v>
      </c>
      <c r="U831" s="41" t="n">
        <v>5</v>
      </c>
      <c r="V831" s="41" t="n">
        <v>22</v>
      </c>
      <c r="W831" s="41" t="n">
        <f aca="false">U831+V831</f>
        <v>27</v>
      </c>
      <c r="X831" s="42" t="n">
        <f aca="false">U831/W831</f>
        <v>0.185185185185185</v>
      </c>
      <c r="Y831" s="42" t="n">
        <f aca="false">V831/W831</f>
        <v>0.814814814814815</v>
      </c>
      <c r="Z831" s="35" t="str">
        <f aca="false">IF(W831&gt;=150, "High Demand", IF(W831&gt;=50, "Moderate Demand", "Low Demand"))</f>
        <v>Low Demand</v>
      </c>
      <c r="AA831" s="39" t="str">
        <f aca="false">TEXT(G831, "00") &amp; ":00"</f>
        <v>21:00</v>
      </c>
      <c r="AB831" s="37" t="n">
        <f aca="false">YEAR(B831)</f>
        <v>2011</v>
      </c>
      <c r="AC831" s="35" t="str">
        <f aca="false">TEXT(B831, "mmmm")</f>
        <v>February</v>
      </c>
      <c r="AD831" s="37" t="n">
        <f aca="false">LEN(TEXT(B831, "YYYY-MM-DD"))</f>
        <v>10</v>
      </c>
      <c r="AE831" s="39" t="str">
        <f aca="false">LEFT(TEXT(B831, "YYYY-MM-DD"), 4)</f>
        <v>2011</v>
      </c>
      <c r="AF831" s="39" t="str">
        <f aca="false">RIGHT(TEXT(B831, "YYYY-MM-DD"), 2)</f>
        <v>06</v>
      </c>
    </row>
    <row r="832" customFormat="false" ht="15" hidden="false" customHeight="false" outlineLevel="0" collapsed="false">
      <c r="A832" s="43" t="n">
        <v>828</v>
      </c>
      <c r="B832" s="44" t="s">
        <v>120</v>
      </c>
      <c r="C832" s="43" t="n">
        <v>1</v>
      </c>
      <c r="D832" s="33" t="str">
        <f aca="false">VLOOKUP(C832, Lookups_Metadata!$A$4:$B$7, 2, FALSE())</f>
        <v>Spring</v>
      </c>
      <c r="E832" s="43" t="n">
        <v>0</v>
      </c>
      <c r="F832" s="43" t="n">
        <v>2</v>
      </c>
      <c r="G832" s="43" t="n">
        <v>22</v>
      </c>
      <c r="H832" s="45" t="b">
        <f aca="false">FALSE()</f>
        <v>0</v>
      </c>
      <c r="I832" s="43" t="n">
        <v>0</v>
      </c>
      <c r="J832" s="33" t="str">
        <f aca="false">INDEX(Lookups_Metadata!$E$4:$E$10, MATCH(I832, Lookups_Metadata!$D$4:$D$10, 0))</f>
        <v>Sunday</v>
      </c>
      <c r="K832" s="33" t="str">
        <f aca="false">IF(H832=TRUE(), "Holiday", IF(OR(I832=0, I832=6), "Weekend", "Weekday"))</f>
        <v>Weekend</v>
      </c>
      <c r="L832" s="33" t="str">
        <f aca="false">IF(AND(K832="Weekday", OR(AND(G832&gt;=7, G832&lt;=9), AND(G832&gt;=17, G832&lt;=19))), "Peak Commute", "Off-Peak")</f>
        <v>Off-Peak</v>
      </c>
      <c r="M832" s="43" t="n">
        <v>1</v>
      </c>
      <c r="N832" s="33" t="str">
        <f aca="false">VLOOKUP(M832, Lookups_Metadata!$G$4:$H$7, 2, FALSE())</f>
        <v>Clear / Few Clouds</v>
      </c>
      <c r="O832" s="46" t="n">
        <v>0.26</v>
      </c>
      <c r="P832" s="46" t="n">
        <v>0.303</v>
      </c>
      <c r="Q832" s="46" t="n">
        <f aca="false">IF(OR(P832="", ISBLANK(P832)), ROUND(0.9367*O832+0.0175, 4), P832)</f>
        <v>0.303</v>
      </c>
      <c r="R832" s="33" t="str">
        <f aca="false">IF(OR(P832="", ISBLANK(P832)), "Imputed (Regression/Trend)", "Original")</f>
        <v>Original</v>
      </c>
      <c r="S832" s="46" t="n">
        <v>0.6</v>
      </c>
      <c r="T832" s="46" t="n">
        <v>0</v>
      </c>
      <c r="U832" s="18" t="n">
        <v>5</v>
      </c>
      <c r="V832" s="18" t="n">
        <v>57</v>
      </c>
      <c r="W832" s="18" t="n">
        <f aca="false">U832+V832</f>
        <v>62</v>
      </c>
      <c r="X832" s="47" t="n">
        <f aca="false">U832/W832</f>
        <v>0.0806451612903226</v>
      </c>
      <c r="Y832" s="47" t="n">
        <f aca="false">V832/W832</f>
        <v>0.919354838709677</v>
      </c>
      <c r="Z832" s="33" t="str">
        <f aca="false">IF(W832&gt;=150, "High Demand", IF(W832&gt;=50, "Moderate Demand", "Low Demand"))</f>
        <v>Moderate Demand</v>
      </c>
      <c r="AA832" s="45" t="str">
        <f aca="false">TEXT(G832, "00") &amp; ":00"</f>
        <v>22:00</v>
      </c>
      <c r="AB832" s="43" t="n">
        <f aca="false">YEAR(B832)</f>
        <v>2011</v>
      </c>
      <c r="AC832" s="33" t="str">
        <f aca="false">TEXT(B832, "mmmm")</f>
        <v>February</v>
      </c>
      <c r="AD832" s="43" t="n">
        <f aca="false">LEN(TEXT(B832, "YYYY-MM-DD"))</f>
        <v>10</v>
      </c>
      <c r="AE832" s="45" t="str">
        <f aca="false">LEFT(TEXT(B832, "YYYY-MM-DD"), 4)</f>
        <v>2011</v>
      </c>
      <c r="AF832" s="45" t="str">
        <f aca="false">RIGHT(TEXT(B832, "YYYY-MM-DD"), 2)</f>
        <v>06</v>
      </c>
    </row>
    <row r="833" customFormat="false" ht="15" hidden="false" customHeight="false" outlineLevel="0" collapsed="false">
      <c r="A833" s="37" t="n">
        <v>829</v>
      </c>
      <c r="B833" s="38" t="s">
        <v>120</v>
      </c>
      <c r="C833" s="37" t="n">
        <v>1</v>
      </c>
      <c r="D833" s="35" t="str">
        <f aca="false">VLOOKUP(C833, Lookups_Metadata!$A$4:$B$7, 2, FALSE())</f>
        <v>Spring</v>
      </c>
      <c r="E833" s="37" t="n">
        <v>0</v>
      </c>
      <c r="F833" s="37" t="n">
        <v>2</v>
      </c>
      <c r="G833" s="37" t="n">
        <v>23</v>
      </c>
      <c r="H833" s="39" t="b">
        <f aca="false">FALSE()</f>
        <v>0</v>
      </c>
      <c r="I833" s="37" t="n">
        <v>0</v>
      </c>
      <c r="J833" s="35" t="str">
        <f aca="false">INDEX(Lookups_Metadata!$E$4:$E$10, MATCH(I833, Lookups_Metadata!$D$4:$D$10, 0))</f>
        <v>Sunday</v>
      </c>
      <c r="K833" s="35" t="str">
        <f aca="false">IF(H833=TRUE(), "Holiday", IF(OR(I833=0, I833=6), "Weekend", "Weekday"))</f>
        <v>Weekend</v>
      </c>
      <c r="L833" s="35" t="str">
        <f aca="false">IF(AND(K833="Weekday", OR(AND(G833&gt;=7, G833&lt;=9), AND(G833&gt;=17, G833&lt;=19))), "Peak Commute", "Off-Peak")</f>
        <v>Off-Peak</v>
      </c>
      <c r="M833" s="37" t="n">
        <v>1</v>
      </c>
      <c r="N833" s="35" t="str">
        <f aca="false">VLOOKUP(M833, Lookups_Metadata!$G$4:$H$7, 2, FALSE())</f>
        <v>Clear / Few Clouds</v>
      </c>
      <c r="O833" s="40" t="n">
        <v>0.24</v>
      </c>
      <c r="P833" s="40" t="n">
        <v>0.2879</v>
      </c>
      <c r="Q833" s="40" t="n">
        <f aca="false">IF(OR(P833="", ISBLANK(P833)), ROUND(0.9367*O833+0.0175, 4), P833)</f>
        <v>0.2879</v>
      </c>
      <c r="R833" s="35" t="str">
        <f aca="false">IF(OR(P833="", ISBLANK(P833)), "Imputed (Regression/Trend)", "Original")</f>
        <v>Original</v>
      </c>
      <c r="S833" s="40" t="n">
        <v>0.65</v>
      </c>
      <c r="T833" s="40" t="n">
        <v>0</v>
      </c>
      <c r="U833" s="41" t="n">
        <v>4</v>
      </c>
      <c r="V833" s="41" t="n">
        <v>26</v>
      </c>
      <c r="W833" s="41" t="n">
        <f aca="false">U833+V833</f>
        <v>30</v>
      </c>
      <c r="X833" s="42" t="n">
        <f aca="false">U833/W833</f>
        <v>0.133333333333333</v>
      </c>
      <c r="Y833" s="42" t="n">
        <f aca="false">V833/W833</f>
        <v>0.866666666666667</v>
      </c>
      <c r="Z833" s="35" t="str">
        <f aca="false">IF(W833&gt;=150, "High Demand", IF(W833&gt;=50, "Moderate Demand", "Low Demand"))</f>
        <v>Low Demand</v>
      </c>
      <c r="AA833" s="39" t="str">
        <f aca="false">TEXT(G833, "00") &amp; ":00"</f>
        <v>23:00</v>
      </c>
      <c r="AB833" s="37" t="n">
        <f aca="false">YEAR(B833)</f>
        <v>2011</v>
      </c>
      <c r="AC833" s="35" t="str">
        <f aca="false">TEXT(B833, "mmmm")</f>
        <v>February</v>
      </c>
      <c r="AD833" s="37" t="n">
        <f aca="false">LEN(TEXT(B833, "YYYY-MM-DD"))</f>
        <v>10</v>
      </c>
      <c r="AE833" s="39" t="str">
        <f aca="false">LEFT(TEXT(B833, "YYYY-MM-DD"), 4)</f>
        <v>2011</v>
      </c>
      <c r="AF833" s="39" t="str">
        <f aca="false">RIGHT(TEXT(B833, "YYYY-MM-DD"), 2)</f>
        <v>06</v>
      </c>
    </row>
    <row r="834" customFormat="false" ht="15" hidden="false" customHeight="false" outlineLevel="0" collapsed="false">
      <c r="A834" s="43" t="n">
        <v>830</v>
      </c>
      <c r="B834" s="44" t="s">
        <v>121</v>
      </c>
      <c r="C834" s="43" t="n">
        <v>1</v>
      </c>
      <c r="D834" s="33" t="str">
        <f aca="false">VLOOKUP(C834, Lookups_Metadata!$A$4:$B$7, 2, FALSE())</f>
        <v>Spring</v>
      </c>
      <c r="E834" s="43" t="n">
        <v>0</v>
      </c>
      <c r="F834" s="43" t="n">
        <v>2</v>
      </c>
      <c r="G834" s="43" t="n">
        <v>0</v>
      </c>
      <c r="H834" s="45" t="b">
        <f aca="false">FALSE()</f>
        <v>0</v>
      </c>
      <c r="I834" s="43" t="n">
        <v>1</v>
      </c>
      <c r="J834" s="33" t="str">
        <f aca="false">INDEX(Lookups_Metadata!$E$4:$E$10, MATCH(I834, Lookups_Metadata!$D$4:$D$10, 0))</f>
        <v>Monday</v>
      </c>
      <c r="K834" s="33" t="str">
        <f aca="false">IF(H834=TRUE(), "Holiday", IF(OR(I834=0, I834=6), "Weekend", "Weekday"))</f>
        <v>Weekday</v>
      </c>
      <c r="L834" s="33" t="str">
        <f aca="false">IF(AND(K834="Weekday", OR(AND(G834&gt;=7, G834&lt;=9), AND(G834&gt;=17, G834&lt;=19))), "Peak Commute", "Off-Peak")</f>
        <v>Off-Peak</v>
      </c>
      <c r="M834" s="43" t="n">
        <v>1</v>
      </c>
      <c r="N834" s="33" t="str">
        <f aca="false">VLOOKUP(M834, Lookups_Metadata!$G$4:$H$7, 2, FALSE())</f>
        <v>Clear / Few Clouds</v>
      </c>
      <c r="O834" s="46" t="n">
        <v>0.24</v>
      </c>
      <c r="P834" s="46" t="n">
        <v>0.2879</v>
      </c>
      <c r="Q834" s="46" t="n">
        <f aca="false">IF(OR(P834="", ISBLANK(P834)), ROUND(0.9367*O834+0.0175, 4), P834)</f>
        <v>0.2879</v>
      </c>
      <c r="R834" s="33" t="str">
        <f aca="false">IF(OR(P834="", ISBLANK(P834)), "Imputed (Regression/Trend)", "Original")</f>
        <v>Original</v>
      </c>
      <c r="S834" s="46" t="n">
        <v>0.65</v>
      </c>
      <c r="T834" s="46" t="n">
        <v>0</v>
      </c>
      <c r="U834" s="18" t="n">
        <v>1</v>
      </c>
      <c r="V834" s="18" t="n">
        <v>14</v>
      </c>
      <c r="W834" s="18" t="n">
        <f aca="false">U834+V834</f>
        <v>15</v>
      </c>
      <c r="X834" s="47" t="n">
        <f aca="false">U834/W834</f>
        <v>0.0666666666666667</v>
      </c>
      <c r="Y834" s="47" t="n">
        <f aca="false">V834/W834</f>
        <v>0.933333333333333</v>
      </c>
      <c r="Z834" s="33" t="str">
        <f aca="false">IF(W834&gt;=150, "High Demand", IF(W834&gt;=50, "Moderate Demand", "Low Demand"))</f>
        <v>Low Demand</v>
      </c>
      <c r="AA834" s="45" t="str">
        <f aca="false">TEXT(G834, "00") &amp; ":00"</f>
        <v>00:00</v>
      </c>
      <c r="AB834" s="43" t="n">
        <f aca="false">YEAR(B834)</f>
        <v>2011</v>
      </c>
      <c r="AC834" s="33" t="str">
        <f aca="false">TEXT(B834, "mmmm")</f>
        <v>February</v>
      </c>
      <c r="AD834" s="43" t="n">
        <f aca="false">LEN(TEXT(B834, "YYYY-MM-DD"))</f>
        <v>10</v>
      </c>
      <c r="AE834" s="45" t="str">
        <f aca="false">LEFT(TEXT(B834, "YYYY-MM-DD"), 4)</f>
        <v>2011</v>
      </c>
      <c r="AF834" s="45" t="str">
        <f aca="false">RIGHT(TEXT(B834, "YYYY-MM-DD"), 2)</f>
        <v>07</v>
      </c>
    </row>
    <row r="835" customFormat="false" ht="15" hidden="false" customHeight="false" outlineLevel="0" collapsed="false">
      <c r="A835" s="37" t="n">
        <v>831</v>
      </c>
      <c r="B835" s="38" t="s">
        <v>121</v>
      </c>
      <c r="C835" s="37" t="n">
        <v>1</v>
      </c>
      <c r="D835" s="35" t="str">
        <f aca="false">VLOOKUP(C835, Lookups_Metadata!$A$4:$B$7, 2, FALSE())</f>
        <v>Spring</v>
      </c>
      <c r="E835" s="37" t="n">
        <v>0</v>
      </c>
      <c r="F835" s="37" t="n">
        <v>2</v>
      </c>
      <c r="G835" s="37" t="n">
        <v>1</v>
      </c>
      <c r="H835" s="39" t="b">
        <f aca="false">FALSE()</f>
        <v>0</v>
      </c>
      <c r="I835" s="37" t="n">
        <v>1</v>
      </c>
      <c r="J835" s="35" t="str">
        <f aca="false">INDEX(Lookups_Metadata!$E$4:$E$10, MATCH(I835, Lookups_Metadata!$D$4:$D$10, 0))</f>
        <v>Monday</v>
      </c>
      <c r="K835" s="35" t="str">
        <f aca="false">IF(H835=TRUE(), "Holiday", IF(OR(I835=0, I835=6), "Weekend", "Weekday"))</f>
        <v>Weekday</v>
      </c>
      <c r="L835" s="35" t="str">
        <f aca="false">IF(AND(K835="Weekday", OR(AND(G835&gt;=7, G835&lt;=9), AND(G835&gt;=17, G835&lt;=19))), "Peak Commute", "Off-Peak")</f>
        <v>Off-Peak</v>
      </c>
      <c r="M835" s="37" t="n">
        <v>1</v>
      </c>
      <c r="N835" s="35" t="str">
        <f aca="false">VLOOKUP(M835, Lookups_Metadata!$G$4:$H$7, 2, FALSE())</f>
        <v>Clear / Few Clouds</v>
      </c>
      <c r="O835" s="40" t="n">
        <v>0.22</v>
      </c>
      <c r="P835" s="40" t="n">
        <v>0.2727</v>
      </c>
      <c r="Q835" s="40" t="n">
        <f aca="false">IF(OR(P835="", ISBLANK(P835)), ROUND(0.9367*O835+0.0175, 4), P835)</f>
        <v>0.2727</v>
      </c>
      <c r="R835" s="35" t="str">
        <f aca="false">IF(OR(P835="", ISBLANK(P835)), "Imputed (Regression/Trend)", "Original")</f>
        <v>Original</v>
      </c>
      <c r="S835" s="40" t="n">
        <v>0.75</v>
      </c>
      <c r="T835" s="40" t="n">
        <v>0</v>
      </c>
      <c r="U835" s="41" t="n">
        <v>1</v>
      </c>
      <c r="V835" s="41" t="n">
        <v>4</v>
      </c>
      <c r="W835" s="41" t="n">
        <f aca="false">U835+V835</f>
        <v>5</v>
      </c>
      <c r="X835" s="42" t="n">
        <f aca="false">U835/W835</f>
        <v>0.2</v>
      </c>
      <c r="Y835" s="42" t="n">
        <f aca="false">V835/W835</f>
        <v>0.8</v>
      </c>
      <c r="Z835" s="35" t="str">
        <f aca="false">IF(W835&gt;=150, "High Demand", IF(W835&gt;=50, "Moderate Demand", "Low Demand"))</f>
        <v>Low Demand</v>
      </c>
      <c r="AA835" s="39" t="str">
        <f aca="false">TEXT(G835, "00") &amp; ":00"</f>
        <v>01:00</v>
      </c>
      <c r="AB835" s="37" t="n">
        <f aca="false">YEAR(B835)</f>
        <v>2011</v>
      </c>
      <c r="AC835" s="35" t="str">
        <f aca="false">TEXT(B835, "mmmm")</f>
        <v>February</v>
      </c>
      <c r="AD835" s="37" t="n">
        <f aca="false">LEN(TEXT(B835, "YYYY-MM-DD"))</f>
        <v>10</v>
      </c>
      <c r="AE835" s="39" t="str">
        <f aca="false">LEFT(TEXT(B835, "YYYY-MM-DD"), 4)</f>
        <v>2011</v>
      </c>
      <c r="AF835" s="39" t="str">
        <f aca="false">RIGHT(TEXT(B835, "YYYY-MM-DD"), 2)</f>
        <v>07</v>
      </c>
    </row>
    <row r="836" customFormat="false" ht="15" hidden="false" customHeight="false" outlineLevel="0" collapsed="false">
      <c r="A836" s="43" t="n">
        <v>832</v>
      </c>
      <c r="B836" s="44" t="s">
        <v>121</v>
      </c>
      <c r="C836" s="43" t="n">
        <v>1</v>
      </c>
      <c r="D836" s="33" t="str">
        <f aca="false">VLOOKUP(C836, Lookups_Metadata!$A$4:$B$7, 2, FALSE())</f>
        <v>Spring</v>
      </c>
      <c r="E836" s="43" t="n">
        <v>0</v>
      </c>
      <c r="F836" s="43" t="n">
        <v>2</v>
      </c>
      <c r="G836" s="43" t="n">
        <v>2</v>
      </c>
      <c r="H836" s="45" t="b">
        <f aca="false">FALSE()</f>
        <v>0</v>
      </c>
      <c r="I836" s="43" t="n">
        <v>1</v>
      </c>
      <c r="J836" s="33" t="str">
        <f aca="false">INDEX(Lookups_Metadata!$E$4:$E$10, MATCH(I836, Lookups_Metadata!$D$4:$D$10, 0))</f>
        <v>Monday</v>
      </c>
      <c r="K836" s="33" t="str">
        <f aca="false">IF(H836=TRUE(), "Holiday", IF(OR(I836=0, I836=6), "Weekend", "Weekday"))</f>
        <v>Weekday</v>
      </c>
      <c r="L836" s="33" t="str">
        <f aca="false">IF(AND(K836="Weekday", OR(AND(G836&gt;=7, G836&lt;=9), AND(G836&gt;=17, G836&lt;=19))), "Peak Commute", "Off-Peak")</f>
        <v>Off-Peak</v>
      </c>
      <c r="M836" s="43" t="n">
        <v>1</v>
      </c>
      <c r="N836" s="33" t="str">
        <f aca="false">VLOOKUP(M836, Lookups_Metadata!$G$4:$H$7, 2, FALSE())</f>
        <v>Clear / Few Clouds</v>
      </c>
      <c r="O836" s="46" t="n">
        <v>0.2</v>
      </c>
      <c r="P836" s="46" t="n">
        <v>0.2576</v>
      </c>
      <c r="Q836" s="46" t="n">
        <f aca="false">IF(OR(P836="", ISBLANK(P836)), ROUND(0.9367*O836+0.0175, 4), P836)</f>
        <v>0.2576</v>
      </c>
      <c r="R836" s="33" t="str">
        <f aca="false">IF(OR(P836="", ISBLANK(P836)), "Imputed (Regression/Trend)", "Original")</f>
        <v>Original</v>
      </c>
      <c r="S836" s="46" t="n">
        <v>0.8</v>
      </c>
      <c r="T836" s="46" t="n">
        <v>0</v>
      </c>
      <c r="U836" s="18" t="n">
        <v>0</v>
      </c>
      <c r="V836" s="18" t="n">
        <v>3</v>
      </c>
      <c r="W836" s="18" t="n">
        <f aca="false">U836+V836</f>
        <v>3</v>
      </c>
      <c r="X836" s="47" t="n">
        <f aca="false">U836/W836</f>
        <v>0</v>
      </c>
      <c r="Y836" s="47" t="n">
        <f aca="false">V836/W836</f>
        <v>1</v>
      </c>
      <c r="Z836" s="33" t="str">
        <f aca="false">IF(W836&gt;=150, "High Demand", IF(W836&gt;=50, "Moderate Demand", "Low Demand"))</f>
        <v>Low Demand</v>
      </c>
      <c r="AA836" s="45" t="str">
        <f aca="false">TEXT(G836, "00") &amp; ":00"</f>
        <v>02:00</v>
      </c>
      <c r="AB836" s="43" t="n">
        <f aca="false">YEAR(B836)</f>
        <v>2011</v>
      </c>
      <c r="AC836" s="33" t="str">
        <f aca="false">TEXT(B836, "mmmm")</f>
        <v>February</v>
      </c>
      <c r="AD836" s="43" t="n">
        <f aca="false">LEN(TEXT(B836, "YYYY-MM-DD"))</f>
        <v>10</v>
      </c>
      <c r="AE836" s="45" t="str">
        <f aca="false">LEFT(TEXT(B836, "YYYY-MM-DD"), 4)</f>
        <v>2011</v>
      </c>
      <c r="AF836" s="45" t="str">
        <f aca="false">RIGHT(TEXT(B836, "YYYY-MM-DD"), 2)</f>
        <v>07</v>
      </c>
    </row>
    <row r="837" customFormat="false" ht="15" hidden="false" customHeight="false" outlineLevel="0" collapsed="false">
      <c r="A837" s="37" t="n">
        <v>833</v>
      </c>
      <c r="B837" s="38" t="s">
        <v>121</v>
      </c>
      <c r="C837" s="37" t="n">
        <v>1</v>
      </c>
      <c r="D837" s="35" t="str">
        <f aca="false">VLOOKUP(C837, Lookups_Metadata!$A$4:$B$7, 2, FALSE())</f>
        <v>Spring</v>
      </c>
      <c r="E837" s="37" t="n">
        <v>0</v>
      </c>
      <c r="F837" s="37" t="n">
        <v>2</v>
      </c>
      <c r="G837" s="37" t="n">
        <v>3</v>
      </c>
      <c r="H837" s="39" t="b">
        <f aca="false">FALSE()</f>
        <v>0</v>
      </c>
      <c r="I837" s="37" t="n">
        <v>1</v>
      </c>
      <c r="J837" s="35" t="str">
        <f aca="false">INDEX(Lookups_Metadata!$E$4:$E$10, MATCH(I837, Lookups_Metadata!$D$4:$D$10, 0))</f>
        <v>Monday</v>
      </c>
      <c r="K837" s="35" t="str">
        <f aca="false">IF(H837=TRUE(), "Holiday", IF(OR(I837=0, I837=6), "Weekend", "Weekday"))</f>
        <v>Weekday</v>
      </c>
      <c r="L837" s="35" t="str">
        <f aca="false">IF(AND(K837="Weekday", OR(AND(G837&gt;=7, G837&lt;=9), AND(G837&gt;=17, G837&lt;=19))), "Peak Commute", "Off-Peak")</f>
        <v>Off-Peak</v>
      </c>
      <c r="M837" s="37" t="n">
        <v>1</v>
      </c>
      <c r="N837" s="35" t="str">
        <f aca="false">VLOOKUP(M837, Lookups_Metadata!$G$4:$H$7, 2, FALSE())</f>
        <v>Clear / Few Clouds</v>
      </c>
      <c r="O837" s="40" t="n">
        <v>0.2</v>
      </c>
      <c r="P837" s="40" t="n">
        <v>0.2576</v>
      </c>
      <c r="Q837" s="40" t="n">
        <f aca="false">IF(OR(P837="", ISBLANK(P837)), ROUND(0.9367*O837+0.0175, 4), P837)</f>
        <v>0.2576</v>
      </c>
      <c r="R837" s="35" t="str">
        <f aca="false">IF(OR(P837="", ISBLANK(P837)), "Imputed (Regression/Trend)", "Original")</f>
        <v>Original</v>
      </c>
      <c r="S837" s="40" t="n">
        <v>0.86</v>
      </c>
      <c r="T837" s="40" t="n">
        <v>0</v>
      </c>
      <c r="U837" s="41" t="n">
        <v>0</v>
      </c>
      <c r="V837" s="41" t="n">
        <v>1</v>
      </c>
      <c r="W837" s="41" t="n">
        <f aca="false">U837+V837</f>
        <v>1</v>
      </c>
      <c r="X837" s="42" t="n">
        <f aca="false">U837/W837</f>
        <v>0</v>
      </c>
      <c r="Y837" s="42" t="n">
        <f aca="false">V837/W837</f>
        <v>1</v>
      </c>
      <c r="Z837" s="35" t="str">
        <f aca="false">IF(W837&gt;=150, "High Demand", IF(W837&gt;=50, "Moderate Demand", "Low Demand"))</f>
        <v>Low Demand</v>
      </c>
      <c r="AA837" s="39" t="str">
        <f aca="false">TEXT(G837, "00") &amp; ":00"</f>
        <v>03:00</v>
      </c>
      <c r="AB837" s="37" t="n">
        <f aca="false">YEAR(B837)</f>
        <v>2011</v>
      </c>
      <c r="AC837" s="35" t="str">
        <f aca="false">TEXT(B837, "mmmm")</f>
        <v>February</v>
      </c>
      <c r="AD837" s="37" t="n">
        <f aca="false">LEN(TEXT(B837, "YYYY-MM-DD"))</f>
        <v>10</v>
      </c>
      <c r="AE837" s="39" t="str">
        <f aca="false">LEFT(TEXT(B837, "YYYY-MM-DD"), 4)</f>
        <v>2011</v>
      </c>
      <c r="AF837" s="39" t="str">
        <f aca="false">RIGHT(TEXT(B837, "YYYY-MM-DD"), 2)</f>
        <v>07</v>
      </c>
    </row>
    <row r="838" customFormat="false" ht="15" hidden="false" customHeight="false" outlineLevel="0" collapsed="false">
      <c r="A838" s="43" t="n">
        <v>834</v>
      </c>
      <c r="B838" s="44" t="s">
        <v>121</v>
      </c>
      <c r="C838" s="43" t="n">
        <v>1</v>
      </c>
      <c r="D838" s="33" t="str">
        <f aca="false">VLOOKUP(C838, Lookups_Metadata!$A$4:$B$7, 2, FALSE())</f>
        <v>Spring</v>
      </c>
      <c r="E838" s="43" t="n">
        <v>0</v>
      </c>
      <c r="F838" s="43" t="n">
        <v>2</v>
      </c>
      <c r="G838" s="43" t="n">
        <v>4</v>
      </c>
      <c r="H838" s="45" t="b">
        <f aca="false">FALSE()</f>
        <v>0</v>
      </c>
      <c r="I838" s="43" t="n">
        <v>1</v>
      </c>
      <c r="J838" s="33" t="str">
        <f aca="false">INDEX(Lookups_Metadata!$E$4:$E$10, MATCH(I838, Lookups_Metadata!$D$4:$D$10, 0))</f>
        <v>Monday</v>
      </c>
      <c r="K838" s="33" t="str">
        <f aca="false">IF(H838=TRUE(), "Holiday", IF(OR(I838=0, I838=6), "Weekend", "Weekday"))</f>
        <v>Weekday</v>
      </c>
      <c r="L838" s="33" t="str">
        <f aca="false">IF(AND(K838="Weekday", OR(AND(G838&gt;=7, G838&lt;=9), AND(G838&gt;=17, G838&lt;=19))), "Peak Commute", "Off-Peak")</f>
        <v>Off-Peak</v>
      </c>
      <c r="M838" s="43" t="n">
        <v>1</v>
      </c>
      <c r="N838" s="33" t="str">
        <f aca="false">VLOOKUP(M838, Lookups_Metadata!$G$4:$H$7, 2, FALSE())</f>
        <v>Clear / Few Clouds</v>
      </c>
      <c r="O838" s="46" t="n">
        <v>0.2</v>
      </c>
      <c r="P838" s="46" t="n">
        <v>0.2576</v>
      </c>
      <c r="Q838" s="46" t="n">
        <f aca="false">IF(OR(P838="", ISBLANK(P838)), ROUND(0.9367*O838+0.0175, 4), P838)</f>
        <v>0.2576</v>
      </c>
      <c r="R838" s="33" t="str">
        <f aca="false">IF(OR(P838="", ISBLANK(P838)), "Imputed (Regression/Trend)", "Original")</f>
        <v>Original</v>
      </c>
      <c r="S838" s="46" t="n">
        <v>0.86</v>
      </c>
      <c r="T838" s="46" t="n">
        <v>0</v>
      </c>
      <c r="U838" s="18" t="n">
        <v>1</v>
      </c>
      <c r="V838" s="18" t="n">
        <v>1</v>
      </c>
      <c r="W838" s="18" t="n">
        <f aca="false">U838+V838</f>
        <v>2</v>
      </c>
      <c r="X838" s="47" t="n">
        <f aca="false">U838/W838</f>
        <v>0.5</v>
      </c>
      <c r="Y838" s="47" t="n">
        <f aca="false">V838/W838</f>
        <v>0.5</v>
      </c>
      <c r="Z838" s="33" t="str">
        <f aca="false">IF(W838&gt;=150, "High Demand", IF(W838&gt;=50, "Moderate Demand", "Low Demand"))</f>
        <v>Low Demand</v>
      </c>
      <c r="AA838" s="45" t="str">
        <f aca="false">TEXT(G838, "00") &amp; ":00"</f>
        <v>04:00</v>
      </c>
      <c r="AB838" s="43" t="n">
        <f aca="false">YEAR(B838)</f>
        <v>2011</v>
      </c>
      <c r="AC838" s="33" t="str">
        <f aca="false">TEXT(B838, "mmmm")</f>
        <v>February</v>
      </c>
      <c r="AD838" s="43" t="n">
        <f aca="false">LEN(TEXT(B838, "YYYY-MM-DD"))</f>
        <v>10</v>
      </c>
      <c r="AE838" s="45" t="str">
        <f aca="false">LEFT(TEXT(B838, "YYYY-MM-DD"), 4)</f>
        <v>2011</v>
      </c>
      <c r="AF838" s="45" t="str">
        <f aca="false">RIGHT(TEXT(B838, "YYYY-MM-DD"), 2)</f>
        <v>07</v>
      </c>
    </row>
    <row r="839" customFormat="false" ht="15" hidden="false" customHeight="false" outlineLevel="0" collapsed="false">
      <c r="A839" s="37" t="n">
        <v>835</v>
      </c>
      <c r="B839" s="38" t="s">
        <v>121</v>
      </c>
      <c r="C839" s="37" t="n">
        <v>1</v>
      </c>
      <c r="D839" s="35" t="str">
        <f aca="false">VLOOKUP(C839, Lookups_Metadata!$A$4:$B$7, 2, FALSE())</f>
        <v>Spring</v>
      </c>
      <c r="E839" s="37" t="n">
        <v>0</v>
      </c>
      <c r="F839" s="37" t="n">
        <v>2</v>
      </c>
      <c r="G839" s="37" t="n">
        <v>5</v>
      </c>
      <c r="H839" s="39" t="b">
        <f aca="false">FALSE()</f>
        <v>0</v>
      </c>
      <c r="I839" s="37" t="n">
        <v>1</v>
      </c>
      <c r="J839" s="35" t="str">
        <f aca="false">INDEX(Lookups_Metadata!$E$4:$E$10, MATCH(I839, Lookups_Metadata!$D$4:$D$10, 0))</f>
        <v>Monday</v>
      </c>
      <c r="K839" s="35" t="str">
        <f aca="false">IF(H839=TRUE(), "Holiday", IF(OR(I839=0, I839=6), "Weekend", "Weekday"))</f>
        <v>Weekday</v>
      </c>
      <c r="L839" s="35" t="str">
        <f aca="false">IF(AND(K839="Weekday", OR(AND(G839&gt;=7, G839&lt;=9), AND(G839&gt;=17, G839&lt;=19))), "Peak Commute", "Off-Peak")</f>
        <v>Off-Peak</v>
      </c>
      <c r="M839" s="37" t="n">
        <v>1</v>
      </c>
      <c r="N839" s="35" t="str">
        <f aca="false">VLOOKUP(M839, Lookups_Metadata!$G$4:$H$7, 2, FALSE())</f>
        <v>Clear / Few Clouds</v>
      </c>
      <c r="O839" s="40" t="n">
        <v>0.2</v>
      </c>
      <c r="P839" s="40" t="n">
        <v>0.2576</v>
      </c>
      <c r="Q839" s="40" t="n">
        <f aca="false">IF(OR(P839="", ISBLANK(P839)), ROUND(0.9367*O839+0.0175, 4), P839)</f>
        <v>0.2576</v>
      </c>
      <c r="R839" s="35" t="str">
        <f aca="false">IF(OR(P839="", ISBLANK(P839)), "Imputed (Regression/Trend)", "Original")</f>
        <v>Original</v>
      </c>
      <c r="S839" s="40" t="n">
        <v>0.86</v>
      </c>
      <c r="T839" s="40" t="n">
        <v>0</v>
      </c>
      <c r="U839" s="41" t="n">
        <v>1</v>
      </c>
      <c r="V839" s="41" t="n">
        <v>9</v>
      </c>
      <c r="W839" s="41" t="n">
        <f aca="false">U839+V839</f>
        <v>10</v>
      </c>
      <c r="X839" s="42" t="n">
        <f aca="false">U839/W839</f>
        <v>0.1</v>
      </c>
      <c r="Y839" s="42" t="n">
        <f aca="false">V839/W839</f>
        <v>0.9</v>
      </c>
      <c r="Z839" s="35" t="str">
        <f aca="false">IF(W839&gt;=150, "High Demand", IF(W839&gt;=50, "Moderate Demand", "Low Demand"))</f>
        <v>Low Demand</v>
      </c>
      <c r="AA839" s="39" t="str">
        <f aca="false">TEXT(G839, "00") &amp; ":00"</f>
        <v>05:00</v>
      </c>
      <c r="AB839" s="37" t="n">
        <f aca="false">YEAR(B839)</f>
        <v>2011</v>
      </c>
      <c r="AC839" s="35" t="str">
        <f aca="false">TEXT(B839, "mmmm")</f>
        <v>February</v>
      </c>
      <c r="AD839" s="37" t="n">
        <f aca="false">LEN(TEXT(B839, "YYYY-MM-DD"))</f>
        <v>10</v>
      </c>
      <c r="AE839" s="39" t="str">
        <f aca="false">LEFT(TEXT(B839, "YYYY-MM-DD"), 4)</f>
        <v>2011</v>
      </c>
      <c r="AF839" s="39" t="str">
        <f aca="false">RIGHT(TEXT(B839, "YYYY-MM-DD"), 2)</f>
        <v>07</v>
      </c>
    </row>
    <row r="840" customFormat="false" ht="15" hidden="false" customHeight="false" outlineLevel="0" collapsed="false">
      <c r="A840" s="43" t="n">
        <v>836</v>
      </c>
      <c r="B840" s="44" t="s">
        <v>121</v>
      </c>
      <c r="C840" s="43" t="n">
        <v>1</v>
      </c>
      <c r="D840" s="33" t="str">
        <f aca="false">VLOOKUP(C840, Lookups_Metadata!$A$4:$B$7, 2, FALSE())</f>
        <v>Spring</v>
      </c>
      <c r="E840" s="43" t="n">
        <v>0</v>
      </c>
      <c r="F840" s="43" t="n">
        <v>2</v>
      </c>
      <c r="G840" s="43" t="n">
        <v>6</v>
      </c>
      <c r="H840" s="45" t="b">
        <f aca="false">FALSE()</f>
        <v>0</v>
      </c>
      <c r="I840" s="43" t="n">
        <v>1</v>
      </c>
      <c r="J840" s="33" t="str">
        <f aca="false">INDEX(Lookups_Metadata!$E$4:$E$10, MATCH(I840, Lookups_Metadata!$D$4:$D$10, 0))</f>
        <v>Monday</v>
      </c>
      <c r="K840" s="33" t="str">
        <f aca="false">IF(H840=TRUE(), "Holiday", IF(OR(I840=0, I840=6), "Weekend", "Weekday"))</f>
        <v>Weekday</v>
      </c>
      <c r="L840" s="33" t="str">
        <f aca="false">IF(AND(K840="Weekday", OR(AND(G840&gt;=7, G840&lt;=9), AND(G840&gt;=17, G840&lt;=19))), "Peak Commute", "Off-Peak")</f>
        <v>Off-Peak</v>
      </c>
      <c r="M840" s="43" t="n">
        <v>1</v>
      </c>
      <c r="N840" s="33" t="str">
        <f aca="false">VLOOKUP(M840, Lookups_Metadata!$G$4:$H$7, 2, FALSE())</f>
        <v>Clear / Few Clouds</v>
      </c>
      <c r="O840" s="46" t="n">
        <v>0.18</v>
      </c>
      <c r="P840" s="46" t="n">
        <v>0.2424</v>
      </c>
      <c r="Q840" s="46" t="n">
        <f aca="false">IF(OR(P840="", ISBLANK(P840)), ROUND(0.9367*O840+0.0175, 4), P840)</f>
        <v>0.2424</v>
      </c>
      <c r="R840" s="33" t="str">
        <f aca="false">IF(OR(P840="", ISBLANK(P840)), "Imputed (Regression/Trend)", "Original")</f>
        <v>Original</v>
      </c>
      <c r="S840" s="46" t="n">
        <v>0.93</v>
      </c>
      <c r="T840" s="46" t="n">
        <v>0</v>
      </c>
      <c r="U840" s="18" t="n">
        <v>1</v>
      </c>
      <c r="V840" s="18" t="n">
        <v>29</v>
      </c>
      <c r="W840" s="18" t="n">
        <f aca="false">U840+V840</f>
        <v>30</v>
      </c>
      <c r="X840" s="47" t="n">
        <f aca="false">U840/W840</f>
        <v>0.0333333333333333</v>
      </c>
      <c r="Y840" s="47" t="n">
        <f aca="false">V840/W840</f>
        <v>0.966666666666667</v>
      </c>
      <c r="Z840" s="33" t="str">
        <f aca="false">IF(W840&gt;=150, "High Demand", IF(W840&gt;=50, "Moderate Demand", "Low Demand"))</f>
        <v>Low Demand</v>
      </c>
      <c r="AA840" s="45" t="str">
        <f aca="false">TEXT(G840, "00") &amp; ":00"</f>
        <v>06:00</v>
      </c>
      <c r="AB840" s="43" t="n">
        <f aca="false">YEAR(B840)</f>
        <v>2011</v>
      </c>
      <c r="AC840" s="33" t="str">
        <f aca="false">TEXT(B840, "mmmm")</f>
        <v>February</v>
      </c>
      <c r="AD840" s="43" t="n">
        <f aca="false">LEN(TEXT(B840, "YYYY-MM-DD"))</f>
        <v>10</v>
      </c>
      <c r="AE840" s="45" t="str">
        <f aca="false">LEFT(TEXT(B840, "YYYY-MM-DD"), 4)</f>
        <v>2011</v>
      </c>
      <c r="AF840" s="45" t="str">
        <f aca="false">RIGHT(TEXT(B840, "YYYY-MM-DD"), 2)</f>
        <v>07</v>
      </c>
    </row>
    <row r="841" customFormat="false" ht="15" hidden="false" customHeight="false" outlineLevel="0" collapsed="false">
      <c r="A841" s="37" t="n">
        <v>837</v>
      </c>
      <c r="B841" s="38" t="s">
        <v>121</v>
      </c>
      <c r="C841" s="37" t="n">
        <v>1</v>
      </c>
      <c r="D841" s="35" t="str">
        <f aca="false">VLOOKUP(C841, Lookups_Metadata!$A$4:$B$7, 2, FALSE())</f>
        <v>Spring</v>
      </c>
      <c r="E841" s="37" t="n">
        <v>0</v>
      </c>
      <c r="F841" s="37" t="n">
        <v>2</v>
      </c>
      <c r="G841" s="37" t="n">
        <v>7</v>
      </c>
      <c r="H841" s="39" t="b">
        <f aca="false">FALSE()</f>
        <v>0</v>
      </c>
      <c r="I841" s="37" t="n">
        <v>1</v>
      </c>
      <c r="J841" s="35" t="str">
        <f aca="false">INDEX(Lookups_Metadata!$E$4:$E$10, MATCH(I841, Lookups_Metadata!$D$4:$D$10, 0))</f>
        <v>Monday</v>
      </c>
      <c r="K841" s="35" t="str">
        <f aca="false">IF(H841=TRUE(), "Holiday", IF(OR(I841=0, I841=6), "Weekend", "Weekday"))</f>
        <v>Weekday</v>
      </c>
      <c r="L841" s="35" t="str">
        <f aca="false">IF(AND(K841="Weekday", OR(AND(G841&gt;=7, G841&lt;=9), AND(G841&gt;=17, G841&lt;=19))), "Peak Commute", "Off-Peak")</f>
        <v>Peak Commute</v>
      </c>
      <c r="M841" s="37" t="n">
        <v>1</v>
      </c>
      <c r="N841" s="35" t="str">
        <f aca="false">VLOOKUP(M841, Lookups_Metadata!$G$4:$H$7, 2, FALSE())</f>
        <v>Clear / Few Clouds</v>
      </c>
      <c r="O841" s="40" t="n">
        <v>0.18</v>
      </c>
      <c r="P841" s="40" t="n">
        <v>0.2424</v>
      </c>
      <c r="Q841" s="40" t="n">
        <f aca="false">IF(OR(P841="", ISBLANK(P841)), ROUND(0.9367*O841+0.0175, 4), P841)</f>
        <v>0.2424</v>
      </c>
      <c r="R841" s="35" t="str">
        <f aca="false">IF(OR(P841="", ISBLANK(P841)), "Imputed (Regression/Trend)", "Original")</f>
        <v>Original</v>
      </c>
      <c r="S841" s="40" t="n">
        <v>0.86</v>
      </c>
      <c r="T841" s="40" t="n">
        <v>0</v>
      </c>
      <c r="U841" s="41" t="n">
        <v>6</v>
      </c>
      <c r="V841" s="41" t="n">
        <v>89</v>
      </c>
      <c r="W841" s="41" t="n">
        <f aca="false">U841+V841</f>
        <v>95</v>
      </c>
      <c r="X841" s="42" t="n">
        <f aca="false">U841/W841</f>
        <v>0.0631578947368421</v>
      </c>
      <c r="Y841" s="42" t="n">
        <f aca="false">V841/W841</f>
        <v>0.936842105263158</v>
      </c>
      <c r="Z841" s="35" t="str">
        <f aca="false">IF(W841&gt;=150, "High Demand", IF(W841&gt;=50, "Moderate Demand", "Low Demand"))</f>
        <v>Moderate Demand</v>
      </c>
      <c r="AA841" s="39" t="str">
        <f aca="false">TEXT(G841, "00") &amp; ":00"</f>
        <v>07:00</v>
      </c>
      <c r="AB841" s="37" t="n">
        <f aca="false">YEAR(B841)</f>
        <v>2011</v>
      </c>
      <c r="AC841" s="35" t="str">
        <f aca="false">TEXT(B841, "mmmm")</f>
        <v>February</v>
      </c>
      <c r="AD841" s="37" t="n">
        <f aca="false">LEN(TEXT(B841, "YYYY-MM-DD"))</f>
        <v>10</v>
      </c>
      <c r="AE841" s="39" t="str">
        <f aca="false">LEFT(TEXT(B841, "YYYY-MM-DD"), 4)</f>
        <v>2011</v>
      </c>
      <c r="AF841" s="39" t="str">
        <f aca="false">RIGHT(TEXT(B841, "YYYY-MM-DD"), 2)</f>
        <v>07</v>
      </c>
    </row>
    <row r="842" customFormat="false" ht="15" hidden="false" customHeight="false" outlineLevel="0" collapsed="false">
      <c r="A842" s="43" t="n">
        <v>838</v>
      </c>
      <c r="B842" s="44" t="s">
        <v>121</v>
      </c>
      <c r="C842" s="43" t="n">
        <v>1</v>
      </c>
      <c r="D842" s="33" t="str">
        <f aca="false">VLOOKUP(C842, Lookups_Metadata!$A$4:$B$7, 2, FALSE())</f>
        <v>Spring</v>
      </c>
      <c r="E842" s="43" t="n">
        <v>0</v>
      </c>
      <c r="F842" s="43" t="n">
        <v>2</v>
      </c>
      <c r="G842" s="43" t="n">
        <v>8</v>
      </c>
      <c r="H842" s="45" t="b">
        <f aca="false">FALSE()</f>
        <v>0</v>
      </c>
      <c r="I842" s="43" t="n">
        <v>1</v>
      </c>
      <c r="J842" s="33" t="str">
        <f aca="false">INDEX(Lookups_Metadata!$E$4:$E$10, MATCH(I842, Lookups_Metadata!$D$4:$D$10, 0))</f>
        <v>Monday</v>
      </c>
      <c r="K842" s="33" t="str">
        <f aca="false">IF(H842=TRUE(), "Holiday", IF(OR(I842=0, I842=6), "Weekend", "Weekday"))</f>
        <v>Weekday</v>
      </c>
      <c r="L842" s="33" t="str">
        <f aca="false">IF(AND(K842="Weekday", OR(AND(G842&gt;=7, G842&lt;=9), AND(G842&gt;=17, G842&lt;=19))), "Peak Commute", "Off-Peak")</f>
        <v>Peak Commute</v>
      </c>
      <c r="M842" s="43" t="n">
        <v>2</v>
      </c>
      <c r="N842" s="33" t="str">
        <f aca="false">VLOOKUP(M842, Lookups_Metadata!$G$4:$H$7, 2, FALSE())</f>
        <v>Mist / Cloudy</v>
      </c>
      <c r="O842" s="46" t="n">
        <v>0.16</v>
      </c>
      <c r="P842" s="46" t="n">
        <v>0.2273</v>
      </c>
      <c r="Q842" s="46" t="n">
        <f aca="false">IF(OR(P842="", ISBLANK(P842)), ROUND(0.9367*O842+0.0175, 4), P842)</f>
        <v>0.2273</v>
      </c>
      <c r="R842" s="33" t="str">
        <f aca="false">IF(OR(P842="", ISBLANK(P842)), "Imputed (Regression/Trend)", "Original")</f>
        <v>Original</v>
      </c>
      <c r="S842" s="46" t="n">
        <v>1</v>
      </c>
      <c r="T842" s="46" t="n">
        <v>0</v>
      </c>
      <c r="U842" s="18" t="n">
        <v>7</v>
      </c>
      <c r="V842" s="18" t="n">
        <v>223</v>
      </c>
      <c r="W842" s="18" t="n">
        <f aca="false">U842+V842</f>
        <v>230</v>
      </c>
      <c r="X842" s="47" t="n">
        <f aca="false">U842/W842</f>
        <v>0.0304347826086957</v>
      </c>
      <c r="Y842" s="47" t="n">
        <f aca="false">V842/W842</f>
        <v>0.969565217391304</v>
      </c>
      <c r="Z842" s="33" t="str">
        <f aca="false">IF(W842&gt;=150, "High Demand", IF(W842&gt;=50, "Moderate Demand", "Low Demand"))</f>
        <v>High Demand</v>
      </c>
      <c r="AA842" s="45" t="str">
        <f aca="false">TEXT(G842, "00") &amp; ":00"</f>
        <v>08:00</v>
      </c>
      <c r="AB842" s="43" t="n">
        <f aca="false">YEAR(B842)</f>
        <v>2011</v>
      </c>
      <c r="AC842" s="33" t="str">
        <f aca="false">TEXT(B842, "mmmm")</f>
        <v>February</v>
      </c>
      <c r="AD842" s="43" t="n">
        <f aca="false">LEN(TEXT(B842, "YYYY-MM-DD"))</f>
        <v>10</v>
      </c>
      <c r="AE842" s="45" t="str">
        <f aca="false">LEFT(TEXT(B842, "YYYY-MM-DD"), 4)</f>
        <v>2011</v>
      </c>
      <c r="AF842" s="45" t="str">
        <f aca="false">RIGHT(TEXT(B842, "YYYY-MM-DD"), 2)</f>
        <v>07</v>
      </c>
    </row>
    <row r="843" customFormat="false" ht="15" hidden="false" customHeight="false" outlineLevel="0" collapsed="false">
      <c r="A843" s="37" t="n">
        <v>839</v>
      </c>
      <c r="B843" s="38" t="s">
        <v>121</v>
      </c>
      <c r="C843" s="37" t="n">
        <v>1</v>
      </c>
      <c r="D843" s="35" t="str">
        <f aca="false">VLOOKUP(C843, Lookups_Metadata!$A$4:$B$7, 2, FALSE())</f>
        <v>Spring</v>
      </c>
      <c r="E843" s="37" t="n">
        <v>0</v>
      </c>
      <c r="F843" s="37" t="n">
        <v>2</v>
      </c>
      <c r="G843" s="37" t="n">
        <v>9</v>
      </c>
      <c r="H843" s="39" t="b">
        <f aca="false">FALSE()</f>
        <v>0</v>
      </c>
      <c r="I843" s="37" t="n">
        <v>1</v>
      </c>
      <c r="J843" s="35" t="str">
        <f aca="false">INDEX(Lookups_Metadata!$E$4:$E$10, MATCH(I843, Lookups_Metadata!$D$4:$D$10, 0))</f>
        <v>Monday</v>
      </c>
      <c r="K843" s="35" t="str">
        <f aca="false">IF(H843=TRUE(), "Holiday", IF(OR(I843=0, I843=6), "Weekend", "Weekday"))</f>
        <v>Weekday</v>
      </c>
      <c r="L843" s="35" t="str">
        <f aca="false">IF(AND(K843="Weekday", OR(AND(G843&gt;=7, G843&lt;=9), AND(G843&gt;=17, G843&lt;=19))), "Peak Commute", "Off-Peak")</f>
        <v>Peak Commute</v>
      </c>
      <c r="M843" s="37" t="n">
        <v>1</v>
      </c>
      <c r="N843" s="35" t="str">
        <f aca="false">VLOOKUP(M843, Lookups_Metadata!$G$4:$H$7, 2, FALSE())</f>
        <v>Clear / Few Clouds</v>
      </c>
      <c r="O843" s="40" t="n">
        <v>0.22</v>
      </c>
      <c r="P843" s="40" t="n">
        <v>0.2727</v>
      </c>
      <c r="Q843" s="40" t="n">
        <f aca="false">IF(OR(P843="", ISBLANK(P843)), ROUND(0.9367*O843+0.0175, 4), P843)</f>
        <v>0.2727</v>
      </c>
      <c r="R843" s="35" t="str">
        <f aca="false">IF(OR(P843="", ISBLANK(P843)), "Imputed (Regression/Trend)", "Original")</f>
        <v>Original</v>
      </c>
      <c r="S843" s="40" t="n">
        <v>0.8</v>
      </c>
      <c r="T843" s="40" t="n">
        <v>0</v>
      </c>
      <c r="U843" s="41" t="n">
        <v>3</v>
      </c>
      <c r="V843" s="41" t="n">
        <v>115</v>
      </c>
      <c r="W843" s="41" t="n">
        <f aca="false">U843+V843</f>
        <v>118</v>
      </c>
      <c r="X843" s="42" t="n">
        <f aca="false">U843/W843</f>
        <v>0.0254237288135593</v>
      </c>
      <c r="Y843" s="42" t="n">
        <f aca="false">V843/W843</f>
        <v>0.974576271186441</v>
      </c>
      <c r="Z843" s="35" t="str">
        <f aca="false">IF(W843&gt;=150, "High Demand", IF(W843&gt;=50, "Moderate Demand", "Low Demand"))</f>
        <v>Moderate Demand</v>
      </c>
      <c r="AA843" s="39" t="str">
        <f aca="false">TEXT(G843, "00") &amp; ":00"</f>
        <v>09:00</v>
      </c>
      <c r="AB843" s="37" t="n">
        <f aca="false">YEAR(B843)</f>
        <v>2011</v>
      </c>
      <c r="AC843" s="35" t="str">
        <f aca="false">TEXT(B843, "mmmm")</f>
        <v>February</v>
      </c>
      <c r="AD843" s="37" t="n">
        <f aca="false">LEN(TEXT(B843, "YYYY-MM-DD"))</f>
        <v>10</v>
      </c>
      <c r="AE843" s="39" t="str">
        <f aca="false">LEFT(TEXT(B843, "YYYY-MM-DD"), 4)</f>
        <v>2011</v>
      </c>
      <c r="AF843" s="39" t="str">
        <f aca="false">RIGHT(TEXT(B843, "YYYY-MM-DD"), 2)</f>
        <v>07</v>
      </c>
    </row>
    <row r="844" customFormat="false" ht="15" hidden="false" customHeight="false" outlineLevel="0" collapsed="false">
      <c r="A844" s="43" t="n">
        <v>840</v>
      </c>
      <c r="B844" s="44" t="s">
        <v>121</v>
      </c>
      <c r="C844" s="43" t="n">
        <v>1</v>
      </c>
      <c r="D844" s="33" t="str">
        <f aca="false">VLOOKUP(C844, Lookups_Metadata!$A$4:$B$7, 2, FALSE())</f>
        <v>Spring</v>
      </c>
      <c r="E844" s="43" t="n">
        <v>0</v>
      </c>
      <c r="F844" s="43" t="n">
        <v>2</v>
      </c>
      <c r="G844" s="43" t="n">
        <v>10</v>
      </c>
      <c r="H844" s="45" t="b">
        <f aca="false">FALSE()</f>
        <v>0</v>
      </c>
      <c r="I844" s="43" t="n">
        <v>1</v>
      </c>
      <c r="J844" s="33" t="str">
        <f aca="false">INDEX(Lookups_Metadata!$E$4:$E$10, MATCH(I844, Lookups_Metadata!$D$4:$D$10, 0))</f>
        <v>Monday</v>
      </c>
      <c r="K844" s="33" t="str">
        <f aca="false">IF(H844=TRUE(), "Holiday", IF(OR(I844=0, I844=6), "Weekend", "Weekday"))</f>
        <v>Weekday</v>
      </c>
      <c r="L844" s="33" t="str">
        <f aca="false">IF(AND(K844="Weekday", OR(AND(G844&gt;=7, G844&lt;=9), AND(G844&gt;=17, G844&lt;=19))), "Peak Commute", "Off-Peak")</f>
        <v>Off-Peak</v>
      </c>
      <c r="M844" s="43" t="n">
        <v>1</v>
      </c>
      <c r="N844" s="33" t="str">
        <f aca="false">VLOOKUP(M844, Lookups_Metadata!$G$4:$H$7, 2, FALSE())</f>
        <v>Clear / Few Clouds</v>
      </c>
      <c r="O844" s="46" t="n">
        <v>0.24</v>
      </c>
      <c r="P844" s="46" t="n">
        <v>0.2576</v>
      </c>
      <c r="Q844" s="46" t="n">
        <f aca="false">IF(OR(P844="", ISBLANK(P844)), ROUND(0.9367*O844+0.0175, 4), P844)</f>
        <v>0.2576</v>
      </c>
      <c r="R844" s="33" t="str">
        <f aca="false">IF(OR(P844="", ISBLANK(P844)), "Imputed (Regression/Trend)", "Original")</f>
        <v>Original</v>
      </c>
      <c r="S844" s="46" t="n">
        <v>0.75</v>
      </c>
      <c r="T844" s="46" t="n">
        <v>0.1045</v>
      </c>
      <c r="U844" s="18" t="n">
        <v>6</v>
      </c>
      <c r="V844" s="18" t="n">
        <v>49</v>
      </c>
      <c r="W844" s="18" t="n">
        <f aca="false">U844+V844</f>
        <v>55</v>
      </c>
      <c r="X844" s="47" t="n">
        <f aca="false">U844/W844</f>
        <v>0.109090909090909</v>
      </c>
      <c r="Y844" s="47" t="n">
        <f aca="false">V844/W844</f>
        <v>0.890909090909091</v>
      </c>
      <c r="Z844" s="33" t="str">
        <f aca="false">IF(W844&gt;=150, "High Demand", IF(W844&gt;=50, "Moderate Demand", "Low Demand"))</f>
        <v>Moderate Demand</v>
      </c>
      <c r="AA844" s="45" t="str">
        <f aca="false">TEXT(G844, "00") &amp; ":00"</f>
        <v>10:00</v>
      </c>
      <c r="AB844" s="43" t="n">
        <f aca="false">YEAR(B844)</f>
        <v>2011</v>
      </c>
      <c r="AC844" s="33" t="str">
        <f aca="false">TEXT(B844, "mmmm")</f>
        <v>February</v>
      </c>
      <c r="AD844" s="43" t="n">
        <f aca="false">LEN(TEXT(B844, "YYYY-MM-DD"))</f>
        <v>10</v>
      </c>
      <c r="AE844" s="45" t="str">
        <f aca="false">LEFT(TEXT(B844, "YYYY-MM-DD"), 4)</f>
        <v>2011</v>
      </c>
      <c r="AF844" s="45" t="str">
        <f aca="false">RIGHT(TEXT(B844, "YYYY-MM-DD"), 2)</f>
        <v>07</v>
      </c>
    </row>
    <row r="845" customFormat="false" ht="15" hidden="false" customHeight="false" outlineLevel="0" collapsed="false">
      <c r="A845" s="37" t="n">
        <v>841</v>
      </c>
      <c r="B845" s="38" t="s">
        <v>121</v>
      </c>
      <c r="C845" s="37" t="n">
        <v>1</v>
      </c>
      <c r="D845" s="35" t="str">
        <f aca="false">VLOOKUP(C845, Lookups_Metadata!$A$4:$B$7, 2, FALSE())</f>
        <v>Spring</v>
      </c>
      <c r="E845" s="37" t="n">
        <v>0</v>
      </c>
      <c r="F845" s="37" t="n">
        <v>2</v>
      </c>
      <c r="G845" s="37" t="n">
        <v>11</v>
      </c>
      <c r="H845" s="39" t="b">
        <f aca="false">FALSE()</f>
        <v>0</v>
      </c>
      <c r="I845" s="37" t="n">
        <v>1</v>
      </c>
      <c r="J845" s="35" t="str">
        <f aca="false">INDEX(Lookups_Metadata!$E$4:$E$10, MATCH(I845, Lookups_Metadata!$D$4:$D$10, 0))</f>
        <v>Monday</v>
      </c>
      <c r="K845" s="35" t="str">
        <f aca="false">IF(H845=TRUE(), "Holiday", IF(OR(I845=0, I845=6), "Weekend", "Weekday"))</f>
        <v>Weekday</v>
      </c>
      <c r="L845" s="35" t="str">
        <f aca="false">IF(AND(K845="Weekday", OR(AND(G845&gt;=7, G845&lt;=9), AND(G845&gt;=17, G845&lt;=19))), "Peak Commute", "Off-Peak")</f>
        <v>Off-Peak</v>
      </c>
      <c r="M845" s="37" t="n">
        <v>1</v>
      </c>
      <c r="N845" s="35" t="str">
        <f aca="false">VLOOKUP(M845, Lookups_Metadata!$G$4:$H$7, 2, FALSE())</f>
        <v>Clear / Few Clouds</v>
      </c>
      <c r="O845" s="40" t="n">
        <v>0.3</v>
      </c>
      <c r="P845" s="40" t="n">
        <v>0.3182</v>
      </c>
      <c r="Q845" s="40" t="n">
        <f aca="false">IF(OR(P845="", ISBLANK(P845)), ROUND(0.9367*O845+0.0175, 4), P845)</f>
        <v>0.3182</v>
      </c>
      <c r="R845" s="35" t="str">
        <f aca="false">IF(OR(P845="", ISBLANK(P845)), "Imputed (Regression/Trend)", "Original")</f>
        <v>Original</v>
      </c>
      <c r="S845" s="40" t="n">
        <v>0.65</v>
      </c>
      <c r="T845" s="40" t="n">
        <v>0.0896</v>
      </c>
      <c r="U845" s="41" t="n">
        <v>11</v>
      </c>
      <c r="V845" s="41" t="n">
        <v>36</v>
      </c>
      <c r="W845" s="41" t="n">
        <f aca="false">U845+V845</f>
        <v>47</v>
      </c>
      <c r="X845" s="42" t="n">
        <f aca="false">U845/W845</f>
        <v>0.234042553191489</v>
      </c>
      <c r="Y845" s="42" t="n">
        <f aca="false">V845/W845</f>
        <v>0.765957446808511</v>
      </c>
      <c r="Z845" s="35" t="str">
        <f aca="false">IF(W845&gt;=150, "High Demand", IF(W845&gt;=50, "Moderate Demand", "Low Demand"))</f>
        <v>Low Demand</v>
      </c>
      <c r="AA845" s="39" t="str">
        <f aca="false">TEXT(G845, "00") &amp; ":00"</f>
        <v>11:00</v>
      </c>
      <c r="AB845" s="37" t="n">
        <f aca="false">YEAR(B845)</f>
        <v>2011</v>
      </c>
      <c r="AC845" s="35" t="str">
        <f aca="false">TEXT(B845, "mmmm")</f>
        <v>February</v>
      </c>
      <c r="AD845" s="37" t="n">
        <f aca="false">LEN(TEXT(B845, "YYYY-MM-DD"))</f>
        <v>10</v>
      </c>
      <c r="AE845" s="39" t="str">
        <f aca="false">LEFT(TEXT(B845, "YYYY-MM-DD"), 4)</f>
        <v>2011</v>
      </c>
      <c r="AF845" s="39" t="str">
        <f aca="false">RIGHT(TEXT(B845, "YYYY-MM-DD"), 2)</f>
        <v>07</v>
      </c>
    </row>
    <row r="846" customFormat="false" ht="15" hidden="false" customHeight="false" outlineLevel="0" collapsed="false">
      <c r="A846" s="43" t="n">
        <v>842</v>
      </c>
      <c r="B846" s="44" t="s">
        <v>121</v>
      </c>
      <c r="C846" s="43" t="n">
        <v>1</v>
      </c>
      <c r="D846" s="33" t="str">
        <f aca="false">VLOOKUP(C846, Lookups_Metadata!$A$4:$B$7, 2, FALSE())</f>
        <v>Spring</v>
      </c>
      <c r="E846" s="43" t="n">
        <v>0</v>
      </c>
      <c r="F846" s="43" t="n">
        <v>2</v>
      </c>
      <c r="G846" s="43" t="n">
        <v>12</v>
      </c>
      <c r="H846" s="45" t="b">
        <f aca="false">FALSE()</f>
        <v>0</v>
      </c>
      <c r="I846" s="43" t="n">
        <v>1</v>
      </c>
      <c r="J846" s="33" t="str">
        <f aca="false">INDEX(Lookups_Metadata!$E$4:$E$10, MATCH(I846, Lookups_Metadata!$D$4:$D$10, 0))</f>
        <v>Monday</v>
      </c>
      <c r="K846" s="33" t="str">
        <f aca="false">IF(H846=TRUE(), "Holiday", IF(OR(I846=0, I846=6), "Weekend", "Weekday"))</f>
        <v>Weekday</v>
      </c>
      <c r="L846" s="33" t="str">
        <f aca="false">IF(AND(K846="Weekday", OR(AND(G846&gt;=7, G846&lt;=9), AND(G846&gt;=17, G846&lt;=19))), "Peak Commute", "Off-Peak")</f>
        <v>Off-Peak</v>
      </c>
      <c r="M846" s="43" t="n">
        <v>2</v>
      </c>
      <c r="N846" s="33" t="str">
        <f aca="false">VLOOKUP(M846, Lookups_Metadata!$G$4:$H$7, 2, FALSE())</f>
        <v>Mist / Cloudy</v>
      </c>
      <c r="O846" s="46" t="n">
        <v>0.32</v>
      </c>
      <c r="P846" s="46" t="n">
        <v>0.3485</v>
      </c>
      <c r="Q846" s="46" t="n">
        <f aca="false">IF(OR(P846="", ISBLANK(P846)), ROUND(0.9367*O846+0.0175, 4), P846)</f>
        <v>0.3485</v>
      </c>
      <c r="R846" s="33" t="str">
        <f aca="false">IF(OR(P846="", ISBLANK(P846)), "Imputed (Regression/Trend)", "Original")</f>
        <v>Original</v>
      </c>
      <c r="S846" s="46" t="n">
        <v>0.62</v>
      </c>
      <c r="T846" s="46" t="n">
        <v>0</v>
      </c>
      <c r="U846" s="18" t="n">
        <v>7</v>
      </c>
      <c r="V846" s="18" t="n">
        <v>59</v>
      </c>
      <c r="W846" s="18" t="n">
        <f aca="false">U846+V846</f>
        <v>66</v>
      </c>
      <c r="X846" s="47" t="n">
        <f aca="false">U846/W846</f>
        <v>0.106060606060606</v>
      </c>
      <c r="Y846" s="47" t="n">
        <f aca="false">V846/W846</f>
        <v>0.893939393939394</v>
      </c>
      <c r="Z846" s="33" t="str">
        <f aca="false">IF(W846&gt;=150, "High Demand", IF(W846&gt;=50, "Moderate Demand", "Low Demand"))</f>
        <v>Moderate Demand</v>
      </c>
      <c r="AA846" s="45" t="str">
        <f aca="false">TEXT(G846, "00") &amp; ":00"</f>
        <v>12:00</v>
      </c>
      <c r="AB846" s="43" t="n">
        <f aca="false">YEAR(B846)</f>
        <v>2011</v>
      </c>
      <c r="AC846" s="33" t="str">
        <f aca="false">TEXT(B846, "mmmm")</f>
        <v>February</v>
      </c>
      <c r="AD846" s="43" t="n">
        <f aca="false">LEN(TEXT(B846, "YYYY-MM-DD"))</f>
        <v>10</v>
      </c>
      <c r="AE846" s="45" t="str">
        <f aca="false">LEFT(TEXT(B846, "YYYY-MM-DD"), 4)</f>
        <v>2011</v>
      </c>
      <c r="AF846" s="45" t="str">
        <f aca="false">RIGHT(TEXT(B846, "YYYY-MM-DD"), 2)</f>
        <v>07</v>
      </c>
    </row>
    <row r="847" customFormat="false" ht="15" hidden="false" customHeight="false" outlineLevel="0" collapsed="false">
      <c r="A847" s="37" t="n">
        <v>843</v>
      </c>
      <c r="B847" s="38" t="s">
        <v>121</v>
      </c>
      <c r="C847" s="37" t="n">
        <v>1</v>
      </c>
      <c r="D847" s="35" t="str">
        <f aca="false">VLOOKUP(C847, Lookups_Metadata!$A$4:$B$7, 2, FALSE())</f>
        <v>Spring</v>
      </c>
      <c r="E847" s="37" t="n">
        <v>0</v>
      </c>
      <c r="F847" s="37" t="n">
        <v>2</v>
      </c>
      <c r="G847" s="37" t="n">
        <v>13</v>
      </c>
      <c r="H847" s="39" t="b">
        <f aca="false">FALSE()</f>
        <v>0</v>
      </c>
      <c r="I847" s="37" t="n">
        <v>1</v>
      </c>
      <c r="J847" s="35" t="str">
        <f aca="false">INDEX(Lookups_Metadata!$E$4:$E$10, MATCH(I847, Lookups_Metadata!$D$4:$D$10, 0))</f>
        <v>Monday</v>
      </c>
      <c r="K847" s="35" t="str">
        <f aca="false">IF(H847=TRUE(), "Holiday", IF(OR(I847=0, I847=6), "Weekend", "Weekday"))</f>
        <v>Weekday</v>
      </c>
      <c r="L847" s="35" t="str">
        <f aca="false">IF(AND(K847="Weekday", OR(AND(G847&gt;=7, G847&lt;=9), AND(G847&gt;=17, G847&lt;=19))), "Peak Commute", "Off-Peak")</f>
        <v>Off-Peak</v>
      </c>
      <c r="M847" s="37" t="n">
        <v>2</v>
      </c>
      <c r="N847" s="35" t="str">
        <f aca="false">VLOOKUP(M847, Lookups_Metadata!$G$4:$H$7, 2, FALSE())</f>
        <v>Mist / Cloudy</v>
      </c>
      <c r="O847" s="40" t="n">
        <v>0.36</v>
      </c>
      <c r="P847" s="40" t="n">
        <v>0.3636</v>
      </c>
      <c r="Q847" s="40" t="n">
        <f aca="false">IF(OR(P847="", ISBLANK(P847)), ROUND(0.9367*O847+0.0175, 4), P847)</f>
        <v>0.3636</v>
      </c>
      <c r="R847" s="35" t="str">
        <f aca="false">IF(OR(P847="", ISBLANK(P847)), "Imputed (Regression/Trend)", "Original")</f>
        <v>Original</v>
      </c>
      <c r="S847" s="40" t="n">
        <v>0.57</v>
      </c>
      <c r="T847" s="40" t="n">
        <v>0.0896</v>
      </c>
      <c r="U847" s="41" t="n">
        <v>10</v>
      </c>
      <c r="V847" s="41" t="n">
        <v>54</v>
      </c>
      <c r="W847" s="41" t="n">
        <f aca="false">U847+V847</f>
        <v>64</v>
      </c>
      <c r="X847" s="42" t="n">
        <f aca="false">U847/W847</f>
        <v>0.15625</v>
      </c>
      <c r="Y847" s="42" t="n">
        <f aca="false">V847/W847</f>
        <v>0.84375</v>
      </c>
      <c r="Z847" s="35" t="str">
        <f aca="false">IF(W847&gt;=150, "High Demand", IF(W847&gt;=50, "Moderate Demand", "Low Demand"))</f>
        <v>Moderate Demand</v>
      </c>
      <c r="AA847" s="39" t="str">
        <f aca="false">TEXT(G847, "00") &amp; ":00"</f>
        <v>13:00</v>
      </c>
      <c r="AB847" s="37" t="n">
        <f aca="false">YEAR(B847)</f>
        <v>2011</v>
      </c>
      <c r="AC847" s="35" t="str">
        <f aca="false">TEXT(B847, "mmmm")</f>
        <v>February</v>
      </c>
      <c r="AD847" s="37" t="n">
        <f aca="false">LEN(TEXT(B847, "YYYY-MM-DD"))</f>
        <v>10</v>
      </c>
      <c r="AE847" s="39" t="str">
        <f aca="false">LEFT(TEXT(B847, "YYYY-MM-DD"), 4)</f>
        <v>2011</v>
      </c>
      <c r="AF847" s="39" t="str">
        <f aca="false">RIGHT(TEXT(B847, "YYYY-MM-DD"), 2)</f>
        <v>07</v>
      </c>
    </row>
    <row r="848" customFormat="false" ht="15" hidden="false" customHeight="false" outlineLevel="0" collapsed="false">
      <c r="A848" s="43" t="n">
        <v>844</v>
      </c>
      <c r="B848" s="44" t="s">
        <v>121</v>
      </c>
      <c r="C848" s="43" t="n">
        <v>1</v>
      </c>
      <c r="D848" s="33" t="str">
        <f aca="false">VLOOKUP(C848, Lookups_Metadata!$A$4:$B$7, 2, FALSE())</f>
        <v>Spring</v>
      </c>
      <c r="E848" s="43" t="n">
        <v>0</v>
      </c>
      <c r="F848" s="43" t="n">
        <v>2</v>
      </c>
      <c r="G848" s="43" t="n">
        <v>14</v>
      </c>
      <c r="H848" s="45" t="b">
        <f aca="false">FALSE()</f>
        <v>0</v>
      </c>
      <c r="I848" s="43" t="n">
        <v>1</v>
      </c>
      <c r="J848" s="33" t="str">
        <f aca="false">INDEX(Lookups_Metadata!$E$4:$E$10, MATCH(I848, Lookups_Metadata!$D$4:$D$10, 0))</f>
        <v>Monday</v>
      </c>
      <c r="K848" s="33" t="str">
        <f aca="false">IF(H848=TRUE(), "Holiday", IF(OR(I848=0, I848=6), "Weekend", "Weekday"))</f>
        <v>Weekday</v>
      </c>
      <c r="L848" s="33" t="str">
        <f aca="false">IF(AND(K848="Weekday", OR(AND(G848&gt;=7, G848&lt;=9), AND(G848&gt;=17, G848&lt;=19))), "Peak Commute", "Off-Peak")</f>
        <v>Off-Peak</v>
      </c>
      <c r="M848" s="43" t="n">
        <v>2</v>
      </c>
      <c r="N848" s="33" t="str">
        <f aca="false">VLOOKUP(M848, Lookups_Metadata!$G$4:$H$7, 2, FALSE())</f>
        <v>Mist / Cloudy</v>
      </c>
      <c r="O848" s="46" t="n">
        <v>0.36</v>
      </c>
      <c r="P848" s="46" t="n">
        <v>0.3636</v>
      </c>
      <c r="Q848" s="46" t="n">
        <f aca="false">IF(OR(P848="", ISBLANK(P848)), ROUND(0.9367*O848+0.0175, 4), P848)</f>
        <v>0.3636</v>
      </c>
      <c r="R848" s="33" t="str">
        <f aca="false">IF(OR(P848="", ISBLANK(P848)), "Imputed (Regression/Trend)", "Original")</f>
        <v>Original</v>
      </c>
      <c r="S848" s="46" t="n">
        <v>0.57</v>
      </c>
      <c r="T848" s="46" t="n">
        <v>0.0896</v>
      </c>
      <c r="U848" s="18" t="n">
        <v>8</v>
      </c>
      <c r="V848" s="18" t="n">
        <v>52</v>
      </c>
      <c r="W848" s="18" t="n">
        <f aca="false">U848+V848</f>
        <v>60</v>
      </c>
      <c r="X848" s="47" t="n">
        <f aca="false">U848/W848</f>
        <v>0.133333333333333</v>
      </c>
      <c r="Y848" s="47" t="n">
        <f aca="false">V848/W848</f>
        <v>0.866666666666667</v>
      </c>
      <c r="Z848" s="33" t="str">
        <f aca="false">IF(W848&gt;=150, "High Demand", IF(W848&gt;=50, "Moderate Demand", "Low Demand"))</f>
        <v>Moderate Demand</v>
      </c>
      <c r="AA848" s="45" t="str">
        <f aca="false">TEXT(G848, "00") &amp; ":00"</f>
        <v>14:00</v>
      </c>
      <c r="AB848" s="43" t="n">
        <f aca="false">YEAR(B848)</f>
        <v>2011</v>
      </c>
      <c r="AC848" s="33" t="str">
        <f aca="false">TEXT(B848, "mmmm")</f>
        <v>February</v>
      </c>
      <c r="AD848" s="43" t="n">
        <f aca="false">LEN(TEXT(B848, "YYYY-MM-DD"))</f>
        <v>10</v>
      </c>
      <c r="AE848" s="45" t="str">
        <f aca="false">LEFT(TEXT(B848, "YYYY-MM-DD"), 4)</f>
        <v>2011</v>
      </c>
      <c r="AF848" s="45" t="str">
        <f aca="false">RIGHT(TEXT(B848, "YYYY-MM-DD"), 2)</f>
        <v>07</v>
      </c>
    </row>
    <row r="849" customFormat="false" ht="15" hidden="false" customHeight="false" outlineLevel="0" collapsed="false">
      <c r="A849" s="37" t="n">
        <v>845</v>
      </c>
      <c r="B849" s="38" t="s">
        <v>121</v>
      </c>
      <c r="C849" s="37" t="n">
        <v>1</v>
      </c>
      <c r="D849" s="35" t="str">
        <f aca="false">VLOOKUP(C849, Lookups_Metadata!$A$4:$B$7, 2, FALSE())</f>
        <v>Spring</v>
      </c>
      <c r="E849" s="37" t="n">
        <v>0</v>
      </c>
      <c r="F849" s="37" t="n">
        <v>2</v>
      </c>
      <c r="G849" s="37" t="n">
        <v>15</v>
      </c>
      <c r="H849" s="39" t="b">
        <f aca="false">FALSE()</f>
        <v>0</v>
      </c>
      <c r="I849" s="37" t="n">
        <v>1</v>
      </c>
      <c r="J849" s="35" t="str">
        <f aca="false">INDEX(Lookups_Metadata!$E$4:$E$10, MATCH(I849, Lookups_Metadata!$D$4:$D$10, 0))</f>
        <v>Monday</v>
      </c>
      <c r="K849" s="35" t="str">
        <f aca="false">IF(H849=TRUE(), "Holiday", IF(OR(I849=0, I849=6), "Weekend", "Weekday"))</f>
        <v>Weekday</v>
      </c>
      <c r="L849" s="35" t="str">
        <f aca="false">IF(AND(K849="Weekday", OR(AND(G849&gt;=7, G849&lt;=9), AND(G849&gt;=17, G849&lt;=19))), "Peak Commute", "Off-Peak")</f>
        <v>Off-Peak</v>
      </c>
      <c r="M849" s="37" t="n">
        <v>2</v>
      </c>
      <c r="N849" s="35" t="str">
        <f aca="false">VLOOKUP(M849, Lookups_Metadata!$G$4:$H$7, 2, FALSE())</f>
        <v>Mist / Cloudy</v>
      </c>
      <c r="O849" s="40" t="n">
        <v>0.38</v>
      </c>
      <c r="P849" s="40" t="n">
        <v>0.3939</v>
      </c>
      <c r="Q849" s="40" t="n">
        <f aca="false">IF(OR(P849="", ISBLANK(P849)), ROUND(0.9367*O849+0.0175, 4), P849)</f>
        <v>0.3939</v>
      </c>
      <c r="R849" s="35" t="str">
        <f aca="false">IF(OR(P849="", ISBLANK(P849)), "Imputed (Regression/Trend)", "Original")</f>
        <v>Original</v>
      </c>
      <c r="S849" s="40" t="n">
        <v>0.54</v>
      </c>
      <c r="T849" s="40" t="n">
        <v>0.0896</v>
      </c>
      <c r="U849" s="41" t="n">
        <v>4</v>
      </c>
      <c r="V849" s="41" t="n">
        <v>46</v>
      </c>
      <c r="W849" s="41" t="n">
        <f aca="false">U849+V849</f>
        <v>50</v>
      </c>
      <c r="X849" s="42" t="n">
        <f aca="false">U849/W849</f>
        <v>0.08</v>
      </c>
      <c r="Y849" s="42" t="n">
        <f aca="false">V849/W849</f>
        <v>0.92</v>
      </c>
      <c r="Z849" s="35" t="str">
        <f aca="false">IF(W849&gt;=150, "High Demand", IF(W849&gt;=50, "Moderate Demand", "Low Demand"))</f>
        <v>Moderate Demand</v>
      </c>
      <c r="AA849" s="39" t="str">
        <f aca="false">TEXT(G849, "00") &amp; ":00"</f>
        <v>15:00</v>
      </c>
      <c r="AB849" s="37" t="n">
        <f aca="false">YEAR(B849)</f>
        <v>2011</v>
      </c>
      <c r="AC849" s="35" t="str">
        <f aca="false">TEXT(B849, "mmmm")</f>
        <v>February</v>
      </c>
      <c r="AD849" s="37" t="n">
        <f aca="false">LEN(TEXT(B849, "YYYY-MM-DD"))</f>
        <v>10</v>
      </c>
      <c r="AE849" s="39" t="str">
        <f aca="false">LEFT(TEXT(B849, "YYYY-MM-DD"), 4)</f>
        <v>2011</v>
      </c>
      <c r="AF849" s="39" t="str">
        <f aca="false">RIGHT(TEXT(B849, "YYYY-MM-DD"), 2)</f>
        <v>07</v>
      </c>
    </row>
    <row r="850" customFormat="false" ht="15" hidden="false" customHeight="false" outlineLevel="0" collapsed="false">
      <c r="A850" s="43" t="n">
        <v>846</v>
      </c>
      <c r="B850" s="44" t="s">
        <v>121</v>
      </c>
      <c r="C850" s="43" t="n">
        <v>1</v>
      </c>
      <c r="D850" s="33" t="str">
        <f aca="false">VLOOKUP(C850, Lookups_Metadata!$A$4:$B$7, 2, FALSE())</f>
        <v>Spring</v>
      </c>
      <c r="E850" s="43" t="n">
        <v>0</v>
      </c>
      <c r="F850" s="43" t="n">
        <v>2</v>
      </c>
      <c r="G850" s="43" t="n">
        <v>16</v>
      </c>
      <c r="H850" s="45" t="b">
        <f aca="false">FALSE()</f>
        <v>0</v>
      </c>
      <c r="I850" s="43" t="n">
        <v>1</v>
      </c>
      <c r="J850" s="33" t="str">
        <f aca="false">INDEX(Lookups_Metadata!$E$4:$E$10, MATCH(I850, Lookups_Metadata!$D$4:$D$10, 0))</f>
        <v>Monday</v>
      </c>
      <c r="K850" s="33" t="str">
        <f aca="false">IF(H850=TRUE(), "Holiday", IF(OR(I850=0, I850=6), "Weekend", "Weekday"))</f>
        <v>Weekday</v>
      </c>
      <c r="L850" s="33" t="str">
        <f aca="false">IF(AND(K850="Weekday", OR(AND(G850&gt;=7, G850&lt;=9), AND(G850&gt;=17, G850&lt;=19))), "Peak Commute", "Off-Peak")</f>
        <v>Off-Peak</v>
      </c>
      <c r="M850" s="43" t="n">
        <v>2</v>
      </c>
      <c r="N850" s="33" t="str">
        <f aca="false">VLOOKUP(M850, Lookups_Metadata!$G$4:$H$7, 2, FALSE())</f>
        <v>Mist / Cloudy</v>
      </c>
      <c r="O850" s="46" t="n">
        <v>0.36</v>
      </c>
      <c r="P850" s="46" t="n">
        <v>0.3485</v>
      </c>
      <c r="Q850" s="46" t="n">
        <f aca="false">IF(OR(P850="", ISBLANK(P850)), ROUND(0.9367*O850+0.0175, 4), P850)</f>
        <v>0.3485</v>
      </c>
      <c r="R850" s="33" t="str">
        <f aca="false">IF(OR(P850="", ISBLANK(P850)), "Imputed (Regression/Trend)", "Original")</f>
        <v>Original</v>
      </c>
      <c r="S850" s="46" t="n">
        <v>0.57</v>
      </c>
      <c r="T850" s="46" t="n">
        <v>0.1343</v>
      </c>
      <c r="U850" s="18" t="n">
        <v>16</v>
      </c>
      <c r="V850" s="18" t="n">
        <v>98</v>
      </c>
      <c r="W850" s="18" t="n">
        <f aca="false">U850+V850</f>
        <v>114</v>
      </c>
      <c r="X850" s="47" t="n">
        <f aca="false">U850/W850</f>
        <v>0.140350877192982</v>
      </c>
      <c r="Y850" s="47" t="n">
        <f aca="false">V850/W850</f>
        <v>0.859649122807018</v>
      </c>
      <c r="Z850" s="33" t="str">
        <f aca="false">IF(W850&gt;=150, "High Demand", IF(W850&gt;=50, "Moderate Demand", "Low Demand"))</f>
        <v>Moderate Demand</v>
      </c>
      <c r="AA850" s="45" t="str">
        <f aca="false">TEXT(G850, "00") &amp; ":00"</f>
        <v>16:00</v>
      </c>
      <c r="AB850" s="43" t="n">
        <f aca="false">YEAR(B850)</f>
        <v>2011</v>
      </c>
      <c r="AC850" s="33" t="str">
        <f aca="false">TEXT(B850, "mmmm")</f>
        <v>February</v>
      </c>
      <c r="AD850" s="43" t="n">
        <f aca="false">LEN(TEXT(B850, "YYYY-MM-DD"))</f>
        <v>10</v>
      </c>
      <c r="AE850" s="45" t="str">
        <f aca="false">LEFT(TEXT(B850, "YYYY-MM-DD"), 4)</f>
        <v>2011</v>
      </c>
      <c r="AF850" s="45" t="str">
        <f aca="false">RIGHT(TEXT(B850, "YYYY-MM-DD"), 2)</f>
        <v>07</v>
      </c>
    </row>
    <row r="851" customFormat="false" ht="15" hidden="false" customHeight="false" outlineLevel="0" collapsed="false">
      <c r="A851" s="37" t="n">
        <v>847</v>
      </c>
      <c r="B851" s="38" t="s">
        <v>121</v>
      </c>
      <c r="C851" s="37" t="n">
        <v>1</v>
      </c>
      <c r="D851" s="35" t="str">
        <f aca="false">VLOOKUP(C851, Lookups_Metadata!$A$4:$B$7, 2, FALSE())</f>
        <v>Spring</v>
      </c>
      <c r="E851" s="37" t="n">
        <v>0</v>
      </c>
      <c r="F851" s="37" t="n">
        <v>2</v>
      </c>
      <c r="G851" s="37" t="n">
        <v>17</v>
      </c>
      <c r="H851" s="39" t="b">
        <f aca="false">FALSE()</f>
        <v>0</v>
      </c>
      <c r="I851" s="37" t="n">
        <v>1</v>
      </c>
      <c r="J851" s="35" t="str">
        <f aca="false">INDEX(Lookups_Metadata!$E$4:$E$10, MATCH(I851, Lookups_Metadata!$D$4:$D$10, 0))</f>
        <v>Monday</v>
      </c>
      <c r="K851" s="35" t="str">
        <f aca="false">IF(H851=TRUE(), "Holiday", IF(OR(I851=0, I851=6), "Weekend", "Weekday"))</f>
        <v>Weekday</v>
      </c>
      <c r="L851" s="35" t="str">
        <f aca="false">IF(AND(K851="Weekday", OR(AND(G851&gt;=7, G851&lt;=9), AND(G851&gt;=17, G851&lt;=19))), "Peak Commute", "Off-Peak")</f>
        <v>Peak Commute</v>
      </c>
      <c r="M851" s="37" t="n">
        <v>2</v>
      </c>
      <c r="N851" s="35" t="str">
        <f aca="false">VLOOKUP(M851, Lookups_Metadata!$G$4:$H$7, 2, FALSE())</f>
        <v>Mist / Cloudy</v>
      </c>
      <c r="O851" s="40" t="n">
        <v>0.32</v>
      </c>
      <c r="P851" s="40" t="n">
        <v>0.3182</v>
      </c>
      <c r="Q851" s="40" t="n">
        <f aca="false">IF(OR(P851="", ISBLANK(P851)), ROUND(0.9367*O851+0.0175, 4), P851)</f>
        <v>0.3182</v>
      </c>
      <c r="R851" s="35" t="str">
        <f aca="false">IF(OR(P851="", ISBLANK(P851)), "Imputed (Regression/Trend)", "Original")</f>
        <v>Original</v>
      </c>
      <c r="S851" s="40" t="n">
        <v>0.7</v>
      </c>
      <c r="T851" s="40" t="n">
        <v>0.1642</v>
      </c>
      <c r="U851" s="41" t="n">
        <v>9</v>
      </c>
      <c r="V851" s="41" t="n">
        <v>207</v>
      </c>
      <c r="W851" s="41" t="n">
        <f aca="false">U851+V851</f>
        <v>216</v>
      </c>
      <c r="X851" s="42" t="n">
        <f aca="false">U851/W851</f>
        <v>0.0416666666666667</v>
      </c>
      <c r="Y851" s="42" t="n">
        <f aca="false">V851/W851</f>
        <v>0.958333333333333</v>
      </c>
      <c r="Z851" s="35" t="str">
        <f aca="false">IF(W851&gt;=150, "High Demand", IF(W851&gt;=50, "Moderate Demand", "Low Demand"))</f>
        <v>High Demand</v>
      </c>
      <c r="AA851" s="39" t="str">
        <f aca="false">TEXT(G851, "00") &amp; ":00"</f>
        <v>17:00</v>
      </c>
      <c r="AB851" s="37" t="n">
        <f aca="false">YEAR(B851)</f>
        <v>2011</v>
      </c>
      <c r="AC851" s="35" t="str">
        <f aca="false">TEXT(B851, "mmmm")</f>
        <v>February</v>
      </c>
      <c r="AD851" s="37" t="n">
        <f aca="false">LEN(TEXT(B851, "YYYY-MM-DD"))</f>
        <v>10</v>
      </c>
      <c r="AE851" s="39" t="str">
        <f aca="false">LEFT(TEXT(B851, "YYYY-MM-DD"), 4)</f>
        <v>2011</v>
      </c>
      <c r="AF851" s="39" t="str">
        <f aca="false">RIGHT(TEXT(B851, "YYYY-MM-DD"), 2)</f>
        <v>07</v>
      </c>
    </row>
    <row r="852" customFormat="false" ht="15" hidden="false" customHeight="false" outlineLevel="0" collapsed="false">
      <c r="A852" s="43" t="n">
        <v>848</v>
      </c>
      <c r="B852" s="44" t="s">
        <v>121</v>
      </c>
      <c r="C852" s="43" t="n">
        <v>1</v>
      </c>
      <c r="D852" s="33" t="str">
        <f aca="false">VLOOKUP(C852, Lookups_Metadata!$A$4:$B$7, 2, FALSE())</f>
        <v>Spring</v>
      </c>
      <c r="E852" s="43" t="n">
        <v>0</v>
      </c>
      <c r="F852" s="43" t="n">
        <v>2</v>
      </c>
      <c r="G852" s="43" t="n">
        <v>18</v>
      </c>
      <c r="H852" s="45" t="b">
        <f aca="false">FALSE()</f>
        <v>0</v>
      </c>
      <c r="I852" s="43" t="n">
        <v>1</v>
      </c>
      <c r="J852" s="33" t="str">
        <f aca="false">INDEX(Lookups_Metadata!$E$4:$E$10, MATCH(I852, Lookups_Metadata!$D$4:$D$10, 0))</f>
        <v>Monday</v>
      </c>
      <c r="K852" s="33" t="str">
        <f aca="false">IF(H852=TRUE(), "Holiday", IF(OR(I852=0, I852=6), "Weekend", "Weekday"))</f>
        <v>Weekday</v>
      </c>
      <c r="L852" s="33" t="str">
        <f aca="false">IF(AND(K852="Weekday", OR(AND(G852&gt;=7, G852&lt;=9), AND(G852&gt;=17, G852&lt;=19))), "Peak Commute", "Off-Peak")</f>
        <v>Peak Commute</v>
      </c>
      <c r="M852" s="43" t="n">
        <v>2</v>
      </c>
      <c r="N852" s="33" t="str">
        <f aca="false">VLOOKUP(M852, Lookups_Metadata!$G$4:$H$7, 2, FALSE())</f>
        <v>Mist / Cloudy</v>
      </c>
      <c r="O852" s="46" t="n">
        <v>0.34</v>
      </c>
      <c r="P852" s="46" t="n">
        <v>0.3333</v>
      </c>
      <c r="Q852" s="46" t="n">
        <f aca="false">IF(OR(P852="", ISBLANK(P852)), ROUND(0.9367*O852+0.0175, 4), P852)</f>
        <v>0.3333</v>
      </c>
      <c r="R852" s="33" t="str">
        <f aca="false">IF(OR(P852="", ISBLANK(P852)), "Imputed (Regression/Trend)", "Original")</f>
        <v>Original</v>
      </c>
      <c r="S852" s="46" t="n">
        <v>0.66</v>
      </c>
      <c r="T852" s="46" t="n">
        <v>0.1343</v>
      </c>
      <c r="U852" s="18" t="n">
        <v>5</v>
      </c>
      <c r="V852" s="18" t="n">
        <v>170</v>
      </c>
      <c r="W852" s="18" t="n">
        <f aca="false">U852+V852</f>
        <v>175</v>
      </c>
      <c r="X852" s="47" t="n">
        <f aca="false">U852/W852</f>
        <v>0.0285714285714286</v>
      </c>
      <c r="Y852" s="47" t="n">
        <f aca="false">V852/W852</f>
        <v>0.971428571428571</v>
      </c>
      <c r="Z852" s="33" t="str">
        <f aca="false">IF(W852&gt;=150, "High Demand", IF(W852&gt;=50, "Moderate Demand", "Low Demand"))</f>
        <v>High Demand</v>
      </c>
      <c r="AA852" s="45" t="str">
        <f aca="false">TEXT(G852, "00") &amp; ":00"</f>
        <v>18:00</v>
      </c>
      <c r="AB852" s="43" t="n">
        <f aca="false">YEAR(B852)</f>
        <v>2011</v>
      </c>
      <c r="AC852" s="33" t="str">
        <f aca="false">TEXT(B852, "mmmm")</f>
        <v>February</v>
      </c>
      <c r="AD852" s="43" t="n">
        <f aca="false">LEN(TEXT(B852, "YYYY-MM-DD"))</f>
        <v>10</v>
      </c>
      <c r="AE852" s="45" t="str">
        <f aca="false">LEFT(TEXT(B852, "YYYY-MM-DD"), 4)</f>
        <v>2011</v>
      </c>
      <c r="AF852" s="45" t="str">
        <f aca="false">RIGHT(TEXT(B852, "YYYY-MM-DD"), 2)</f>
        <v>07</v>
      </c>
    </row>
    <row r="853" customFormat="false" ht="15" hidden="false" customHeight="false" outlineLevel="0" collapsed="false">
      <c r="A853" s="37" t="n">
        <v>849</v>
      </c>
      <c r="B853" s="38" t="s">
        <v>121</v>
      </c>
      <c r="C853" s="37" t="n">
        <v>1</v>
      </c>
      <c r="D853" s="35" t="str">
        <f aca="false">VLOOKUP(C853, Lookups_Metadata!$A$4:$B$7, 2, FALSE())</f>
        <v>Spring</v>
      </c>
      <c r="E853" s="37" t="n">
        <v>0</v>
      </c>
      <c r="F853" s="37" t="n">
        <v>2</v>
      </c>
      <c r="G853" s="37" t="n">
        <v>19</v>
      </c>
      <c r="H853" s="39" t="b">
        <f aca="false">FALSE()</f>
        <v>0</v>
      </c>
      <c r="I853" s="37" t="n">
        <v>1</v>
      </c>
      <c r="J853" s="35" t="str">
        <f aca="false">INDEX(Lookups_Metadata!$E$4:$E$10, MATCH(I853, Lookups_Metadata!$D$4:$D$10, 0))</f>
        <v>Monday</v>
      </c>
      <c r="K853" s="35" t="str">
        <f aca="false">IF(H853=TRUE(), "Holiday", IF(OR(I853=0, I853=6), "Weekend", "Weekday"))</f>
        <v>Weekday</v>
      </c>
      <c r="L853" s="35" t="str">
        <f aca="false">IF(AND(K853="Weekday", OR(AND(G853&gt;=7, G853&lt;=9), AND(G853&gt;=17, G853&lt;=19))), "Peak Commute", "Off-Peak")</f>
        <v>Peak Commute</v>
      </c>
      <c r="M853" s="37" t="n">
        <v>2</v>
      </c>
      <c r="N853" s="35" t="str">
        <f aca="false">VLOOKUP(M853, Lookups_Metadata!$G$4:$H$7, 2, FALSE())</f>
        <v>Mist / Cloudy</v>
      </c>
      <c r="O853" s="40" t="n">
        <v>0.32</v>
      </c>
      <c r="P853" s="40" t="n">
        <v>0.3485</v>
      </c>
      <c r="Q853" s="40" t="n">
        <f aca="false">IF(OR(P853="", ISBLANK(P853)), ROUND(0.9367*O853+0.0175, 4), P853)</f>
        <v>0.3485</v>
      </c>
      <c r="R853" s="35" t="str">
        <f aca="false">IF(OR(P853="", ISBLANK(P853)), "Imputed (Regression/Trend)", "Original")</f>
        <v>Original</v>
      </c>
      <c r="S853" s="40" t="n">
        <v>0.7</v>
      </c>
      <c r="T853" s="40" t="n">
        <v>0</v>
      </c>
      <c r="U853" s="41" t="n">
        <v>5</v>
      </c>
      <c r="V853" s="41" t="n">
        <v>123</v>
      </c>
      <c r="W853" s="41" t="n">
        <f aca="false">U853+V853</f>
        <v>128</v>
      </c>
      <c r="X853" s="42" t="n">
        <f aca="false">U853/W853</f>
        <v>0.0390625</v>
      </c>
      <c r="Y853" s="42" t="n">
        <f aca="false">V853/W853</f>
        <v>0.9609375</v>
      </c>
      <c r="Z853" s="35" t="str">
        <f aca="false">IF(W853&gt;=150, "High Demand", IF(W853&gt;=50, "Moderate Demand", "Low Demand"))</f>
        <v>Moderate Demand</v>
      </c>
      <c r="AA853" s="39" t="str">
        <f aca="false">TEXT(G853, "00") &amp; ":00"</f>
        <v>19:00</v>
      </c>
      <c r="AB853" s="37" t="n">
        <f aca="false">YEAR(B853)</f>
        <v>2011</v>
      </c>
      <c r="AC853" s="35" t="str">
        <f aca="false">TEXT(B853, "mmmm")</f>
        <v>February</v>
      </c>
      <c r="AD853" s="37" t="n">
        <f aca="false">LEN(TEXT(B853, "YYYY-MM-DD"))</f>
        <v>10</v>
      </c>
      <c r="AE853" s="39" t="str">
        <f aca="false">LEFT(TEXT(B853, "YYYY-MM-DD"), 4)</f>
        <v>2011</v>
      </c>
      <c r="AF853" s="39" t="str">
        <f aca="false">RIGHT(TEXT(B853, "YYYY-MM-DD"), 2)</f>
        <v>07</v>
      </c>
    </row>
    <row r="854" customFormat="false" ht="15" hidden="false" customHeight="false" outlineLevel="0" collapsed="false">
      <c r="A854" s="43" t="n">
        <v>850</v>
      </c>
      <c r="B854" s="44" t="s">
        <v>121</v>
      </c>
      <c r="C854" s="43" t="n">
        <v>1</v>
      </c>
      <c r="D854" s="33" t="str">
        <f aca="false">VLOOKUP(C854, Lookups_Metadata!$A$4:$B$7, 2, FALSE())</f>
        <v>Spring</v>
      </c>
      <c r="E854" s="43" t="n">
        <v>0</v>
      </c>
      <c r="F854" s="43" t="n">
        <v>2</v>
      </c>
      <c r="G854" s="43" t="n">
        <v>20</v>
      </c>
      <c r="H854" s="45" t="b">
        <f aca="false">FALSE()</f>
        <v>0</v>
      </c>
      <c r="I854" s="43" t="n">
        <v>1</v>
      </c>
      <c r="J854" s="33" t="str">
        <f aca="false">INDEX(Lookups_Metadata!$E$4:$E$10, MATCH(I854, Lookups_Metadata!$D$4:$D$10, 0))</f>
        <v>Monday</v>
      </c>
      <c r="K854" s="33" t="str">
        <f aca="false">IF(H854=TRUE(), "Holiday", IF(OR(I854=0, I854=6), "Weekend", "Weekday"))</f>
        <v>Weekday</v>
      </c>
      <c r="L854" s="33" t="str">
        <f aca="false">IF(AND(K854="Weekday", OR(AND(G854&gt;=7, G854&lt;=9), AND(G854&gt;=17, G854&lt;=19))), "Peak Commute", "Off-Peak")</f>
        <v>Off-Peak</v>
      </c>
      <c r="M854" s="43" t="n">
        <v>2</v>
      </c>
      <c r="N854" s="33" t="str">
        <f aca="false">VLOOKUP(M854, Lookups_Metadata!$G$4:$H$7, 2, FALSE())</f>
        <v>Mist / Cloudy</v>
      </c>
      <c r="O854" s="46" t="n">
        <v>0.32</v>
      </c>
      <c r="P854" s="46" t="n">
        <v>0.3333</v>
      </c>
      <c r="Q854" s="46" t="n">
        <f aca="false">IF(OR(P854="", ISBLANK(P854)), ROUND(0.9367*O854+0.0175, 4), P854)</f>
        <v>0.3333</v>
      </c>
      <c r="R854" s="33" t="str">
        <f aca="false">IF(OR(P854="", ISBLANK(P854)), "Imputed (Regression/Trend)", "Original")</f>
        <v>Original</v>
      </c>
      <c r="S854" s="46" t="n">
        <v>0.7</v>
      </c>
      <c r="T854" s="46" t="n">
        <v>0.1045</v>
      </c>
      <c r="U854" s="18" t="n">
        <v>6</v>
      </c>
      <c r="V854" s="18" t="n">
        <v>82</v>
      </c>
      <c r="W854" s="18" t="n">
        <f aca="false">U854+V854</f>
        <v>88</v>
      </c>
      <c r="X854" s="47" t="n">
        <f aca="false">U854/W854</f>
        <v>0.0681818181818182</v>
      </c>
      <c r="Y854" s="47" t="n">
        <f aca="false">V854/W854</f>
        <v>0.931818181818182</v>
      </c>
      <c r="Z854" s="33" t="str">
        <f aca="false">IF(W854&gt;=150, "High Demand", IF(W854&gt;=50, "Moderate Demand", "Low Demand"))</f>
        <v>Moderate Demand</v>
      </c>
      <c r="AA854" s="45" t="str">
        <f aca="false">TEXT(G854, "00") &amp; ":00"</f>
        <v>20:00</v>
      </c>
      <c r="AB854" s="43" t="n">
        <f aca="false">YEAR(B854)</f>
        <v>2011</v>
      </c>
      <c r="AC854" s="33" t="str">
        <f aca="false">TEXT(B854, "mmmm")</f>
        <v>February</v>
      </c>
      <c r="AD854" s="43" t="n">
        <f aca="false">LEN(TEXT(B854, "YYYY-MM-DD"))</f>
        <v>10</v>
      </c>
      <c r="AE854" s="45" t="str">
        <f aca="false">LEFT(TEXT(B854, "YYYY-MM-DD"), 4)</f>
        <v>2011</v>
      </c>
      <c r="AF854" s="45" t="str">
        <f aca="false">RIGHT(TEXT(B854, "YYYY-MM-DD"), 2)</f>
        <v>07</v>
      </c>
    </row>
    <row r="855" customFormat="false" ht="15" hidden="false" customHeight="false" outlineLevel="0" collapsed="false">
      <c r="A855" s="37" t="n">
        <v>851</v>
      </c>
      <c r="B855" s="38" t="s">
        <v>121</v>
      </c>
      <c r="C855" s="37" t="n">
        <v>1</v>
      </c>
      <c r="D855" s="35" t="str">
        <f aca="false">VLOOKUP(C855, Lookups_Metadata!$A$4:$B$7, 2, FALSE())</f>
        <v>Spring</v>
      </c>
      <c r="E855" s="37" t="n">
        <v>0</v>
      </c>
      <c r="F855" s="37" t="n">
        <v>2</v>
      </c>
      <c r="G855" s="37" t="n">
        <v>21</v>
      </c>
      <c r="H855" s="39" t="b">
        <f aca="false">FALSE()</f>
        <v>0</v>
      </c>
      <c r="I855" s="37" t="n">
        <v>1</v>
      </c>
      <c r="J855" s="35" t="str">
        <f aca="false">INDEX(Lookups_Metadata!$E$4:$E$10, MATCH(I855, Lookups_Metadata!$D$4:$D$10, 0))</f>
        <v>Monday</v>
      </c>
      <c r="K855" s="35" t="str">
        <f aca="false">IF(H855=TRUE(), "Holiday", IF(OR(I855=0, I855=6), "Weekend", "Weekday"))</f>
        <v>Weekday</v>
      </c>
      <c r="L855" s="35" t="str">
        <f aca="false">IF(AND(K855="Weekday", OR(AND(G855&gt;=7, G855&lt;=9), AND(G855&gt;=17, G855&lt;=19))), "Peak Commute", "Off-Peak")</f>
        <v>Off-Peak</v>
      </c>
      <c r="M855" s="37" t="n">
        <v>1</v>
      </c>
      <c r="N855" s="35" t="str">
        <f aca="false">VLOOKUP(M855, Lookups_Metadata!$G$4:$H$7, 2, FALSE())</f>
        <v>Clear / Few Clouds</v>
      </c>
      <c r="O855" s="40" t="n">
        <v>0.32</v>
      </c>
      <c r="P855" s="40" t="n">
        <v>0.3485</v>
      </c>
      <c r="Q855" s="40" t="n">
        <f aca="false">IF(OR(P855="", ISBLANK(P855)), ROUND(0.9367*O855+0.0175, 4), P855)</f>
        <v>0.3485</v>
      </c>
      <c r="R855" s="35" t="str">
        <f aca="false">IF(OR(P855="", ISBLANK(P855)), "Imputed (Regression/Trend)", "Original")</f>
        <v>Original</v>
      </c>
      <c r="S855" s="40" t="n">
        <v>0.7</v>
      </c>
      <c r="T855" s="40" t="n">
        <v>0</v>
      </c>
      <c r="U855" s="41" t="n">
        <v>3</v>
      </c>
      <c r="V855" s="41" t="n">
        <v>75</v>
      </c>
      <c r="W855" s="41" t="n">
        <f aca="false">U855+V855</f>
        <v>78</v>
      </c>
      <c r="X855" s="42" t="n">
        <f aca="false">U855/W855</f>
        <v>0.0384615384615385</v>
      </c>
      <c r="Y855" s="42" t="n">
        <f aca="false">V855/W855</f>
        <v>0.961538461538462</v>
      </c>
      <c r="Z855" s="35" t="str">
        <f aca="false">IF(W855&gt;=150, "High Demand", IF(W855&gt;=50, "Moderate Demand", "Low Demand"))</f>
        <v>Moderate Demand</v>
      </c>
      <c r="AA855" s="39" t="str">
        <f aca="false">TEXT(G855, "00") &amp; ":00"</f>
        <v>21:00</v>
      </c>
      <c r="AB855" s="37" t="n">
        <f aca="false">YEAR(B855)</f>
        <v>2011</v>
      </c>
      <c r="AC855" s="35" t="str">
        <f aca="false">TEXT(B855, "mmmm")</f>
        <v>February</v>
      </c>
      <c r="AD855" s="37" t="n">
        <f aca="false">LEN(TEXT(B855, "YYYY-MM-DD"))</f>
        <v>10</v>
      </c>
      <c r="AE855" s="39" t="str">
        <f aca="false">LEFT(TEXT(B855, "YYYY-MM-DD"), 4)</f>
        <v>2011</v>
      </c>
      <c r="AF855" s="39" t="str">
        <f aca="false">RIGHT(TEXT(B855, "YYYY-MM-DD"), 2)</f>
        <v>07</v>
      </c>
    </row>
    <row r="856" customFormat="false" ht="15" hidden="false" customHeight="false" outlineLevel="0" collapsed="false">
      <c r="A856" s="43" t="n">
        <v>852</v>
      </c>
      <c r="B856" s="44" t="s">
        <v>121</v>
      </c>
      <c r="C856" s="43" t="n">
        <v>1</v>
      </c>
      <c r="D856" s="33" t="str">
        <f aca="false">VLOOKUP(C856, Lookups_Metadata!$A$4:$B$7, 2, FALSE())</f>
        <v>Spring</v>
      </c>
      <c r="E856" s="43" t="n">
        <v>0</v>
      </c>
      <c r="F856" s="43" t="n">
        <v>2</v>
      </c>
      <c r="G856" s="43" t="n">
        <v>22</v>
      </c>
      <c r="H856" s="45" t="b">
        <f aca="false">FALSE()</f>
        <v>0</v>
      </c>
      <c r="I856" s="43" t="n">
        <v>1</v>
      </c>
      <c r="J856" s="33" t="str">
        <f aca="false">INDEX(Lookups_Metadata!$E$4:$E$10, MATCH(I856, Lookups_Metadata!$D$4:$D$10, 0))</f>
        <v>Monday</v>
      </c>
      <c r="K856" s="33" t="str">
        <f aca="false">IF(H856=TRUE(), "Holiday", IF(OR(I856=0, I856=6), "Weekend", "Weekday"))</f>
        <v>Weekday</v>
      </c>
      <c r="L856" s="33" t="str">
        <f aca="false">IF(AND(K856="Weekday", OR(AND(G856&gt;=7, G856&lt;=9), AND(G856&gt;=17, G856&lt;=19))), "Peak Commute", "Off-Peak")</f>
        <v>Off-Peak</v>
      </c>
      <c r="M856" s="43" t="n">
        <v>1</v>
      </c>
      <c r="N856" s="33" t="str">
        <f aca="false">VLOOKUP(M856, Lookups_Metadata!$G$4:$H$7, 2, FALSE())</f>
        <v>Clear / Few Clouds</v>
      </c>
      <c r="O856" s="46" t="n">
        <v>0.28</v>
      </c>
      <c r="P856" s="46" t="n">
        <v>0.303</v>
      </c>
      <c r="Q856" s="46" t="n">
        <f aca="false">IF(OR(P856="", ISBLANK(P856)), ROUND(0.9367*O856+0.0175, 4), P856)</f>
        <v>0.303</v>
      </c>
      <c r="R856" s="33" t="str">
        <f aca="false">IF(OR(P856="", ISBLANK(P856)), "Imputed (Regression/Trend)", "Original")</f>
        <v>Original</v>
      </c>
      <c r="S856" s="46" t="n">
        <v>0.81</v>
      </c>
      <c r="T856" s="46" t="n">
        <v>0.0896</v>
      </c>
      <c r="U856" s="18" t="n">
        <v>3</v>
      </c>
      <c r="V856" s="18" t="n">
        <v>34</v>
      </c>
      <c r="W856" s="18" t="n">
        <f aca="false">U856+V856</f>
        <v>37</v>
      </c>
      <c r="X856" s="47" t="n">
        <f aca="false">U856/W856</f>
        <v>0.0810810810810811</v>
      </c>
      <c r="Y856" s="47" t="n">
        <f aca="false">V856/W856</f>
        <v>0.918918918918919</v>
      </c>
      <c r="Z856" s="33" t="str">
        <f aca="false">IF(W856&gt;=150, "High Demand", IF(W856&gt;=50, "Moderate Demand", "Low Demand"))</f>
        <v>Low Demand</v>
      </c>
      <c r="AA856" s="45" t="str">
        <f aca="false">TEXT(G856, "00") &amp; ":00"</f>
        <v>22:00</v>
      </c>
      <c r="AB856" s="43" t="n">
        <f aca="false">YEAR(B856)</f>
        <v>2011</v>
      </c>
      <c r="AC856" s="33" t="str">
        <f aca="false">TEXT(B856, "mmmm")</f>
        <v>February</v>
      </c>
      <c r="AD856" s="43" t="n">
        <f aca="false">LEN(TEXT(B856, "YYYY-MM-DD"))</f>
        <v>10</v>
      </c>
      <c r="AE856" s="45" t="str">
        <f aca="false">LEFT(TEXT(B856, "YYYY-MM-DD"), 4)</f>
        <v>2011</v>
      </c>
      <c r="AF856" s="45" t="str">
        <f aca="false">RIGHT(TEXT(B856, "YYYY-MM-DD"), 2)</f>
        <v>07</v>
      </c>
    </row>
    <row r="857" customFormat="false" ht="15" hidden="false" customHeight="false" outlineLevel="0" collapsed="false">
      <c r="A857" s="37" t="n">
        <v>853</v>
      </c>
      <c r="B857" s="38" t="s">
        <v>121</v>
      </c>
      <c r="C857" s="37" t="n">
        <v>1</v>
      </c>
      <c r="D857" s="35" t="str">
        <f aca="false">VLOOKUP(C857, Lookups_Metadata!$A$4:$B$7, 2, FALSE())</f>
        <v>Spring</v>
      </c>
      <c r="E857" s="37" t="n">
        <v>0</v>
      </c>
      <c r="F857" s="37" t="n">
        <v>2</v>
      </c>
      <c r="G857" s="37" t="n">
        <v>23</v>
      </c>
      <c r="H857" s="39" t="b">
        <f aca="false">FALSE()</f>
        <v>0</v>
      </c>
      <c r="I857" s="37" t="n">
        <v>1</v>
      </c>
      <c r="J857" s="35" t="str">
        <f aca="false">INDEX(Lookups_Metadata!$E$4:$E$10, MATCH(I857, Lookups_Metadata!$D$4:$D$10, 0))</f>
        <v>Monday</v>
      </c>
      <c r="K857" s="35" t="str">
        <f aca="false">IF(H857=TRUE(), "Holiday", IF(OR(I857=0, I857=6), "Weekend", "Weekday"))</f>
        <v>Weekday</v>
      </c>
      <c r="L857" s="35" t="str">
        <f aca="false">IF(AND(K857="Weekday", OR(AND(G857&gt;=7, G857&lt;=9), AND(G857&gt;=17, G857&lt;=19))), "Peak Commute", "Off-Peak")</f>
        <v>Off-Peak</v>
      </c>
      <c r="M857" s="37" t="n">
        <v>2</v>
      </c>
      <c r="N857" s="35" t="str">
        <f aca="false">VLOOKUP(M857, Lookups_Metadata!$G$4:$H$7, 2, FALSE())</f>
        <v>Mist / Cloudy</v>
      </c>
      <c r="O857" s="40" t="n">
        <v>0.3</v>
      </c>
      <c r="P857" s="40" t="n">
        <v>0.3333</v>
      </c>
      <c r="Q857" s="40" t="n">
        <f aca="false">IF(OR(P857="", ISBLANK(P857)), ROUND(0.9367*O857+0.0175, 4), P857)</f>
        <v>0.3333</v>
      </c>
      <c r="R857" s="35" t="str">
        <f aca="false">IF(OR(P857="", ISBLANK(P857)), "Imputed (Regression/Trend)", "Original")</f>
        <v>Original</v>
      </c>
      <c r="S857" s="40" t="n">
        <v>0.81</v>
      </c>
      <c r="T857" s="40" t="n">
        <v>0</v>
      </c>
      <c r="U857" s="41" t="n">
        <v>6</v>
      </c>
      <c r="V857" s="41" t="n">
        <v>19</v>
      </c>
      <c r="W857" s="41" t="n">
        <f aca="false">U857+V857</f>
        <v>25</v>
      </c>
      <c r="X857" s="42" t="n">
        <f aca="false">U857/W857</f>
        <v>0.24</v>
      </c>
      <c r="Y857" s="42" t="n">
        <f aca="false">V857/W857</f>
        <v>0.76</v>
      </c>
      <c r="Z857" s="35" t="str">
        <f aca="false">IF(W857&gt;=150, "High Demand", IF(W857&gt;=50, "Moderate Demand", "Low Demand"))</f>
        <v>Low Demand</v>
      </c>
      <c r="AA857" s="39" t="str">
        <f aca="false">TEXT(G857, "00") &amp; ":00"</f>
        <v>23:00</v>
      </c>
      <c r="AB857" s="37" t="n">
        <f aca="false">YEAR(B857)</f>
        <v>2011</v>
      </c>
      <c r="AC857" s="35" t="str">
        <f aca="false">TEXT(B857, "mmmm")</f>
        <v>February</v>
      </c>
      <c r="AD857" s="37" t="n">
        <f aca="false">LEN(TEXT(B857, "YYYY-MM-DD"))</f>
        <v>10</v>
      </c>
      <c r="AE857" s="39" t="str">
        <f aca="false">LEFT(TEXT(B857, "YYYY-MM-DD"), 4)</f>
        <v>2011</v>
      </c>
      <c r="AF857" s="39" t="str">
        <f aca="false">RIGHT(TEXT(B857, "YYYY-MM-DD"), 2)</f>
        <v>07</v>
      </c>
    </row>
    <row r="858" customFormat="false" ht="15" hidden="false" customHeight="false" outlineLevel="0" collapsed="false">
      <c r="A858" s="43" t="n">
        <v>854</v>
      </c>
      <c r="B858" s="44" t="s">
        <v>122</v>
      </c>
      <c r="C858" s="43" t="n">
        <v>1</v>
      </c>
      <c r="D858" s="33" t="str">
        <f aca="false">VLOOKUP(C858, Lookups_Metadata!$A$4:$B$7, 2, FALSE())</f>
        <v>Spring</v>
      </c>
      <c r="E858" s="43" t="n">
        <v>0</v>
      </c>
      <c r="F858" s="43" t="n">
        <v>2</v>
      </c>
      <c r="G858" s="43" t="n">
        <v>0</v>
      </c>
      <c r="H858" s="45" t="b">
        <f aca="false">FALSE()</f>
        <v>0</v>
      </c>
      <c r="I858" s="43" t="n">
        <v>2</v>
      </c>
      <c r="J858" s="33" t="str">
        <f aca="false">INDEX(Lookups_Metadata!$E$4:$E$10, MATCH(I858, Lookups_Metadata!$D$4:$D$10, 0))</f>
        <v>Tuesday</v>
      </c>
      <c r="K858" s="33" t="str">
        <f aca="false">IF(H858=TRUE(), "Holiday", IF(OR(I858=0, I858=6), "Weekend", "Weekday"))</f>
        <v>Weekday</v>
      </c>
      <c r="L858" s="33" t="str">
        <f aca="false">IF(AND(K858="Weekday", OR(AND(G858&gt;=7, G858&lt;=9), AND(G858&gt;=17, G858&lt;=19))), "Peak Commute", "Off-Peak")</f>
        <v>Off-Peak</v>
      </c>
      <c r="M858" s="43" t="n">
        <v>2</v>
      </c>
      <c r="N858" s="33" t="str">
        <f aca="false">VLOOKUP(M858, Lookups_Metadata!$G$4:$H$7, 2, FALSE())</f>
        <v>Mist / Cloudy</v>
      </c>
      <c r="O858" s="46" t="n">
        <v>0.28</v>
      </c>
      <c r="P858" s="46" t="n">
        <v>0.3182</v>
      </c>
      <c r="Q858" s="46" t="n">
        <f aca="false">IF(OR(P858="", ISBLANK(P858)), ROUND(0.9367*O858+0.0175, 4), P858)</f>
        <v>0.3182</v>
      </c>
      <c r="R858" s="33" t="str">
        <f aca="false">IF(OR(P858="", ISBLANK(P858)), "Imputed (Regression/Trend)", "Original")</f>
        <v>Original</v>
      </c>
      <c r="S858" s="46" t="n">
        <v>0.87</v>
      </c>
      <c r="T858" s="46" t="n">
        <v>0</v>
      </c>
      <c r="U858" s="18" t="n">
        <v>4</v>
      </c>
      <c r="V858" s="18" t="n">
        <v>6</v>
      </c>
      <c r="W858" s="18" t="n">
        <f aca="false">U858+V858</f>
        <v>10</v>
      </c>
      <c r="X858" s="47" t="n">
        <f aca="false">U858/W858</f>
        <v>0.4</v>
      </c>
      <c r="Y858" s="47" t="n">
        <f aca="false">V858/W858</f>
        <v>0.6</v>
      </c>
      <c r="Z858" s="33" t="str">
        <f aca="false">IF(W858&gt;=150, "High Demand", IF(W858&gt;=50, "Moderate Demand", "Low Demand"))</f>
        <v>Low Demand</v>
      </c>
      <c r="AA858" s="45" t="str">
        <f aca="false">TEXT(G858, "00") &amp; ":00"</f>
        <v>00:00</v>
      </c>
      <c r="AB858" s="43" t="n">
        <f aca="false">YEAR(B858)</f>
        <v>2011</v>
      </c>
      <c r="AC858" s="33" t="str">
        <f aca="false">TEXT(B858, "mmmm")</f>
        <v>February</v>
      </c>
      <c r="AD858" s="43" t="n">
        <f aca="false">LEN(TEXT(B858, "YYYY-MM-DD"))</f>
        <v>10</v>
      </c>
      <c r="AE858" s="45" t="str">
        <f aca="false">LEFT(TEXT(B858, "YYYY-MM-DD"), 4)</f>
        <v>2011</v>
      </c>
      <c r="AF858" s="45" t="str">
        <f aca="false">RIGHT(TEXT(B858, "YYYY-MM-DD"), 2)</f>
        <v>08</v>
      </c>
    </row>
    <row r="859" customFormat="false" ht="15" hidden="false" customHeight="false" outlineLevel="0" collapsed="false">
      <c r="A859" s="37" t="n">
        <v>855</v>
      </c>
      <c r="B859" s="38" t="s">
        <v>122</v>
      </c>
      <c r="C859" s="37" t="n">
        <v>1</v>
      </c>
      <c r="D859" s="35" t="str">
        <f aca="false">VLOOKUP(C859, Lookups_Metadata!$A$4:$B$7, 2, FALSE())</f>
        <v>Spring</v>
      </c>
      <c r="E859" s="37" t="n">
        <v>0</v>
      </c>
      <c r="F859" s="37" t="n">
        <v>2</v>
      </c>
      <c r="G859" s="37" t="n">
        <v>1</v>
      </c>
      <c r="H859" s="39" t="b">
        <f aca="false">FALSE()</f>
        <v>0</v>
      </c>
      <c r="I859" s="37" t="n">
        <v>2</v>
      </c>
      <c r="J859" s="35" t="str">
        <f aca="false">INDEX(Lookups_Metadata!$E$4:$E$10, MATCH(I859, Lookups_Metadata!$D$4:$D$10, 0))</f>
        <v>Tuesday</v>
      </c>
      <c r="K859" s="35" t="str">
        <f aca="false">IF(H859=TRUE(), "Holiday", IF(OR(I859=0, I859=6), "Weekend", "Weekday"))</f>
        <v>Weekday</v>
      </c>
      <c r="L859" s="35" t="str">
        <f aca="false">IF(AND(K859="Weekday", OR(AND(G859&gt;=7, G859&lt;=9), AND(G859&gt;=17, G859&lt;=19))), "Peak Commute", "Off-Peak")</f>
        <v>Off-Peak</v>
      </c>
      <c r="M859" s="37" t="n">
        <v>2</v>
      </c>
      <c r="N859" s="35" t="str">
        <f aca="false">VLOOKUP(M859, Lookups_Metadata!$G$4:$H$7, 2, FALSE())</f>
        <v>Mist / Cloudy</v>
      </c>
      <c r="O859" s="40" t="n">
        <v>0.28</v>
      </c>
      <c r="P859" s="40" t="n">
        <v>0.3182</v>
      </c>
      <c r="Q859" s="40" t="n">
        <f aca="false">IF(OR(P859="", ISBLANK(P859)), ROUND(0.9367*O859+0.0175, 4), P859)</f>
        <v>0.3182</v>
      </c>
      <c r="R859" s="35" t="str">
        <f aca="false">IF(OR(P859="", ISBLANK(P859)), "Imputed (Regression/Trend)", "Original")</f>
        <v>Original</v>
      </c>
      <c r="S859" s="40" t="n">
        <v>0.87</v>
      </c>
      <c r="T859" s="40" t="n">
        <v>0</v>
      </c>
      <c r="U859" s="41" t="n">
        <v>0</v>
      </c>
      <c r="V859" s="41" t="n">
        <v>4</v>
      </c>
      <c r="W859" s="41" t="n">
        <f aca="false">U859+V859</f>
        <v>4</v>
      </c>
      <c r="X859" s="42" t="n">
        <f aca="false">U859/W859</f>
        <v>0</v>
      </c>
      <c r="Y859" s="42" t="n">
        <f aca="false">V859/W859</f>
        <v>1</v>
      </c>
      <c r="Z859" s="35" t="str">
        <f aca="false">IF(W859&gt;=150, "High Demand", IF(W859&gt;=50, "Moderate Demand", "Low Demand"))</f>
        <v>Low Demand</v>
      </c>
      <c r="AA859" s="39" t="str">
        <f aca="false">TEXT(G859, "00") &amp; ":00"</f>
        <v>01:00</v>
      </c>
      <c r="AB859" s="37" t="n">
        <f aca="false">YEAR(B859)</f>
        <v>2011</v>
      </c>
      <c r="AC859" s="35" t="str">
        <f aca="false">TEXT(B859, "mmmm")</f>
        <v>February</v>
      </c>
      <c r="AD859" s="37" t="n">
        <f aca="false">LEN(TEXT(B859, "YYYY-MM-DD"))</f>
        <v>10</v>
      </c>
      <c r="AE859" s="39" t="str">
        <f aca="false">LEFT(TEXT(B859, "YYYY-MM-DD"), 4)</f>
        <v>2011</v>
      </c>
      <c r="AF859" s="39" t="str">
        <f aca="false">RIGHT(TEXT(B859, "YYYY-MM-DD"), 2)</f>
        <v>08</v>
      </c>
    </row>
    <row r="860" customFormat="false" ht="15" hidden="false" customHeight="false" outlineLevel="0" collapsed="false">
      <c r="A860" s="43" t="n">
        <v>856</v>
      </c>
      <c r="B860" s="44" t="s">
        <v>122</v>
      </c>
      <c r="C860" s="43" t="n">
        <v>1</v>
      </c>
      <c r="D860" s="33" t="str">
        <f aca="false">VLOOKUP(C860, Lookups_Metadata!$A$4:$B$7, 2, FALSE())</f>
        <v>Spring</v>
      </c>
      <c r="E860" s="43" t="n">
        <v>0</v>
      </c>
      <c r="F860" s="43" t="n">
        <v>2</v>
      </c>
      <c r="G860" s="43" t="n">
        <v>2</v>
      </c>
      <c r="H860" s="45" t="b">
        <f aca="false">FALSE()</f>
        <v>0</v>
      </c>
      <c r="I860" s="43" t="n">
        <v>2</v>
      </c>
      <c r="J860" s="33" t="str">
        <f aca="false">INDEX(Lookups_Metadata!$E$4:$E$10, MATCH(I860, Lookups_Metadata!$D$4:$D$10, 0))</f>
        <v>Tuesday</v>
      </c>
      <c r="K860" s="33" t="str">
        <f aca="false">IF(H860=TRUE(), "Holiday", IF(OR(I860=0, I860=6), "Weekend", "Weekday"))</f>
        <v>Weekday</v>
      </c>
      <c r="L860" s="33" t="str">
        <f aca="false">IF(AND(K860="Weekday", OR(AND(G860&gt;=7, G860&lt;=9), AND(G860&gt;=17, G860&lt;=19))), "Peak Commute", "Off-Peak")</f>
        <v>Off-Peak</v>
      </c>
      <c r="M860" s="43" t="n">
        <v>2</v>
      </c>
      <c r="N860" s="33" t="str">
        <f aca="false">VLOOKUP(M860, Lookups_Metadata!$G$4:$H$7, 2, FALSE())</f>
        <v>Mist / Cloudy</v>
      </c>
      <c r="O860" s="46" t="n">
        <v>0.26</v>
      </c>
      <c r="P860" s="46" t="n">
        <v>0.2727</v>
      </c>
      <c r="Q860" s="46" t="n">
        <f aca="false">IF(OR(P860="", ISBLANK(P860)), ROUND(0.9367*O860+0.0175, 4), P860)</f>
        <v>0.2727</v>
      </c>
      <c r="R860" s="33" t="str">
        <f aca="false">IF(OR(P860="", ISBLANK(P860)), "Imputed (Regression/Trend)", "Original")</f>
        <v>Original</v>
      </c>
      <c r="S860" s="46" t="n">
        <v>0.93</v>
      </c>
      <c r="T860" s="46" t="n">
        <v>0.1045</v>
      </c>
      <c r="U860" s="18" t="n">
        <v>1</v>
      </c>
      <c r="V860" s="18" t="n">
        <v>1</v>
      </c>
      <c r="W860" s="18" t="n">
        <f aca="false">U860+V860</f>
        <v>2</v>
      </c>
      <c r="X860" s="47" t="n">
        <f aca="false">U860/W860</f>
        <v>0.5</v>
      </c>
      <c r="Y860" s="47" t="n">
        <f aca="false">V860/W860</f>
        <v>0.5</v>
      </c>
      <c r="Z860" s="33" t="str">
        <f aca="false">IF(W860&gt;=150, "High Demand", IF(W860&gt;=50, "Moderate Demand", "Low Demand"))</f>
        <v>Low Demand</v>
      </c>
      <c r="AA860" s="45" t="str">
        <f aca="false">TEXT(G860, "00") &amp; ":00"</f>
        <v>02:00</v>
      </c>
      <c r="AB860" s="43" t="n">
        <f aca="false">YEAR(B860)</f>
        <v>2011</v>
      </c>
      <c r="AC860" s="33" t="str">
        <f aca="false">TEXT(B860, "mmmm")</f>
        <v>February</v>
      </c>
      <c r="AD860" s="43" t="n">
        <f aca="false">LEN(TEXT(B860, "YYYY-MM-DD"))</f>
        <v>10</v>
      </c>
      <c r="AE860" s="45" t="str">
        <f aca="false">LEFT(TEXT(B860, "YYYY-MM-DD"), 4)</f>
        <v>2011</v>
      </c>
      <c r="AF860" s="45" t="str">
        <f aca="false">RIGHT(TEXT(B860, "YYYY-MM-DD"), 2)</f>
        <v>08</v>
      </c>
    </row>
    <row r="861" customFormat="false" ht="15" hidden="false" customHeight="false" outlineLevel="0" collapsed="false">
      <c r="A861" s="37" t="n">
        <v>857</v>
      </c>
      <c r="B861" s="38" t="s">
        <v>122</v>
      </c>
      <c r="C861" s="37" t="n">
        <v>1</v>
      </c>
      <c r="D861" s="35" t="str">
        <f aca="false">VLOOKUP(C861, Lookups_Metadata!$A$4:$B$7, 2, FALSE())</f>
        <v>Spring</v>
      </c>
      <c r="E861" s="37" t="n">
        <v>0</v>
      </c>
      <c r="F861" s="37" t="n">
        <v>2</v>
      </c>
      <c r="G861" s="37" t="n">
        <v>3</v>
      </c>
      <c r="H861" s="39" t="b">
        <f aca="false">FALSE()</f>
        <v>0</v>
      </c>
      <c r="I861" s="37" t="n">
        <v>2</v>
      </c>
      <c r="J861" s="35" t="str">
        <f aca="false">INDEX(Lookups_Metadata!$E$4:$E$10, MATCH(I861, Lookups_Metadata!$D$4:$D$10, 0))</f>
        <v>Tuesday</v>
      </c>
      <c r="K861" s="35" t="str">
        <f aca="false">IF(H861=TRUE(), "Holiday", IF(OR(I861=0, I861=6), "Weekend", "Weekday"))</f>
        <v>Weekday</v>
      </c>
      <c r="L861" s="35" t="str">
        <f aca="false">IF(AND(K861="Weekday", OR(AND(G861&gt;=7, G861&lt;=9), AND(G861&gt;=17, G861&lt;=19))), "Peak Commute", "Off-Peak")</f>
        <v>Off-Peak</v>
      </c>
      <c r="M861" s="37" t="n">
        <v>3</v>
      </c>
      <c r="N861" s="35" t="str">
        <f aca="false">VLOOKUP(M861, Lookups_Metadata!$G$4:$H$7, 2, FALSE())</f>
        <v>Light Snow / Light Rain</v>
      </c>
      <c r="O861" s="40" t="n">
        <v>0.28</v>
      </c>
      <c r="P861" s="40" t="n">
        <v>0.2727</v>
      </c>
      <c r="Q861" s="40" t="n">
        <f aca="false">IF(OR(P861="", ISBLANK(P861)), ROUND(0.9367*O861+0.0175, 4), P861)</f>
        <v>0.2727</v>
      </c>
      <c r="R861" s="35" t="str">
        <f aca="false">IF(OR(P861="", ISBLANK(P861)), "Imputed (Regression/Trend)", "Original")</f>
        <v>Original</v>
      </c>
      <c r="S861" s="40" t="n">
        <v>0.93</v>
      </c>
      <c r="T861" s="40" t="n">
        <v>0.1642</v>
      </c>
      <c r="U861" s="41" t="n">
        <v>0</v>
      </c>
      <c r="V861" s="41" t="n">
        <v>1</v>
      </c>
      <c r="W861" s="41" t="n">
        <f aca="false">U861+V861</f>
        <v>1</v>
      </c>
      <c r="X861" s="42" t="n">
        <f aca="false">U861/W861</f>
        <v>0</v>
      </c>
      <c r="Y861" s="42" t="n">
        <f aca="false">V861/W861</f>
        <v>1</v>
      </c>
      <c r="Z861" s="35" t="str">
        <f aca="false">IF(W861&gt;=150, "High Demand", IF(W861&gt;=50, "Moderate Demand", "Low Demand"))</f>
        <v>Low Demand</v>
      </c>
      <c r="AA861" s="39" t="str">
        <f aca="false">TEXT(G861, "00") &amp; ":00"</f>
        <v>03:00</v>
      </c>
      <c r="AB861" s="37" t="n">
        <f aca="false">YEAR(B861)</f>
        <v>2011</v>
      </c>
      <c r="AC861" s="35" t="str">
        <f aca="false">TEXT(B861, "mmmm")</f>
        <v>February</v>
      </c>
      <c r="AD861" s="37" t="n">
        <f aca="false">LEN(TEXT(B861, "YYYY-MM-DD"))</f>
        <v>10</v>
      </c>
      <c r="AE861" s="39" t="str">
        <f aca="false">LEFT(TEXT(B861, "YYYY-MM-DD"), 4)</f>
        <v>2011</v>
      </c>
      <c r="AF861" s="39" t="str">
        <f aca="false">RIGHT(TEXT(B861, "YYYY-MM-DD"), 2)</f>
        <v>08</v>
      </c>
    </row>
    <row r="862" customFormat="false" ht="15" hidden="false" customHeight="false" outlineLevel="0" collapsed="false">
      <c r="A862" s="43" t="n">
        <v>858</v>
      </c>
      <c r="B862" s="44" t="s">
        <v>122</v>
      </c>
      <c r="C862" s="43" t="n">
        <v>1</v>
      </c>
      <c r="D862" s="33" t="str">
        <f aca="false">VLOOKUP(C862, Lookups_Metadata!$A$4:$B$7, 2, FALSE())</f>
        <v>Spring</v>
      </c>
      <c r="E862" s="43" t="n">
        <v>0</v>
      </c>
      <c r="F862" s="43" t="n">
        <v>2</v>
      </c>
      <c r="G862" s="43" t="n">
        <v>4</v>
      </c>
      <c r="H862" s="45" t="b">
        <f aca="false">FALSE()</f>
        <v>0</v>
      </c>
      <c r="I862" s="43" t="n">
        <v>2</v>
      </c>
      <c r="J862" s="33" t="str">
        <f aca="false">INDEX(Lookups_Metadata!$E$4:$E$10, MATCH(I862, Lookups_Metadata!$D$4:$D$10, 0))</f>
        <v>Tuesday</v>
      </c>
      <c r="K862" s="33" t="str">
        <f aca="false">IF(H862=TRUE(), "Holiday", IF(OR(I862=0, I862=6), "Weekend", "Weekday"))</f>
        <v>Weekday</v>
      </c>
      <c r="L862" s="33" t="str">
        <f aca="false">IF(AND(K862="Weekday", OR(AND(G862&gt;=7, G862&lt;=9), AND(G862&gt;=17, G862&lt;=19))), "Peak Commute", "Off-Peak")</f>
        <v>Off-Peak</v>
      </c>
      <c r="M862" s="43" t="n">
        <v>1</v>
      </c>
      <c r="N862" s="33" t="str">
        <f aca="false">VLOOKUP(M862, Lookups_Metadata!$G$4:$H$7, 2, FALSE())</f>
        <v>Clear / Few Clouds</v>
      </c>
      <c r="O862" s="46" t="n">
        <v>0.26</v>
      </c>
      <c r="P862" s="46" t="n">
        <v>0.2576</v>
      </c>
      <c r="Q862" s="46" t="n">
        <f aca="false">IF(OR(P862="", ISBLANK(P862)), ROUND(0.9367*O862+0.0175, 4), P862)</f>
        <v>0.2576</v>
      </c>
      <c r="R862" s="33" t="str">
        <f aca="false">IF(OR(P862="", ISBLANK(P862)), "Imputed (Regression/Trend)", "Original")</f>
        <v>Original</v>
      </c>
      <c r="S862" s="46" t="n">
        <v>0.93</v>
      </c>
      <c r="T862" s="46" t="n">
        <v>0.1642</v>
      </c>
      <c r="U862" s="18" t="n">
        <v>0</v>
      </c>
      <c r="V862" s="18" t="n">
        <v>3</v>
      </c>
      <c r="W862" s="18" t="n">
        <f aca="false">U862+V862</f>
        <v>3</v>
      </c>
      <c r="X862" s="47" t="n">
        <f aca="false">U862/W862</f>
        <v>0</v>
      </c>
      <c r="Y862" s="47" t="n">
        <f aca="false">V862/W862</f>
        <v>1</v>
      </c>
      <c r="Z862" s="33" t="str">
        <f aca="false">IF(W862&gt;=150, "High Demand", IF(W862&gt;=50, "Moderate Demand", "Low Demand"))</f>
        <v>Low Demand</v>
      </c>
      <c r="AA862" s="45" t="str">
        <f aca="false">TEXT(G862, "00") &amp; ":00"</f>
        <v>04:00</v>
      </c>
      <c r="AB862" s="43" t="n">
        <f aca="false">YEAR(B862)</f>
        <v>2011</v>
      </c>
      <c r="AC862" s="33" t="str">
        <f aca="false">TEXT(B862, "mmmm")</f>
        <v>February</v>
      </c>
      <c r="AD862" s="43" t="n">
        <f aca="false">LEN(TEXT(B862, "YYYY-MM-DD"))</f>
        <v>10</v>
      </c>
      <c r="AE862" s="45" t="str">
        <f aca="false">LEFT(TEXT(B862, "YYYY-MM-DD"), 4)</f>
        <v>2011</v>
      </c>
      <c r="AF862" s="45" t="str">
        <f aca="false">RIGHT(TEXT(B862, "YYYY-MM-DD"), 2)</f>
        <v>08</v>
      </c>
    </row>
    <row r="863" customFormat="false" ht="15" hidden="false" customHeight="false" outlineLevel="0" collapsed="false">
      <c r="A863" s="37" t="n">
        <v>859</v>
      </c>
      <c r="B863" s="38" t="s">
        <v>122</v>
      </c>
      <c r="C863" s="37" t="n">
        <v>1</v>
      </c>
      <c r="D863" s="35" t="str">
        <f aca="false">VLOOKUP(C863, Lookups_Metadata!$A$4:$B$7, 2, FALSE())</f>
        <v>Spring</v>
      </c>
      <c r="E863" s="37" t="n">
        <v>0</v>
      </c>
      <c r="F863" s="37" t="n">
        <v>2</v>
      </c>
      <c r="G863" s="37" t="n">
        <v>5</v>
      </c>
      <c r="H863" s="39" t="b">
        <f aca="false">FALSE()</f>
        <v>0</v>
      </c>
      <c r="I863" s="37" t="n">
        <v>2</v>
      </c>
      <c r="J863" s="35" t="str">
        <f aca="false">INDEX(Lookups_Metadata!$E$4:$E$10, MATCH(I863, Lookups_Metadata!$D$4:$D$10, 0))</f>
        <v>Tuesday</v>
      </c>
      <c r="K863" s="35" t="str">
        <f aca="false">IF(H863=TRUE(), "Holiday", IF(OR(I863=0, I863=6), "Weekend", "Weekday"))</f>
        <v>Weekday</v>
      </c>
      <c r="L863" s="35" t="str">
        <f aca="false">IF(AND(K863="Weekday", OR(AND(G863&gt;=7, G863&lt;=9), AND(G863&gt;=17, G863&lt;=19))), "Peak Commute", "Off-Peak")</f>
        <v>Off-Peak</v>
      </c>
      <c r="M863" s="37" t="n">
        <v>1</v>
      </c>
      <c r="N863" s="35" t="str">
        <f aca="false">VLOOKUP(M863, Lookups_Metadata!$G$4:$H$7, 2, FALSE())</f>
        <v>Clear / Few Clouds</v>
      </c>
      <c r="O863" s="40" t="n">
        <v>0.26</v>
      </c>
      <c r="P863" s="40" t="n">
        <v>0.2273</v>
      </c>
      <c r="Q863" s="40" t="n">
        <f aca="false">IF(OR(P863="", ISBLANK(P863)), ROUND(0.9367*O863+0.0175, 4), P863)</f>
        <v>0.2273</v>
      </c>
      <c r="R863" s="35" t="str">
        <f aca="false">IF(OR(P863="", ISBLANK(P863)), "Imputed (Regression/Trend)", "Original")</f>
        <v>Original</v>
      </c>
      <c r="S863" s="40" t="n">
        <v>0.81</v>
      </c>
      <c r="T863" s="40" t="n">
        <v>0.3284</v>
      </c>
      <c r="U863" s="41" t="n">
        <v>0</v>
      </c>
      <c r="V863" s="41" t="n">
        <v>2</v>
      </c>
      <c r="W863" s="41" t="n">
        <f aca="false">U863+V863</f>
        <v>2</v>
      </c>
      <c r="X863" s="42" t="n">
        <f aca="false">U863/W863</f>
        <v>0</v>
      </c>
      <c r="Y863" s="42" t="n">
        <f aca="false">V863/W863</f>
        <v>1</v>
      </c>
      <c r="Z863" s="35" t="str">
        <f aca="false">IF(W863&gt;=150, "High Demand", IF(W863&gt;=50, "Moderate Demand", "Low Demand"))</f>
        <v>Low Demand</v>
      </c>
      <c r="AA863" s="39" t="str">
        <f aca="false">TEXT(G863, "00") &amp; ":00"</f>
        <v>05:00</v>
      </c>
      <c r="AB863" s="37" t="n">
        <f aca="false">YEAR(B863)</f>
        <v>2011</v>
      </c>
      <c r="AC863" s="35" t="str">
        <f aca="false">TEXT(B863, "mmmm")</f>
        <v>February</v>
      </c>
      <c r="AD863" s="37" t="n">
        <f aca="false">LEN(TEXT(B863, "YYYY-MM-DD"))</f>
        <v>10</v>
      </c>
      <c r="AE863" s="39" t="str">
        <f aca="false">LEFT(TEXT(B863, "YYYY-MM-DD"), 4)</f>
        <v>2011</v>
      </c>
      <c r="AF863" s="39" t="str">
        <f aca="false">RIGHT(TEXT(B863, "YYYY-MM-DD"), 2)</f>
        <v>08</v>
      </c>
    </row>
    <row r="864" customFormat="false" ht="15" hidden="false" customHeight="false" outlineLevel="0" collapsed="false">
      <c r="A864" s="43" t="n">
        <v>860</v>
      </c>
      <c r="B864" s="44" t="s">
        <v>122</v>
      </c>
      <c r="C864" s="43" t="n">
        <v>1</v>
      </c>
      <c r="D864" s="33" t="str">
        <f aca="false">VLOOKUP(C864, Lookups_Metadata!$A$4:$B$7, 2, FALSE())</f>
        <v>Spring</v>
      </c>
      <c r="E864" s="43" t="n">
        <v>0</v>
      </c>
      <c r="F864" s="43" t="n">
        <v>2</v>
      </c>
      <c r="G864" s="43" t="n">
        <v>6</v>
      </c>
      <c r="H864" s="45" t="b">
        <f aca="false">FALSE()</f>
        <v>0</v>
      </c>
      <c r="I864" s="43" t="n">
        <v>2</v>
      </c>
      <c r="J864" s="33" t="str">
        <f aca="false">INDEX(Lookups_Metadata!$E$4:$E$10, MATCH(I864, Lookups_Metadata!$D$4:$D$10, 0))</f>
        <v>Tuesday</v>
      </c>
      <c r="K864" s="33" t="str">
        <f aca="false">IF(H864=TRUE(), "Holiday", IF(OR(I864=0, I864=6), "Weekend", "Weekday"))</f>
        <v>Weekday</v>
      </c>
      <c r="L864" s="33" t="str">
        <f aca="false">IF(AND(K864="Weekday", OR(AND(G864&gt;=7, G864&lt;=9), AND(G864&gt;=17, G864&lt;=19))), "Peak Commute", "Off-Peak")</f>
        <v>Off-Peak</v>
      </c>
      <c r="M864" s="43" t="n">
        <v>1</v>
      </c>
      <c r="N864" s="33" t="str">
        <f aca="false">VLOOKUP(M864, Lookups_Metadata!$G$4:$H$7, 2, FALSE())</f>
        <v>Clear / Few Clouds</v>
      </c>
      <c r="O864" s="46" t="n">
        <v>0.26</v>
      </c>
      <c r="P864" s="46" t="n">
        <v>0.2273</v>
      </c>
      <c r="Q864" s="46" t="n">
        <f aca="false">IF(OR(P864="", ISBLANK(P864)), ROUND(0.9367*O864+0.0175, 4), P864)</f>
        <v>0.2273</v>
      </c>
      <c r="R864" s="33" t="str">
        <f aca="false">IF(OR(P864="", ISBLANK(P864)), "Imputed (Regression/Trend)", "Original")</f>
        <v>Original</v>
      </c>
      <c r="S864" s="46" t="n">
        <v>0.7</v>
      </c>
      <c r="T864" s="46" t="n">
        <v>0.3284</v>
      </c>
      <c r="U864" s="18" t="n">
        <v>0</v>
      </c>
      <c r="V864" s="18" t="n">
        <v>39</v>
      </c>
      <c r="W864" s="18" t="n">
        <f aca="false">U864+V864</f>
        <v>39</v>
      </c>
      <c r="X864" s="47" t="n">
        <f aca="false">U864/W864</f>
        <v>0</v>
      </c>
      <c r="Y864" s="47" t="n">
        <f aca="false">V864/W864</f>
        <v>1</v>
      </c>
      <c r="Z864" s="33" t="str">
        <f aca="false">IF(W864&gt;=150, "High Demand", IF(W864&gt;=50, "Moderate Demand", "Low Demand"))</f>
        <v>Low Demand</v>
      </c>
      <c r="AA864" s="45" t="str">
        <f aca="false">TEXT(G864, "00") &amp; ":00"</f>
        <v>06:00</v>
      </c>
      <c r="AB864" s="43" t="n">
        <f aca="false">YEAR(B864)</f>
        <v>2011</v>
      </c>
      <c r="AC864" s="33" t="str">
        <f aca="false">TEXT(B864, "mmmm")</f>
        <v>February</v>
      </c>
      <c r="AD864" s="43" t="n">
        <f aca="false">LEN(TEXT(B864, "YYYY-MM-DD"))</f>
        <v>10</v>
      </c>
      <c r="AE864" s="45" t="str">
        <f aca="false">LEFT(TEXT(B864, "YYYY-MM-DD"), 4)</f>
        <v>2011</v>
      </c>
      <c r="AF864" s="45" t="str">
        <f aca="false">RIGHT(TEXT(B864, "YYYY-MM-DD"), 2)</f>
        <v>08</v>
      </c>
    </row>
    <row r="865" customFormat="false" ht="15" hidden="false" customHeight="false" outlineLevel="0" collapsed="false">
      <c r="A865" s="37" t="n">
        <v>861</v>
      </c>
      <c r="B865" s="38" t="s">
        <v>122</v>
      </c>
      <c r="C865" s="37" t="n">
        <v>1</v>
      </c>
      <c r="D865" s="35" t="str">
        <f aca="false">VLOOKUP(C865, Lookups_Metadata!$A$4:$B$7, 2, FALSE())</f>
        <v>Spring</v>
      </c>
      <c r="E865" s="37" t="n">
        <v>0</v>
      </c>
      <c r="F865" s="37" t="n">
        <v>2</v>
      </c>
      <c r="G865" s="37" t="n">
        <v>7</v>
      </c>
      <c r="H865" s="39" t="b">
        <f aca="false">FALSE()</f>
        <v>0</v>
      </c>
      <c r="I865" s="37" t="n">
        <v>2</v>
      </c>
      <c r="J865" s="35" t="str">
        <f aca="false">INDEX(Lookups_Metadata!$E$4:$E$10, MATCH(I865, Lookups_Metadata!$D$4:$D$10, 0))</f>
        <v>Tuesday</v>
      </c>
      <c r="K865" s="35" t="str">
        <f aca="false">IF(H865=TRUE(), "Holiday", IF(OR(I865=0, I865=6), "Weekend", "Weekday"))</f>
        <v>Weekday</v>
      </c>
      <c r="L865" s="35" t="str">
        <f aca="false">IF(AND(K865="Weekday", OR(AND(G865&gt;=7, G865&lt;=9), AND(G865&gt;=17, G865&lt;=19))), "Peak Commute", "Off-Peak")</f>
        <v>Peak Commute</v>
      </c>
      <c r="M865" s="37" t="n">
        <v>1</v>
      </c>
      <c r="N865" s="35" t="str">
        <f aca="false">VLOOKUP(M865, Lookups_Metadata!$G$4:$H$7, 2, FALSE())</f>
        <v>Clear / Few Clouds</v>
      </c>
      <c r="O865" s="40" t="n">
        <v>0.24</v>
      </c>
      <c r="P865" s="40" t="n">
        <v>0.197</v>
      </c>
      <c r="Q865" s="40" t="n">
        <f aca="false">IF(OR(P865="", ISBLANK(P865)), ROUND(0.9367*O865+0.0175, 4), P865)</f>
        <v>0.197</v>
      </c>
      <c r="R865" s="35" t="str">
        <f aca="false">IF(OR(P865="", ISBLANK(P865)), "Imputed (Regression/Trend)", "Original")</f>
        <v>Original</v>
      </c>
      <c r="S865" s="40" t="n">
        <v>0.65</v>
      </c>
      <c r="T865" s="40" t="n">
        <v>0.4179</v>
      </c>
      <c r="U865" s="41" t="n">
        <v>3</v>
      </c>
      <c r="V865" s="41" t="n">
        <v>97</v>
      </c>
      <c r="W865" s="41" t="n">
        <f aca="false">U865+V865</f>
        <v>100</v>
      </c>
      <c r="X865" s="42" t="n">
        <f aca="false">U865/W865</f>
        <v>0.03</v>
      </c>
      <c r="Y865" s="42" t="n">
        <f aca="false">V865/W865</f>
        <v>0.97</v>
      </c>
      <c r="Z865" s="35" t="str">
        <f aca="false">IF(W865&gt;=150, "High Demand", IF(W865&gt;=50, "Moderate Demand", "Low Demand"))</f>
        <v>Moderate Demand</v>
      </c>
      <c r="AA865" s="39" t="str">
        <f aca="false">TEXT(G865, "00") &amp; ":00"</f>
        <v>07:00</v>
      </c>
      <c r="AB865" s="37" t="n">
        <f aca="false">YEAR(B865)</f>
        <v>2011</v>
      </c>
      <c r="AC865" s="35" t="str">
        <f aca="false">TEXT(B865, "mmmm")</f>
        <v>February</v>
      </c>
      <c r="AD865" s="37" t="n">
        <f aca="false">LEN(TEXT(B865, "YYYY-MM-DD"))</f>
        <v>10</v>
      </c>
      <c r="AE865" s="39" t="str">
        <f aca="false">LEFT(TEXT(B865, "YYYY-MM-DD"), 4)</f>
        <v>2011</v>
      </c>
      <c r="AF865" s="39" t="str">
        <f aca="false">RIGHT(TEXT(B865, "YYYY-MM-DD"), 2)</f>
        <v>08</v>
      </c>
    </row>
    <row r="866" customFormat="false" ht="15" hidden="false" customHeight="false" outlineLevel="0" collapsed="false">
      <c r="A866" s="43" t="n">
        <v>862</v>
      </c>
      <c r="B866" s="44" t="s">
        <v>122</v>
      </c>
      <c r="C866" s="43" t="n">
        <v>1</v>
      </c>
      <c r="D866" s="33" t="str">
        <f aca="false">VLOOKUP(C866, Lookups_Metadata!$A$4:$B$7, 2, FALSE())</f>
        <v>Spring</v>
      </c>
      <c r="E866" s="43" t="n">
        <v>0</v>
      </c>
      <c r="F866" s="43" t="n">
        <v>2</v>
      </c>
      <c r="G866" s="43" t="n">
        <v>8</v>
      </c>
      <c r="H866" s="45" t="b">
        <f aca="false">FALSE()</f>
        <v>0</v>
      </c>
      <c r="I866" s="43" t="n">
        <v>2</v>
      </c>
      <c r="J866" s="33" t="str">
        <f aca="false">INDEX(Lookups_Metadata!$E$4:$E$10, MATCH(I866, Lookups_Metadata!$D$4:$D$10, 0))</f>
        <v>Tuesday</v>
      </c>
      <c r="K866" s="33" t="str">
        <f aca="false">IF(H866=TRUE(), "Holiday", IF(OR(I866=0, I866=6), "Weekend", "Weekday"))</f>
        <v>Weekday</v>
      </c>
      <c r="L866" s="33" t="str">
        <f aca="false">IF(AND(K866="Weekday", OR(AND(G866&gt;=7, G866&lt;=9), AND(G866&gt;=17, G866&lt;=19))), "Peak Commute", "Off-Peak")</f>
        <v>Peak Commute</v>
      </c>
      <c r="M866" s="43" t="n">
        <v>1</v>
      </c>
      <c r="N866" s="33" t="str">
        <f aca="false">VLOOKUP(M866, Lookups_Metadata!$G$4:$H$7, 2, FALSE())</f>
        <v>Clear / Few Clouds</v>
      </c>
      <c r="O866" s="46" t="n">
        <v>0.24</v>
      </c>
      <c r="P866" s="46" t="n">
        <v>0.197</v>
      </c>
      <c r="Q866" s="46" t="n">
        <f aca="false">IF(OR(P866="", ISBLANK(P866)), ROUND(0.9367*O866+0.0175, 4), P866)</f>
        <v>0.197</v>
      </c>
      <c r="R866" s="33" t="str">
        <f aca="false">IF(OR(P866="", ISBLANK(P866)), "Imputed (Regression/Trend)", "Original")</f>
        <v>Original</v>
      </c>
      <c r="S866" s="46" t="n">
        <v>0.56</v>
      </c>
      <c r="T866" s="46" t="n">
        <v>0.4925</v>
      </c>
      <c r="U866" s="18" t="n">
        <v>7</v>
      </c>
      <c r="V866" s="18" t="n">
        <v>236</v>
      </c>
      <c r="W866" s="18" t="n">
        <f aca="false">U866+V866</f>
        <v>243</v>
      </c>
      <c r="X866" s="47" t="n">
        <f aca="false">U866/W866</f>
        <v>0.0288065843621399</v>
      </c>
      <c r="Y866" s="47" t="n">
        <f aca="false">V866/W866</f>
        <v>0.97119341563786</v>
      </c>
      <c r="Z866" s="33" t="str">
        <f aca="false">IF(W866&gt;=150, "High Demand", IF(W866&gt;=50, "Moderate Demand", "Low Demand"))</f>
        <v>High Demand</v>
      </c>
      <c r="AA866" s="45" t="str">
        <f aca="false">TEXT(G866, "00") &amp; ":00"</f>
        <v>08:00</v>
      </c>
      <c r="AB866" s="43" t="n">
        <f aca="false">YEAR(B866)</f>
        <v>2011</v>
      </c>
      <c r="AC866" s="33" t="str">
        <f aca="false">TEXT(B866, "mmmm")</f>
        <v>February</v>
      </c>
      <c r="AD866" s="43" t="n">
        <f aca="false">LEN(TEXT(B866, "YYYY-MM-DD"))</f>
        <v>10</v>
      </c>
      <c r="AE866" s="45" t="str">
        <f aca="false">LEFT(TEXT(B866, "YYYY-MM-DD"), 4)</f>
        <v>2011</v>
      </c>
      <c r="AF866" s="45" t="str">
        <f aca="false">RIGHT(TEXT(B866, "YYYY-MM-DD"), 2)</f>
        <v>08</v>
      </c>
    </row>
    <row r="867" customFormat="false" ht="15" hidden="false" customHeight="false" outlineLevel="0" collapsed="false">
      <c r="A867" s="37" t="n">
        <v>863</v>
      </c>
      <c r="B867" s="38" t="s">
        <v>122</v>
      </c>
      <c r="C867" s="37" t="n">
        <v>1</v>
      </c>
      <c r="D867" s="35" t="str">
        <f aca="false">VLOOKUP(C867, Lookups_Metadata!$A$4:$B$7, 2, FALSE())</f>
        <v>Spring</v>
      </c>
      <c r="E867" s="37" t="n">
        <v>0</v>
      </c>
      <c r="F867" s="37" t="n">
        <v>2</v>
      </c>
      <c r="G867" s="37" t="n">
        <v>9</v>
      </c>
      <c r="H867" s="39" t="b">
        <f aca="false">FALSE()</f>
        <v>0</v>
      </c>
      <c r="I867" s="37" t="n">
        <v>2</v>
      </c>
      <c r="J867" s="35" t="str">
        <f aca="false">INDEX(Lookups_Metadata!$E$4:$E$10, MATCH(I867, Lookups_Metadata!$D$4:$D$10, 0))</f>
        <v>Tuesday</v>
      </c>
      <c r="K867" s="35" t="str">
        <f aca="false">IF(H867=TRUE(), "Holiday", IF(OR(I867=0, I867=6), "Weekend", "Weekday"))</f>
        <v>Weekday</v>
      </c>
      <c r="L867" s="35" t="str">
        <f aca="false">IF(AND(K867="Weekday", OR(AND(G867&gt;=7, G867&lt;=9), AND(G867&gt;=17, G867&lt;=19))), "Peak Commute", "Off-Peak")</f>
        <v>Peak Commute</v>
      </c>
      <c r="M867" s="37" t="n">
        <v>1</v>
      </c>
      <c r="N867" s="35" t="str">
        <f aca="false">VLOOKUP(M867, Lookups_Metadata!$G$4:$H$7, 2, FALSE())</f>
        <v>Clear / Few Clouds</v>
      </c>
      <c r="O867" s="40" t="n">
        <v>0.24</v>
      </c>
      <c r="P867" s="40" t="n">
        <v>0.197</v>
      </c>
      <c r="Q867" s="40" t="n">
        <f aca="false">IF(OR(P867="", ISBLANK(P867)), ROUND(0.9367*O867+0.0175, 4), P867)</f>
        <v>0.197</v>
      </c>
      <c r="R867" s="35" t="str">
        <f aca="false">IF(OR(P867="", ISBLANK(P867)), "Imputed (Regression/Trend)", "Original")</f>
        <v>Original</v>
      </c>
      <c r="S867" s="40" t="n">
        <v>0.52</v>
      </c>
      <c r="T867" s="40" t="n">
        <v>0.4925</v>
      </c>
      <c r="U867" s="41" t="n">
        <v>7</v>
      </c>
      <c r="V867" s="41" t="n">
        <v>128</v>
      </c>
      <c r="W867" s="41" t="n">
        <f aca="false">U867+V867</f>
        <v>135</v>
      </c>
      <c r="X867" s="42" t="n">
        <f aca="false">U867/W867</f>
        <v>0.0518518518518519</v>
      </c>
      <c r="Y867" s="42" t="n">
        <f aca="false">V867/W867</f>
        <v>0.948148148148148</v>
      </c>
      <c r="Z867" s="35" t="str">
        <f aca="false">IF(W867&gt;=150, "High Demand", IF(W867&gt;=50, "Moderate Demand", "Low Demand"))</f>
        <v>Moderate Demand</v>
      </c>
      <c r="AA867" s="39" t="str">
        <f aca="false">TEXT(G867, "00") &amp; ":00"</f>
        <v>09:00</v>
      </c>
      <c r="AB867" s="37" t="n">
        <f aca="false">YEAR(B867)</f>
        <v>2011</v>
      </c>
      <c r="AC867" s="35" t="str">
        <f aca="false">TEXT(B867, "mmmm")</f>
        <v>February</v>
      </c>
      <c r="AD867" s="37" t="n">
        <f aca="false">LEN(TEXT(B867, "YYYY-MM-DD"))</f>
        <v>10</v>
      </c>
      <c r="AE867" s="39" t="str">
        <f aca="false">LEFT(TEXT(B867, "YYYY-MM-DD"), 4)</f>
        <v>2011</v>
      </c>
      <c r="AF867" s="39" t="str">
        <f aca="false">RIGHT(TEXT(B867, "YYYY-MM-DD"), 2)</f>
        <v>08</v>
      </c>
    </row>
    <row r="868" customFormat="false" ht="15" hidden="false" customHeight="false" outlineLevel="0" collapsed="false">
      <c r="A868" s="43" t="n">
        <v>864</v>
      </c>
      <c r="B868" s="44" t="s">
        <v>122</v>
      </c>
      <c r="C868" s="43" t="n">
        <v>1</v>
      </c>
      <c r="D868" s="33" t="str">
        <f aca="false">VLOOKUP(C868, Lookups_Metadata!$A$4:$B$7, 2, FALSE())</f>
        <v>Spring</v>
      </c>
      <c r="E868" s="43" t="n">
        <v>0</v>
      </c>
      <c r="F868" s="43" t="n">
        <v>2</v>
      </c>
      <c r="G868" s="43" t="n">
        <v>10</v>
      </c>
      <c r="H868" s="45" t="b">
        <f aca="false">FALSE()</f>
        <v>0</v>
      </c>
      <c r="I868" s="43" t="n">
        <v>2</v>
      </c>
      <c r="J868" s="33" t="str">
        <f aca="false">INDEX(Lookups_Metadata!$E$4:$E$10, MATCH(I868, Lookups_Metadata!$D$4:$D$10, 0))</f>
        <v>Tuesday</v>
      </c>
      <c r="K868" s="33" t="str">
        <f aca="false">IF(H868=TRUE(), "Holiday", IF(OR(I868=0, I868=6), "Weekend", "Weekday"))</f>
        <v>Weekday</v>
      </c>
      <c r="L868" s="33" t="str">
        <f aca="false">IF(AND(K868="Weekday", OR(AND(G868&gt;=7, G868&lt;=9), AND(G868&gt;=17, G868&lt;=19))), "Peak Commute", "Off-Peak")</f>
        <v>Off-Peak</v>
      </c>
      <c r="M868" s="43" t="n">
        <v>1</v>
      </c>
      <c r="N868" s="33" t="str">
        <f aca="false">VLOOKUP(M868, Lookups_Metadata!$G$4:$H$7, 2, FALSE())</f>
        <v>Clear / Few Clouds</v>
      </c>
      <c r="O868" s="46" t="n">
        <v>0.22</v>
      </c>
      <c r="P868" s="46" t="n">
        <v>0.1818</v>
      </c>
      <c r="Q868" s="46" t="n">
        <f aca="false">IF(OR(P868="", ISBLANK(P868)), ROUND(0.9367*O868+0.0175, 4), P868)</f>
        <v>0.1818</v>
      </c>
      <c r="R868" s="33" t="str">
        <f aca="false">IF(OR(P868="", ISBLANK(P868)), "Imputed (Regression/Trend)", "Original")</f>
        <v>Original</v>
      </c>
      <c r="S868" s="46" t="n">
        <v>0.47</v>
      </c>
      <c r="T868" s="46" t="n">
        <v>0.5522</v>
      </c>
      <c r="U868" s="18" t="n">
        <v>4</v>
      </c>
      <c r="V868" s="18" t="n">
        <v>44</v>
      </c>
      <c r="W868" s="18" t="n">
        <f aca="false">U868+V868</f>
        <v>48</v>
      </c>
      <c r="X868" s="47" t="n">
        <f aca="false">U868/W868</f>
        <v>0.0833333333333333</v>
      </c>
      <c r="Y868" s="47" t="n">
        <f aca="false">V868/W868</f>
        <v>0.916666666666667</v>
      </c>
      <c r="Z868" s="33" t="str">
        <f aca="false">IF(W868&gt;=150, "High Demand", IF(W868&gt;=50, "Moderate Demand", "Low Demand"))</f>
        <v>Low Demand</v>
      </c>
      <c r="AA868" s="45" t="str">
        <f aca="false">TEXT(G868, "00") &amp; ":00"</f>
        <v>10:00</v>
      </c>
      <c r="AB868" s="43" t="n">
        <f aca="false">YEAR(B868)</f>
        <v>2011</v>
      </c>
      <c r="AC868" s="33" t="str">
        <f aca="false">TEXT(B868, "mmmm")</f>
        <v>February</v>
      </c>
      <c r="AD868" s="43" t="n">
        <f aca="false">LEN(TEXT(B868, "YYYY-MM-DD"))</f>
        <v>10</v>
      </c>
      <c r="AE868" s="45" t="str">
        <f aca="false">LEFT(TEXT(B868, "YYYY-MM-DD"), 4)</f>
        <v>2011</v>
      </c>
      <c r="AF868" s="45" t="str">
        <f aca="false">RIGHT(TEXT(B868, "YYYY-MM-DD"), 2)</f>
        <v>08</v>
      </c>
    </row>
    <row r="869" customFormat="false" ht="15" hidden="false" customHeight="false" outlineLevel="0" collapsed="false">
      <c r="A869" s="37" t="n">
        <v>865</v>
      </c>
      <c r="B869" s="38" t="s">
        <v>122</v>
      </c>
      <c r="C869" s="37" t="n">
        <v>1</v>
      </c>
      <c r="D869" s="35" t="str">
        <f aca="false">VLOOKUP(C869, Lookups_Metadata!$A$4:$B$7, 2, FALSE())</f>
        <v>Spring</v>
      </c>
      <c r="E869" s="37" t="n">
        <v>0</v>
      </c>
      <c r="F869" s="37" t="n">
        <v>2</v>
      </c>
      <c r="G869" s="37" t="n">
        <v>11</v>
      </c>
      <c r="H869" s="39" t="b">
        <f aca="false">FALSE()</f>
        <v>0</v>
      </c>
      <c r="I869" s="37" t="n">
        <v>2</v>
      </c>
      <c r="J869" s="35" t="str">
        <f aca="false">INDEX(Lookups_Metadata!$E$4:$E$10, MATCH(I869, Lookups_Metadata!$D$4:$D$10, 0))</f>
        <v>Tuesday</v>
      </c>
      <c r="K869" s="35" t="str">
        <f aca="false">IF(H869=TRUE(), "Holiday", IF(OR(I869=0, I869=6), "Weekend", "Weekday"))</f>
        <v>Weekday</v>
      </c>
      <c r="L869" s="35" t="str">
        <f aca="false">IF(AND(K869="Weekday", OR(AND(G869&gt;=7, G869&lt;=9), AND(G869&gt;=17, G869&lt;=19))), "Peak Commute", "Off-Peak")</f>
        <v>Off-Peak</v>
      </c>
      <c r="M869" s="37" t="n">
        <v>1</v>
      </c>
      <c r="N869" s="35" t="str">
        <f aca="false">VLOOKUP(M869, Lookups_Metadata!$G$4:$H$7, 2, FALSE())</f>
        <v>Clear / Few Clouds</v>
      </c>
      <c r="O869" s="40" t="n">
        <v>0.22</v>
      </c>
      <c r="P869" s="40" t="n">
        <v>0.1818</v>
      </c>
      <c r="Q869" s="40" t="n">
        <f aca="false">IF(OR(P869="", ISBLANK(P869)), ROUND(0.9367*O869+0.0175, 4), P869)</f>
        <v>0.1818</v>
      </c>
      <c r="R869" s="35" t="str">
        <f aca="false">IF(OR(P869="", ISBLANK(P869)), "Imputed (Regression/Trend)", "Original")</f>
        <v>Original</v>
      </c>
      <c r="S869" s="40" t="n">
        <v>0.47</v>
      </c>
      <c r="T869" s="40" t="n">
        <v>0.4627</v>
      </c>
      <c r="U869" s="41" t="n">
        <v>1</v>
      </c>
      <c r="V869" s="41" t="n">
        <v>49</v>
      </c>
      <c r="W869" s="41" t="n">
        <f aca="false">U869+V869</f>
        <v>50</v>
      </c>
      <c r="X869" s="42" t="n">
        <f aca="false">U869/W869</f>
        <v>0.02</v>
      </c>
      <c r="Y869" s="42" t="n">
        <f aca="false">V869/W869</f>
        <v>0.98</v>
      </c>
      <c r="Z869" s="35" t="str">
        <f aca="false">IF(W869&gt;=150, "High Demand", IF(W869&gt;=50, "Moderate Demand", "Low Demand"))</f>
        <v>Moderate Demand</v>
      </c>
      <c r="AA869" s="39" t="str">
        <f aca="false">TEXT(G869, "00") &amp; ":00"</f>
        <v>11:00</v>
      </c>
      <c r="AB869" s="37" t="n">
        <f aca="false">YEAR(B869)</f>
        <v>2011</v>
      </c>
      <c r="AC869" s="35" t="str">
        <f aca="false">TEXT(B869, "mmmm")</f>
        <v>February</v>
      </c>
      <c r="AD869" s="37" t="n">
        <f aca="false">LEN(TEXT(B869, "YYYY-MM-DD"))</f>
        <v>10</v>
      </c>
      <c r="AE869" s="39" t="str">
        <f aca="false">LEFT(TEXT(B869, "YYYY-MM-DD"), 4)</f>
        <v>2011</v>
      </c>
      <c r="AF869" s="39" t="str">
        <f aca="false">RIGHT(TEXT(B869, "YYYY-MM-DD"), 2)</f>
        <v>08</v>
      </c>
    </row>
    <row r="870" customFormat="false" ht="15" hidden="false" customHeight="false" outlineLevel="0" collapsed="false">
      <c r="A870" s="43" t="n">
        <v>866</v>
      </c>
      <c r="B870" s="44" t="s">
        <v>122</v>
      </c>
      <c r="C870" s="43" t="n">
        <v>1</v>
      </c>
      <c r="D870" s="33" t="str">
        <f aca="false">VLOOKUP(C870, Lookups_Metadata!$A$4:$B$7, 2, FALSE())</f>
        <v>Spring</v>
      </c>
      <c r="E870" s="43" t="n">
        <v>0</v>
      </c>
      <c r="F870" s="43" t="n">
        <v>2</v>
      </c>
      <c r="G870" s="43" t="n">
        <v>12</v>
      </c>
      <c r="H870" s="45" t="b">
        <f aca="false">FALSE()</f>
        <v>0</v>
      </c>
      <c r="I870" s="43" t="n">
        <v>2</v>
      </c>
      <c r="J870" s="33" t="str">
        <f aca="false">INDEX(Lookups_Metadata!$E$4:$E$10, MATCH(I870, Lookups_Metadata!$D$4:$D$10, 0))</f>
        <v>Tuesday</v>
      </c>
      <c r="K870" s="33" t="str">
        <f aca="false">IF(H870=TRUE(), "Holiday", IF(OR(I870=0, I870=6), "Weekend", "Weekday"))</f>
        <v>Weekday</v>
      </c>
      <c r="L870" s="33" t="str">
        <f aca="false">IF(AND(K870="Weekday", OR(AND(G870&gt;=7, G870&lt;=9), AND(G870&gt;=17, G870&lt;=19))), "Peak Commute", "Off-Peak")</f>
        <v>Off-Peak</v>
      </c>
      <c r="M870" s="43" t="n">
        <v>1</v>
      </c>
      <c r="N870" s="33" t="str">
        <f aca="false">VLOOKUP(M870, Lookups_Metadata!$G$4:$H$7, 2, FALSE())</f>
        <v>Clear / Few Clouds</v>
      </c>
      <c r="O870" s="46" t="n">
        <v>0.24</v>
      </c>
      <c r="P870" s="46" t="n">
        <v>0.197</v>
      </c>
      <c r="Q870" s="46" t="n">
        <f aca="false">IF(OR(P870="", ISBLANK(P870)), ROUND(0.9367*O870+0.0175, 4), P870)</f>
        <v>0.197</v>
      </c>
      <c r="R870" s="33" t="str">
        <f aca="false">IF(OR(P870="", ISBLANK(P870)), "Imputed (Regression/Trend)", "Original")</f>
        <v>Original</v>
      </c>
      <c r="S870" s="46" t="n">
        <v>0.38</v>
      </c>
      <c r="T870" s="46" t="n">
        <v>0.4925</v>
      </c>
      <c r="U870" s="18" t="n">
        <v>2</v>
      </c>
      <c r="V870" s="18" t="n">
        <v>63</v>
      </c>
      <c r="W870" s="18" t="n">
        <f aca="false">U870+V870</f>
        <v>65</v>
      </c>
      <c r="X870" s="47" t="n">
        <f aca="false">U870/W870</f>
        <v>0.0307692307692308</v>
      </c>
      <c r="Y870" s="47" t="n">
        <f aca="false">V870/W870</f>
        <v>0.969230769230769</v>
      </c>
      <c r="Z870" s="33" t="str">
        <f aca="false">IF(W870&gt;=150, "High Demand", IF(W870&gt;=50, "Moderate Demand", "Low Demand"))</f>
        <v>Moderate Demand</v>
      </c>
      <c r="AA870" s="45" t="str">
        <f aca="false">TEXT(G870, "00") &amp; ":00"</f>
        <v>12:00</v>
      </c>
      <c r="AB870" s="43" t="n">
        <f aca="false">YEAR(B870)</f>
        <v>2011</v>
      </c>
      <c r="AC870" s="33" t="str">
        <f aca="false">TEXT(B870, "mmmm")</f>
        <v>February</v>
      </c>
      <c r="AD870" s="43" t="n">
        <f aca="false">LEN(TEXT(B870, "YYYY-MM-DD"))</f>
        <v>10</v>
      </c>
      <c r="AE870" s="45" t="str">
        <f aca="false">LEFT(TEXT(B870, "YYYY-MM-DD"), 4)</f>
        <v>2011</v>
      </c>
      <c r="AF870" s="45" t="str">
        <f aca="false">RIGHT(TEXT(B870, "YYYY-MM-DD"), 2)</f>
        <v>08</v>
      </c>
    </row>
    <row r="871" customFormat="false" ht="15" hidden="false" customHeight="false" outlineLevel="0" collapsed="false">
      <c r="A871" s="37" t="n">
        <v>867</v>
      </c>
      <c r="B871" s="38" t="s">
        <v>122</v>
      </c>
      <c r="C871" s="37" t="n">
        <v>1</v>
      </c>
      <c r="D871" s="35" t="str">
        <f aca="false">VLOOKUP(C871, Lookups_Metadata!$A$4:$B$7, 2, FALSE())</f>
        <v>Spring</v>
      </c>
      <c r="E871" s="37" t="n">
        <v>0</v>
      </c>
      <c r="F871" s="37" t="n">
        <v>2</v>
      </c>
      <c r="G871" s="37" t="n">
        <v>13</v>
      </c>
      <c r="H871" s="39" t="b">
        <f aca="false">FALSE()</f>
        <v>0</v>
      </c>
      <c r="I871" s="37" t="n">
        <v>2</v>
      </c>
      <c r="J871" s="35" t="str">
        <f aca="false">INDEX(Lookups_Metadata!$E$4:$E$10, MATCH(I871, Lookups_Metadata!$D$4:$D$10, 0))</f>
        <v>Tuesday</v>
      </c>
      <c r="K871" s="35" t="str">
        <f aca="false">IF(H871=TRUE(), "Holiday", IF(OR(I871=0, I871=6), "Weekend", "Weekday"))</f>
        <v>Weekday</v>
      </c>
      <c r="L871" s="35" t="str">
        <f aca="false">IF(AND(K871="Weekday", OR(AND(G871&gt;=7, G871&lt;=9), AND(G871&gt;=17, G871&lt;=19))), "Peak Commute", "Off-Peak")</f>
        <v>Off-Peak</v>
      </c>
      <c r="M871" s="37" t="n">
        <v>2</v>
      </c>
      <c r="N871" s="35" t="str">
        <f aca="false">VLOOKUP(M871, Lookups_Metadata!$G$4:$H$7, 2, FALSE())</f>
        <v>Mist / Cloudy</v>
      </c>
      <c r="O871" s="40" t="n">
        <v>0.24</v>
      </c>
      <c r="P871" s="40" t="n">
        <v>0.197</v>
      </c>
      <c r="Q871" s="40" t="n">
        <f aca="false">IF(OR(P871="", ISBLANK(P871)), ROUND(0.9367*O871+0.0175, 4), P871)</f>
        <v>0.197</v>
      </c>
      <c r="R871" s="35" t="str">
        <f aca="false">IF(OR(P871="", ISBLANK(P871)), "Imputed (Regression/Trend)", "Original")</f>
        <v>Original</v>
      </c>
      <c r="S871" s="40" t="n">
        <v>0.32</v>
      </c>
      <c r="T871" s="40" t="n">
        <v>0.4478</v>
      </c>
      <c r="U871" s="41" t="n">
        <v>2</v>
      </c>
      <c r="V871" s="41" t="n">
        <v>48</v>
      </c>
      <c r="W871" s="41" t="n">
        <f aca="false">U871+V871</f>
        <v>50</v>
      </c>
      <c r="X871" s="42" t="n">
        <f aca="false">U871/W871</f>
        <v>0.04</v>
      </c>
      <c r="Y871" s="42" t="n">
        <f aca="false">V871/W871</f>
        <v>0.96</v>
      </c>
      <c r="Z871" s="35" t="str">
        <f aca="false">IF(W871&gt;=150, "High Demand", IF(W871&gt;=50, "Moderate Demand", "Low Demand"))</f>
        <v>Moderate Demand</v>
      </c>
      <c r="AA871" s="39" t="str">
        <f aca="false">TEXT(G871, "00") &amp; ":00"</f>
        <v>13:00</v>
      </c>
      <c r="AB871" s="37" t="n">
        <f aca="false">YEAR(B871)</f>
        <v>2011</v>
      </c>
      <c r="AC871" s="35" t="str">
        <f aca="false">TEXT(B871, "mmmm")</f>
        <v>February</v>
      </c>
      <c r="AD871" s="37" t="n">
        <f aca="false">LEN(TEXT(B871, "YYYY-MM-DD"))</f>
        <v>10</v>
      </c>
      <c r="AE871" s="39" t="str">
        <f aca="false">LEFT(TEXT(B871, "YYYY-MM-DD"), 4)</f>
        <v>2011</v>
      </c>
      <c r="AF871" s="39" t="str">
        <f aca="false">RIGHT(TEXT(B871, "YYYY-MM-DD"), 2)</f>
        <v>08</v>
      </c>
    </row>
    <row r="872" customFormat="false" ht="15" hidden="false" customHeight="false" outlineLevel="0" collapsed="false">
      <c r="A872" s="43" t="n">
        <v>868</v>
      </c>
      <c r="B872" s="44" t="s">
        <v>122</v>
      </c>
      <c r="C872" s="43" t="n">
        <v>1</v>
      </c>
      <c r="D872" s="33" t="str">
        <f aca="false">VLOOKUP(C872, Lookups_Metadata!$A$4:$B$7, 2, FALSE())</f>
        <v>Spring</v>
      </c>
      <c r="E872" s="43" t="n">
        <v>0</v>
      </c>
      <c r="F872" s="43" t="n">
        <v>2</v>
      </c>
      <c r="G872" s="43" t="n">
        <v>14</v>
      </c>
      <c r="H872" s="45" t="b">
        <f aca="false">FALSE()</f>
        <v>0</v>
      </c>
      <c r="I872" s="43" t="n">
        <v>2</v>
      </c>
      <c r="J872" s="33" t="str">
        <f aca="false">INDEX(Lookups_Metadata!$E$4:$E$10, MATCH(I872, Lookups_Metadata!$D$4:$D$10, 0))</f>
        <v>Tuesday</v>
      </c>
      <c r="K872" s="33" t="str">
        <f aca="false">IF(H872=TRUE(), "Holiday", IF(OR(I872=0, I872=6), "Weekend", "Weekday"))</f>
        <v>Weekday</v>
      </c>
      <c r="L872" s="33" t="str">
        <f aca="false">IF(AND(K872="Weekday", OR(AND(G872&gt;=7, G872&lt;=9), AND(G872&gt;=17, G872&lt;=19))), "Peak Commute", "Off-Peak")</f>
        <v>Off-Peak</v>
      </c>
      <c r="M872" s="43" t="n">
        <v>1</v>
      </c>
      <c r="N872" s="33" t="str">
        <f aca="false">VLOOKUP(M872, Lookups_Metadata!$G$4:$H$7, 2, FALSE())</f>
        <v>Clear / Few Clouds</v>
      </c>
      <c r="O872" s="46" t="n">
        <v>0.22</v>
      </c>
      <c r="P872" s="46" t="n">
        <v>0.197</v>
      </c>
      <c r="Q872" s="46" t="n">
        <f aca="false">IF(OR(P872="", ISBLANK(P872)), ROUND(0.9367*O872+0.0175, 4), P872)</f>
        <v>0.197</v>
      </c>
      <c r="R872" s="33" t="str">
        <f aca="false">IF(OR(P872="", ISBLANK(P872)), "Imputed (Regression/Trend)", "Original")</f>
        <v>Original</v>
      </c>
      <c r="S872" s="46" t="n">
        <v>0.37</v>
      </c>
      <c r="T872" s="46" t="n">
        <v>0.4179</v>
      </c>
      <c r="U872" s="18" t="n">
        <v>3</v>
      </c>
      <c r="V872" s="18" t="n">
        <v>61</v>
      </c>
      <c r="W872" s="18" t="n">
        <f aca="false">U872+V872</f>
        <v>64</v>
      </c>
      <c r="X872" s="47" t="n">
        <f aca="false">U872/W872</f>
        <v>0.046875</v>
      </c>
      <c r="Y872" s="47" t="n">
        <f aca="false">V872/W872</f>
        <v>0.953125</v>
      </c>
      <c r="Z872" s="33" t="str">
        <f aca="false">IF(W872&gt;=150, "High Demand", IF(W872&gt;=50, "Moderate Demand", "Low Demand"))</f>
        <v>Moderate Demand</v>
      </c>
      <c r="AA872" s="45" t="str">
        <f aca="false">TEXT(G872, "00") &amp; ":00"</f>
        <v>14:00</v>
      </c>
      <c r="AB872" s="43" t="n">
        <f aca="false">YEAR(B872)</f>
        <v>2011</v>
      </c>
      <c r="AC872" s="33" t="str">
        <f aca="false">TEXT(B872, "mmmm")</f>
        <v>February</v>
      </c>
      <c r="AD872" s="43" t="n">
        <f aca="false">LEN(TEXT(B872, "YYYY-MM-DD"))</f>
        <v>10</v>
      </c>
      <c r="AE872" s="45" t="str">
        <f aca="false">LEFT(TEXT(B872, "YYYY-MM-DD"), 4)</f>
        <v>2011</v>
      </c>
      <c r="AF872" s="45" t="str">
        <f aca="false">RIGHT(TEXT(B872, "YYYY-MM-DD"), 2)</f>
        <v>08</v>
      </c>
    </row>
    <row r="873" customFormat="false" ht="15" hidden="false" customHeight="false" outlineLevel="0" collapsed="false">
      <c r="A873" s="37" t="n">
        <v>869</v>
      </c>
      <c r="B873" s="38" t="s">
        <v>122</v>
      </c>
      <c r="C873" s="37" t="n">
        <v>1</v>
      </c>
      <c r="D873" s="35" t="str">
        <f aca="false">VLOOKUP(C873, Lookups_Metadata!$A$4:$B$7, 2, FALSE())</f>
        <v>Spring</v>
      </c>
      <c r="E873" s="37" t="n">
        <v>0</v>
      </c>
      <c r="F873" s="37" t="n">
        <v>2</v>
      </c>
      <c r="G873" s="37" t="n">
        <v>15</v>
      </c>
      <c r="H873" s="39" t="b">
        <f aca="false">FALSE()</f>
        <v>0</v>
      </c>
      <c r="I873" s="37" t="n">
        <v>2</v>
      </c>
      <c r="J873" s="35" t="str">
        <f aca="false">INDEX(Lookups_Metadata!$E$4:$E$10, MATCH(I873, Lookups_Metadata!$D$4:$D$10, 0))</f>
        <v>Tuesday</v>
      </c>
      <c r="K873" s="35" t="str">
        <f aca="false">IF(H873=TRUE(), "Holiday", IF(OR(I873=0, I873=6), "Weekend", "Weekday"))</f>
        <v>Weekday</v>
      </c>
      <c r="L873" s="35" t="str">
        <f aca="false">IF(AND(K873="Weekday", OR(AND(G873&gt;=7, G873&lt;=9), AND(G873&gt;=17, G873&lt;=19))), "Peak Commute", "Off-Peak")</f>
        <v>Off-Peak</v>
      </c>
      <c r="M873" s="37" t="n">
        <v>1</v>
      </c>
      <c r="N873" s="35" t="str">
        <f aca="false">VLOOKUP(M873, Lookups_Metadata!$G$4:$H$7, 2, FALSE())</f>
        <v>Clear / Few Clouds</v>
      </c>
      <c r="O873" s="40" t="n">
        <v>0.22</v>
      </c>
      <c r="P873" s="40" t="n">
        <v>0.197</v>
      </c>
      <c r="Q873" s="40" t="n">
        <f aca="false">IF(OR(P873="", ISBLANK(P873)), ROUND(0.9367*O873+0.0175, 4), P873)</f>
        <v>0.197</v>
      </c>
      <c r="R873" s="35" t="str">
        <f aca="false">IF(OR(P873="", ISBLANK(P873)), "Imputed (Regression/Trend)", "Original")</f>
        <v>Original</v>
      </c>
      <c r="S873" s="40" t="n">
        <v>0.35</v>
      </c>
      <c r="T873" s="40" t="n">
        <v>0.3881</v>
      </c>
      <c r="U873" s="41" t="n">
        <v>6</v>
      </c>
      <c r="V873" s="41" t="n">
        <v>45</v>
      </c>
      <c r="W873" s="41" t="n">
        <f aca="false">U873+V873</f>
        <v>51</v>
      </c>
      <c r="X873" s="42" t="n">
        <f aca="false">U873/W873</f>
        <v>0.117647058823529</v>
      </c>
      <c r="Y873" s="42" t="n">
        <f aca="false">V873/W873</f>
        <v>0.882352941176471</v>
      </c>
      <c r="Z873" s="35" t="str">
        <f aca="false">IF(W873&gt;=150, "High Demand", IF(W873&gt;=50, "Moderate Demand", "Low Demand"))</f>
        <v>Moderate Demand</v>
      </c>
      <c r="AA873" s="39" t="str">
        <f aca="false">TEXT(G873, "00") &amp; ":00"</f>
        <v>15:00</v>
      </c>
      <c r="AB873" s="37" t="n">
        <f aca="false">YEAR(B873)</f>
        <v>2011</v>
      </c>
      <c r="AC873" s="35" t="str">
        <f aca="false">TEXT(B873, "mmmm")</f>
        <v>February</v>
      </c>
      <c r="AD873" s="37" t="n">
        <f aca="false">LEN(TEXT(B873, "YYYY-MM-DD"))</f>
        <v>10</v>
      </c>
      <c r="AE873" s="39" t="str">
        <f aca="false">LEFT(TEXT(B873, "YYYY-MM-DD"), 4)</f>
        <v>2011</v>
      </c>
      <c r="AF873" s="39" t="str">
        <f aca="false">RIGHT(TEXT(B873, "YYYY-MM-DD"), 2)</f>
        <v>08</v>
      </c>
    </row>
    <row r="874" customFormat="false" ht="15" hidden="false" customHeight="false" outlineLevel="0" collapsed="false">
      <c r="A874" s="43" t="n">
        <v>870</v>
      </c>
      <c r="B874" s="44" t="s">
        <v>122</v>
      </c>
      <c r="C874" s="43" t="n">
        <v>1</v>
      </c>
      <c r="D874" s="33" t="str">
        <f aca="false">VLOOKUP(C874, Lookups_Metadata!$A$4:$B$7, 2, FALSE())</f>
        <v>Spring</v>
      </c>
      <c r="E874" s="43" t="n">
        <v>0</v>
      </c>
      <c r="F874" s="43" t="n">
        <v>2</v>
      </c>
      <c r="G874" s="43" t="n">
        <v>16</v>
      </c>
      <c r="H874" s="45" t="b">
        <f aca="false">FALSE()</f>
        <v>0</v>
      </c>
      <c r="I874" s="43" t="n">
        <v>2</v>
      </c>
      <c r="J874" s="33" t="str">
        <f aca="false">INDEX(Lookups_Metadata!$E$4:$E$10, MATCH(I874, Lookups_Metadata!$D$4:$D$10, 0))</f>
        <v>Tuesday</v>
      </c>
      <c r="K874" s="33" t="str">
        <f aca="false">IF(H874=TRUE(), "Holiday", IF(OR(I874=0, I874=6), "Weekend", "Weekday"))</f>
        <v>Weekday</v>
      </c>
      <c r="L874" s="33" t="str">
        <f aca="false">IF(AND(K874="Weekday", OR(AND(G874&gt;=7, G874&lt;=9), AND(G874&gt;=17, G874&lt;=19))), "Peak Commute", "Off-Peak")</f>
        <v>Off-Peak</v>
      </c>
      <c r="M874" s="43" t="n">
        <v>1</v>
      </c>
      <c r="N874" s="33" t="str">
        <f aca="false">VLOOKUP(M874, Lookups_Metadata!$G$4:$H$7, 2, FALSE())</f>
        <v>Clear / Few Clouds</v>
      </c>
      <c r="O874" s="46" t="n">
        <v>0.22</v>
      </c>
      <c r="P874" s="46" t="n">
        <v>0.1818</v>
      </c>
      <c r="Q874" s="46" t="n">
        <f aca="false">IF(OR(P874="", ISBLANK(P874)), ROUND(0.9367*O874+0.0175, 4), P874)</f>
        <v>0.1818</v>
      </c>
      <c r="R874" s="33" t="str">
        <f aca="false">IF(OR(P874="", ISBLANK(P874)), "Imputed (Regression/Trend)", "Original")</f>
        <v>Original</v>
      </c>
      <c r="S874" s="46" t="n">
        <v>0.35</v>
      </c>
      <c r="T874" s="46" t="n">
        <v>0.5224</v>
      </c>
      <c r="U874" s="18" t="n">
        <v>4</v>
      </c>
      <c r="V874" s="18" t="n">
        <v>79</v>
      </c>
      <c r="W874" s="18" t="n">
        <f aca="false">U874+V874</f>
        <v>83</v>
      </c>
      <c r="X874" s="47" t="n">
        <f aca="false">U874/W874</f>
        <v>0.0481927710843374</v>
      </c>
      <c r="Y874" s="47" t="n">
        <f aca="false">V874/W874</f>
        <v>0.951807228915663</v>
      </c>
      <c r="Z874" s="33" t="str">
        <f aca="false">IF(W874&gt;=150, "High Demand", IF(W874&gt;=50, "Moderate Demand", "Low Demand"))</f>
        <v>Moderate Demand</v>
      </c>
      <c r="AA874" s="45" t="str">
        <f aca="false">TEXT(G874, "00") &amp; ":00"</f>
        <v>16:00</v>
      </c>
      <c r="AB874" s="43" t="n">
        <f aca="false">YEAR(B874)</f>
        <v>2011</v>
      </c>
      <c r="AC874" s="33" t="str">
        <f aca="false">TEXT(B874, "mmmm")</f>
        <v>February</v>
      </c>
      <c r="AD874" s="43" t="n">
        <f aca="false">LEN(TEXT(B874, "YYYY-MM-DD"))</f>
        <v>10</v>
      </c>
      <c r="AE874" s="45" t="str">
        <f aca="false">LEFT(TEXT(B874, "YYYY-MM-DD"), 4)</f>
        <v>2011</v>
      </c>
      <c r="AF874" s="45" t="str">
        <f aca="false">RIGHT(TEXT(B874, "YYYY-MM-DD"), 2)</f>
        <v>08</v>
      </c>
    </row>
    <row r="875" customFormat="false" ht="15" hidden="false" customHeight="false" outlineLevel="0" collapsed="false">
      <c r="A875" s="37" t="n">
        <v>871</v>
      </c>
      <c r="B875" s="38" t="s">
        <v>122</v>
      </c>
      <c r="C875" s="37" t="n">
        <v>1</v>
      </c>
      <c r="D875" s="35" t="str">
        <f aca="false">VLOOKUP(C875, Lookups_Metadata!$A$4:$B$7, 2, FALSE())</f>
        <v>Spring</v>
      </c>
      <c r="E875" s="37" t="n">
        <v>0</v>
      </c>
      <c r="F875" s="37" t="n">
        <v>2</v>
      </c>
      <c r="G875" s="37" t="n">
        <v>17</v>
      </c>
      <c r="H875" s="39" t="b">
        <f aca="false">FALSE()</f>
        <v>0</v>
      </c>
      <c r="I875" s="37" t="n">
        <v>2</v>
      </c>
      <c r="J875" s="35" t="str">
        <f aca="false">INDEX(Lookups_Metadata!$E$4:$E$10, MATCH(I875, Lookups_Metadata!$D$4:$D$10, 0))</f>
        <v>Tuesday</v>
      </c>
      <c r="K875" s="35" t="str">
        <f aca="false">IF(H875=TRUE(), "Holiday", IF(OR(I875=0, I875=6), "Weekend", "Weekday"))</f>
        <v>Weekday</v>
      </c>
      <c r="L875" s="35" t="str">
        <f aca="false">IF(AND(K875="Weekday", OR(AND(G875&gt;=7, G875&lt;=9), AND(G875&gt;=17, G875&lt;=19))), "Peak Commute", "Off-Peak")</f>
        <v>Peak Commute</v>
      </c>
      <c r="M875" s="37" t="n">
        <v>1</v>
      </c>
      <c r="N875" s="35" t="str">
        <f aca="false">VLOOKUP(M875, Lookups_Metadata!$G$4:$H$7, 2, FALSE())</f>
        <v>Clear / Few Clouds</v>
      </c>
      <c r="O875" s="40" t="n">
        <v>0.22</v>
      </c>
      <c r="P875" s="40" t="n">
        <v>0.1818</v>
      </c>
      <c r="Q875" s="40" t="n">
        <f aca="false">IF(OR(P875="", ISBLANK(P875)), ROUND(0.9367*O875+0.0175, 4), P875)</f>
        <v>0.1818</v>
      </c>
      <c r="R875" s="35" t="str">
        <f aca="false">IF(OR(P875="", ISBLANK(P875)), "Imputed (Regression/Trend)", "Original")</f>
        <v>Original</v>
      </c>
      <c r="S875" s="40" t="n">
        <v>0.32</v>
      </c>
      <c r="T875" s="40" t="n">
        <v>0.5821</v>
      </c>
      <c r="U875" s="41" t="n">
        <v>4</v>
      </c>
      <c r="V875" s="41" t="n">
        <v>172</v>
      </c>
      <c r="W875" s="41" t="n">
        <f aca="false">U875+V875</f>
        <v>176</v>
      </c>
      <c r="X875" s="42" t="n">
        <f aca="false">U875/W875</f>
        <v>0.0227272727272727</v>
      </c>
      <c r="Y875" s="42" t="n">
        <f aca="false">V875/W875</f>
        <v>0.977272727272727</v>
      </c>
      <c r="Z875" s="35" t="str">
        <f aca="false">IF(W875&gt;=150, "High Demand", IF(W875&gt;=50, "Moderate Demand", "Low Demand"))</f>
        <v>High Demand</v>
      </c>
      <c r="AA875" s="39" t="str">
        <f aca="false">TEXT(G875, "00") &amp; ":00"</f>
        <v>17:00</v>
      </c>
      <c r="AB875" s="37" t="n">
        <f aca="false">YEAR(B875)</f>
        <v>2011</v>
      </c>
      <c r="AC875" s="35" t="str">
        <f aca="false">TEXT(B875, "mmmm")</f>
        <v>February</v>
      </c>
      <c r="AD875" s="37" t="n">
        <f aca="false">LEN(TEXT(B875, "YYYY-MM-DD"))</f>
        <v>10</v>
      </c>
      <c r="AE875" s="39" t="str">
        <f aca="false">LEFT(TEXT(B875, "YYYY-MM-DD"), 4)</f>
        <v>2011</v>
      </c>
      <c r="AF875" s="39" t="str">
        <f aca="false">RIGHT(TEXT(B875, "YYYY-MM-DD"), 2)</f>
        <v>08</v>
      </c>
    </row>
    <row r="876" customFormat="false" ht="15" hidden="false" customHeight="false" outlineLevel="0" collapsed="false">
      <c r="A876" s="43" t="n">
        <v>872</v>
      </c>
      <c r="B876" s="44" t="s">
        <v>122</v>
      </c>
      <c r="C876" s="43" t="n">
        <v>1</v>
      </c>
      <c r="D876" s="33" t="str">
        <f aca="false">VLOOKUP(C876, Lookups_Metadata!$A$4:$B$7, 2, FALSE())</f>
        <v>Spring</v>
      </c>
      <c r="E876" s="43" t="n">
        <v>0</v>
      </c>
      <c r="F876" s="43" t="n">
        <v>2</v>
      </c>
      <c r="G876" s="43" t="n">
        <v>18</v>
      </c>
      <c r="H876" s="45" t="b">
        <f aca="false">FALSE()</f>
        <v>0</v>
      </c>
      <c r="I876" s="43" t="n">
        <v>2</v>
      </c>
      <c r="J876" s="33" t="str">
        <f aca="false">INDEX(Lookups_Metadata!$E$4:$E$10, MATCH(I876, Lookups_Metadata!$D$4:$D$10, 0))</f>
        <v>Tuesday</v>
      </c>
      <c r="K876" s="33" t="str">
        <f aca="false">IF(H876=TRUE(), "Holiday", IF(OR(I876=0, I876=6), "Weekend", "Weekday"))</f>
        <v>Weekday</v>
      </c>
      <c r="L876" s="33" t="str">
        <f aca="false">IF(AND(K876="Weekday", OR(AND(G876&gt;=7, G876&lt;=9), AND(G876&gt;=17, G876&lt;=19))), "Peak Commute", "Off-Peak")</f>
        <v>Peak Commute</v>
      </c>
      <c r="M876" s="43" t="n">
        <v>1</v>
      </c>
      <c r="N876" s="33" t="str">
        <f aca="false">VLOOKUP(M876, Lookups_Metadata!$G$4:$H$7, 2, FALSE())</f>
        <v>Clear / Few Clouds</v>
      </c>
      <c r="O876" s="46" t="n">
        <v>0.2</v>
      </c>
      <c r="P876" s="46" t="n">
        <v>0.1818</v>
      </c>
      <c r="Q876" s="46" t="n">
        <f aca="false">IF(OR(P876="", ISBLANK(P876)), ROUND(0.9367*O876+0.0175, 4), P876)</f>
        <v>0.1818</v>
      </c>
      <c r="R876" s="33" t="str">
        <f aca="false">IF(OR(P876="", ISBLANK(P876)), "Imputed (Regression/Trend)", "Original")</f>
        <v>Original</v>
      </c>
      <c r="S876" s="46" t="n">
        <v>0.32</v>
      </c>
      <c r="T876" s="46" t="n">
        <v>0.3881</v>
      </c>
      <c r="U876" s="18" t="n">
        <v>1</v>
      </c>
      <c r="V876" s="18" t="n">
        <v>151</v>
      </c>
      <c r="W876" s="18" t="n">
        <f aca="false">U876+V876</f>
        <v>152</v>
      </c>
      <c r="X876" s="47" t="n">
        <f aca="false">U876/W876</f>
        <v>0.00657894736842105</v>
      </c>
      <c r="Y876" s="47" t="n">
        <f aca="false">V876/W876</f>
        <v>0.993421052631579</v>
      </c>
      <c r="Z876" s="33" t="str">
        <f aca="false">IF(W876&gt;=150, "High Demand", IF(W876&gt;=50, "Moderate Demand", "Low Demand"))</f>
        <v>High Demand</v>
      </c>
      <c r="AA876" s="45" t="str">
        <f aca="false">TEXT(G876, "00") &amp; ":00"</f>
        <v>18:00</v>
      </c>
      <c r="AB876" s="43" t="n">
        <f aca="false">YEAR(B876)</f>
        <v>2011</v>
      </c>
      <c r="AC876" s="33" t="str">
        <f aca="false">TEXT(B876, "mmmm")</f>
        <v>February</v>
      </c>
      <c r="AD876" s="43" t="n">
        <f aca="false">LEN(TEXT(B876, "YYYY-MM-DD"))</f>
        <v>10</v>
      </c>
      <c r="AE876" s="45" t="str">
        <f aca="false">LEFT(TEXT(B876, "YYYY-MM-DD"), 4)</f>
        <v>2011</v>
      </c>
      <c r="AF876" s="45" t="str">
        <f aca="false">RIGHT(TEXT(B876, "YYYY-MM-DD"), 2)</f>
        <v>08</v>
      </c>
    </row>
    <row r="877" customFormat="false" ht="15" hidden="false" customHeight="false" outlineLevel="0" collapsed="false">
      <c r="A877" s="37" t="n">
        <v>873</v>
      </c>
      <c r="B877" s="38" t="s">
        <v>122</v>
      </c>
      <c r="C877" s="37" t="n">
        <v>1</v>
      </c>
      <c r="D877" s="35" t="str">
        <f aca="false">VLOOKUP(C877, Lookups_Metadata!$A$4:$B$7, 2, FALSE())</f>
        <v>Spring</v>
      </c>
      <c r="E877" s="37" t="n">
        <v>0</v>
      </c>
      <c r="F877" s="37" t="n">
        <v>2</v>
      </c>
      <c r="G877" s="37" t="n">
        <v>19</v>
      </c>
      <c r="H877" s="39" t="b">
        <f aca="false">FALSE()</f>
        <v>0</v>
      </c>
      <c r="I877" s="37" t="n">
        <v>2</v>
      </c>
      <c r="J877" s="35" t="str">
        <f aca="false">INDEX(Lookups_Metadata!$E$4:$E$10, MATCH(I877, Lookups_Metadata!$D$4:$D$10, 0))</f>
        <v>Tuesday</v>
      </c>
      <c r="K877" s="35" t="str">
        <f aca="false">IF(H877=TRUE(), "Holiday", IF(OR(I877=0, I877=6), "Weekend", "Weekday"))</f>
        <v>Weekday</v>
      </c>
      <c r="L877" s="35" t="str">
        <f aca="false">IF(AND(K877="Weekday", OR(AND(G877&gt;=7, G877&lt;=9), AND(G877&gt;=17, G877&lt;=19))), "Peak Commute", "Off-Peak")</f>
        <v>Peak Commute</v>
      </c>
      <c r="M877" s="37" t="n">
        <v>1</v>
      </c>
      <c r="N877" s="35" t="str">
        <f aca="false">VLOOKUP(M877, Lookups_Metadata!$G$4:$H$7, 2, FALSE())</f>
        <v>Clear / Few Clouds</v>
      </c>
      <c r="O877" s="40" t="n">
        <v>0.16</v>
      </c>
      <c r="P877" s="40" t="n">
        <v>0.1212</v>
      </c>
      <c r="Q877" s="40" t="n">
        <f aca="false">IF(OR(P877="", ISBLANK(P877)), ROUND(0.9367*O877+0.0175, 4), P877)</f>
        <v>0.1212</v>
      </c>
      <c r="R877" s="35" t="str">
        <f aca="false">IF(OR(P877="", ISBLANK(P877)), "Imputed (Regression/Trend)", "Original")</f>
        <v>Original</v>
      </c>
      <c r="S877" s="40" t="n">
        <v>0.4</v>
      </c>
      <c r="T877" s="40" t="n">
        <v>0.4627</v>
      </c>
      <c r="U877" s="41" t="n">
        <v>1</v>
      </c>
      <c r="V877" s="41" t="n">
        <v>100</v>
      </c>
      <c r="W877" s="41" t="n">
        <f aca="false">U877+V877</f>
        <v>101</v>
      </c>
      <c r="X877" s="42" t="n">
        <f aca="false">U877/W877</f>
        <v>0.0099009900990099</v>
      </c>
      <c r="Y877" s="42" t="n">
        <f aca="false">V877/W877</f>
        <v>0.99009900990099</v>
      </c>
      <c r="Z877" s="35" t="str">
        <f aca="false">IF(W877&gt;=150, "High Demand", IF(W877&gt;=50, "Moderate Demand", "Low Demand"))</f>
        <v>Moderate Demand</v>
      </c>
      <c r="AA877" s="39" t="str">
        <f aca="false">TEXT(G877, "00") &amp; ":00"</f>
        <v>19:00</v>
      </c>
      <c r="AB877" s="37" t="n">
        <f aca="false">YEAR(B877)</f>
        <v>2011</v>
      </c>
      <c r="AC877" s="35" t="str">
        <f aca="false">TEXT(B877, "mmmm")</f>
        <v>February</v>
      </c>
      <c r="AD877" s="37" t="n">
        <f aca="false">LEN(TEXT(B877, "YYYY-MM-DD"))</f>
        <v>10</v>
      </c>
      <c r="AE877" s="39" t="str">
        <f aca="false">LEFT(TEXT(B877, "YYYY-MM-DD"), 4)</f>
        <v>2011</v>
      </c>
      <c r="AF877" s="39" t="str">
        <f aca="false">RIGHT(TEXT(B877, "YYYY-MM-DD"), 2)</f>
        <v>08</v>
      </c>
    </row>
    <row r="878" customFormat="false" ht="15" hidden="false" customHeight="false" outlineLevel="0" collapsed="false">
      <c r="A878" s="43" t="n">
        <v>874</v>
      </c>
      <c r="B878" s="44" t="s">
        <v>122</v>
      </c>
      <c r="C878" s="43" t="n">
        <v>1</v>
      </c>
      <c r="D878" s="33" t="str">
        <f aca="false">VLOOKUP(C878, Lookups_Metadata!$A$4:$B$7, 2, FALSE())</f>
        <v>Spring</v>
      </c>
      <c r="E878" s="43" t="n">
        <v>0</v>
      </c>
      <c r="F878" s="43" t="n">
        <v>2</v>
      </c>
      <c r="G878" s="43" t="n">
        <v>20</v>
      </c>
      <c r="H878" s="45" t="b">
        <f aca="false">FALSE()</f>
        <v>0</v>
      </c>
      <c r="I878" s="43" t="n">
        <v>2</v>
      </c>
      <c r="J878" s="33" t="str">
        <f aca="false">INDEX(Lookups_Metadata!$E$4:$E$10, MATCH(I878, Lookups_Metadata!$D$4:$D$10, 0))</f>
        <v>Tuesday</v>
      </c>
      <c r="K878" s="33" t="str">
        <f aca="false">IF(H878=TRUE(), "Holiday", IF(OR(I878=0, I878=6), "Weekend", "Weekday"))</f>
        <v>Weekday</v>
      </c>
      <c r="L878" s="33" t="str">
        <f aca="false">IF(AND(K878="Weekday", OR(AND(G878&gt;=7, G878&lt;=9), AND(G878&gt;=17, G878&lt;=19))), "Peak Commute", "Off-Peak")</f>
        <v>Off-Peak</v>
      </c>
      <c r="M878" s="43" t="n">
        <v>1</v>
      </c>
      <c r="N878" s="33" t="str">
        <f aca="false">VLOOKUP(M878, Lookups_Metadata!$G$4:$H$7, 2, FALSE())</f>
        <v>Clear / Few Clouds</v>
      </c>
      <c r="O878" s="46" t="n">
        <v>0.16</v>
      </c>
      <c r="P878" s="46" t="n">
        <v>0.1364</v>
      </c>
      <c r="Q878" s="46" t="n">
        <f aca="false">IF(OR(P878="", ISBLANK(P878)), ROUND(0.9367*O878+0.0175, 4), P878)</f>
        <v>0.1364</v>
      </c>
      <c r="R878" s="33" t="str">
        <f aca="false">IF(OR(P878="", ISBLANK(P878)), "Imputed (Regression/Trend)", "Original")</f>
        <v>Original</v>
      </c>
      <c r="S878" s="46" t="n">
        <v>0.4</v>
      </c>
      <c r="T878" s="46" t="n">
        <v>0.3284</v>
      </c>
      <c r="U878" s="18" t="n">
        <v>3</v>
      </c>
      <c r="V878" s="18" t="n">
        <v>53</v>
      </c>
      <c r="W878" s="18" t="n">
        <f aca="false">U878+V878</f>
        <v>56</v>
      </c>
      <c r="X878" s="47" t="n">
        <f aca="false">U878/W878</f>
        <v>0.0535714285714286</v>
      </c>
      <c r="Y878" s="47" t="n">
        <f aca="false">V878/W878</f>
        <v>0.946428571428571</v>
      </c>
      <c r="Z878" s="33" t="str">
        <f aca="false">IF(W878&gt;=150, "High Demand", IF(W878&gt;=50, "Moderate Demand", "Low Demand"))</f>
        <v>Moderate Demand</v>
      </c>
      <c r="AA878" s="45" t="str">
        <f aca="false">TEXT(G878, "00") &amp; ":00"</f>
        <v>20:00</v>
      </c>
      <c r="AB878" s="43" t="n">
        <f aca="false">YEAR(B878)</f>
        <v>2011</v>
      </c>
      <c r="AC878" s="33" t="str">
        <f aca="false">TEXT(B878, "mmmm")</f>
        <v>February</v>
      </c>
      <c r="AD878" s="43" t="n">
        <f aca="false">LEN(TEXT(B878, "YYYY-MM-DD"))</f>
        <v>10</v>
      </c>
      <c r="AE878" s="45" t="str">
        <f aca="false">LEFT(TEXT(B878, "YYYY-MM-DD"), 4)</f>
        <v>2011</v>
      </c>
      <c r="AF878" s="45" t="str">
        <f aca="false">RIGHT(TEXT(B878, "YYYY-MM-DD"), 2)</f>
        <v>08</v>
      </c>
    </row>
    <row r="879" customFormat="false" ht="15" hidden="false" customHeight="false" outlineLevel="0" collapsed="false">
      <c r="A879" s="37" t="n">
        <v>875</v>
      </c>
      <c r="B879" s="38" t="s">
        <v>122</v>
      </c>
      <c r="C879" s="37" t="n">
        <v>1</v>
      </c>
      <c r="D879" s="35" t="str">
        <f aca="false">VLOOKUP(C879, Lookups_Metadata!$A$4:$B$7, 2, FALSE())</f>
        <v>Spring</v>
      </c>
      <c r="E879" s="37" t="n">
        <v>0</v>
      </c>
      <c r="F879" s="37" t="n">
        <v>2</v>
      </c>
      <c r="G879" s="37" t="n">
        <v>21</v>
      </c>
      <c r="H879" s="39" t="b">
        <f aca="false">FALSE()</f>
        <v>0</v>
      </c>
      <c r="I879" s="37" t="n">
        <v>2</v>
      </c>
      <c r="J879" s="35" t="str">
        <f aca="false">INDEX(Lookups_Metadata!$E$4:$E$10, MATCH(I879, Lookups_Metadata!$D$4:$D$10, 0))</f>
        <v>Tuesday</v>
      </c>
      <c r="K879" s="35" t="str">
        <f aca="false">IF(H879=TRUE(), "Holiday", IF(OR(I879=0, I879=6), "Weekend", "Weekday"))</f>
        <v>Weekday</v>
      </c>
      <c r="L879" s="35" t="str">
        <f aca="false">IF(AND(K879="Weekday", OR(AND(G879&gt;=7, G879&lt;=9), AND(G879&gt;=17, G879&lt;=19))), "Peak Commute", "Off-Peak")</f>
        <v>Off-Peak</v>
      </c>
      <c r="M879" s="37" t="n">
        <v>1</v>
      </c>
      <c r="N879" s="35" t="str">
        <f aca="false">VLOOKUP(M879, Lookups_Metadata!$G$4:$H$7, 2, FALSE())</f>
        <v>Clear / Few Clouds</v>
      </c>
      <c r="O879" s="40" t="n">
        <v>0.14</v>
      </c>
      <c r="P879" s="40" t="n">
        <v>0.1061</v>
      </c>
      <c r="Q879" s="40" t="n">
        <f aca="false">IF(OR(P879="", ISBLANK(P879)), ROUND(0.9367*O879+0.0175, 4), P879)</f>
        <v>0.1061</v>
      </c>
      <c r="R879" s="35" t="str">
        <f aca="false">IF(OR(P879="", ISBLANK(P879)), "Imputed (Regression/Trend)", "Original")</f>
        <v>Original</v>
      </c>
      <c r="S879" s="40" t="n">
        <v>0.33</v>
      </c>
      <c r="T879" s="40" t="n">
        <v>0.4627</v>
      </c>
      <c r="U879" s="41" t="n">
        <v>8</v>
      </c>
      <c r="V879" s="41" t="n">
        <v>46</v>
      </c>
      <c r="W879" s="41" t="n">
        <f aca="false">U879+V879</f>
        <v>54</v>
      </c>
      <c r="X879" s="42" t="n">
        <f aca="false">U879/W879</f>
        <v>0.148148148148148</v>
      </c>
      <c r="Y879" s="42" t="n">
        <f aca="false">V879/W879</f>
        <v>0.851851851851852</v>
      </c>
      <c r="Z879" s="35" t="str">
        <f aca="false">IF(W879&gt;=150, "High Demand", IF(W879&gt;=50, "Moderate Demand", "Low Demand"))</f>
        <v>Moderate Demand</v>
      </c>
      <c r="AA879" s="39" t="str">
        <f aca="false">TEXT(G879, "00") &amp; ":00"</f>
        <v>21:00</v>
      </c>
      <c r="AB879" s="37" t="n">
        <f aca="false">YEAR(B879)</f>
        <v>2011</v>
      </c>
      <c r="AC879" s="35" t="str">
        <f aca="false">TEXT(B879, "mmmm")</f>
        <v>February</v>
      </c>
      <c r="AD879" s="37" t="n">
        <f aca="false">LEN(TEXT(B879, "YYYY-MM-DD"))</f>
        <v>10</v>
      </c>
      <c r="AE879" s="39" t="str">
        <f aca="false">LEFT(TEXT(B879, "YYYY-MM-DD"), 4)</f>
        <v>2011</v>
      </c>
      <c r="AF879" s="39" t="str">
        <f aca="false">RIGHT(TEXT(B879, "YYYY-MM-DD"), 2)</f>
        <v>08</v>
      </c>
    </row>
    <row r="880" customFormat="false" ht="15" hidden="false" customHeight="false" outlineLevel="0" collapsed="false">
      <c r="A880" s="43" t="n">
        <v>876</v>
      </c>
      <c r="B880" s="44" t="s">
        <v>122</v>
      </c>
      <c r="C880" s="43" t="n">
        <v>1</v>
      </c>
      <c r="D880" s="33" t="str">
        <f aca="false">VLOOKUP(C880, Lookups_Metadata!$A$4:$B$7, 2, FALSE())</f>
        <v>Spring</v>
      </c>
      <c r="E880" s="43" t="n">
        <v>0</v>
      </c>
      <c r="F880" s="43" t="n">
        <v>2</v>
      </c>
      <c r="G880" s="43" t="n">
        <v>22</v>
      </c>
      <c r="H880" s="45" t="b">
        <f aca="false">FALSE()</f>
        <v>0</v>
      </c>
      <c r="I880" s="43" t="n">
        <v>2</v>
      </c>
      <c r="J880" s="33" t="str">
        <f aca="false">INDEX(Lookups_Metadata!$E$4:$E$10, MATCH(I880, Lookups_Metadata!$D$4:$D$10, 0))</f>
        <v>Tuesday</v>
      </c>
      <c r="K880" s="33" t="str">
        <f aca="false">IF(H880=TRUE(), "Holiday", IF(OR(I880=0, I880=6), "Weekend", "Weekday"))</f>
        <v>Weekday</v>
      </c>
      <c r="L880" s="33" t="str">
        <f aca="false">IF(AND(K880="Weekday", OR(AND(G880&gt;=7, G880&lt;=9), AND(G880&gt;=17, G880&lt;=19))), "Peak Commute", "Off-Peak")</f>
        <v>Off-Peak</v>
      </c>
      <c r="M880" s="43" t="n">
        <v>1</v>
      </c>
      <c r="N880" s="33" t="str">
        <f aca="false">VLOOKUP(M880, Lookups_Metadata!$G$4:$H$7, 2, FALSE())</f>
        <v>Clear / Few Clouds</v>
      </c>
      <c r="O880" s="46" t="n">
        <v>0.12</v>
      </c>
      <c r="P880" s="46" t="n">
        <v>0.1061</v>
      </c>
      <c r="Q880" s="46" t="n">
        <f aca="false">IF(OR(P880="", ISBLANK(P880)), ROUND(0.9367*O880+0.0175, 4), P880)</f>
        <v>0.1061</v>
      </c>
      <c r="R880" s="33" t="str">
        <f aca="false">IF(OR(P880="", ISBLANK(P880)), "Imputed (Regression/Trend)", "Original")</f>
        <v>Original</v>
      </c>
      <c r="S880" s="46" t="n">
        <v>0.33</v>
      </c>
      <c r="T880" s="46" t="n">
        <v>0.3582</v>
      </c>
      <c r="U880" s="18" t="n">
        <v>0</v>
      </c>
      <c r="V880" s="18" t="n">
        <v>29</v>
      </c>
      <c r="W880" s="18" t="n">
        <f aca="false">U880+V880</f>
        <v>29</v>
      </c>
      <c r="X880" s="47" t="n">
        <f aca="false">U880/W880</f>
        <v>0</v>
      </c>
      <c r="Y880" s="47" t="n">
        <f aca="false">V880/W880</f>
        <v>1</v>
      </c>
      <c r="Z880" s="33" t="str">
        <f aca="false">IF(W880&gt;=150, "High Demand", IF(W880&gt;=50, "Moderate Demand", "Low Demand"))</f>
        <v>Low Demand</v>
      </c>
      <c r="AA880" s="45" t="str">
        <f aca="false">TEXT(G880, "00") &amp; ":00"</f>
        <v>22:00</v>
      </c>
      <c r="AB880" s="43" t="n">
        <f aca="false">YEAR(B880)</f>
        <v>2011</v>
      </c>
      <c r="AC880" s="33" t="str">
        <f aca="false">TEXT(B880, "mmmm")</f>
        <v>February</v>
      </c>
      <c r="AD880" s="43" t="n">
        <f aca="false">LEN(TEXT(B880, "YYYY-MM-DD"))</f>
        <v>10</v>
      </c>
      <c r="AE880" s="45" t="str">
        <f aca="false">LEFT(TEXT(B880, "YYYY-MM-DD"), 4)</f>
        <v>2011</v>
      </c>
      <c r="AF880" s="45" t="str">
        <f aca="false">RIGHT(TEXT(B880, "YYYY-MM-DD"), 2)</f>
        <v>08</v>
      </c>
    </row>
    <row r="881" customFormat="false" ht="15" hidden="false" customHeight="false" outlineLevel="0" collapsed="false">
      <c r="A881" s="37" t="n">
        <v>877</v>
      </c>
      <c r="B881" s="38" t="s">
        <v>122</v>
      </c>
      <c r="C881" s="37" t="n">
        <v>1</v>
      </c>
      <c r="D881" s="35" t="str">
        <f aca="false">VLOOKUP(C881, Lookups_Metadata!$A$4:$B$7, 2, FALSE())</f>
        <v>Spring</v>
      </c>
      <c r="E881" s="37" t="n">
        <v>0</v>
      </c>
      <c r="F881" s="37" t="n">
        <v>2</v>
      </c>
      <c r="G881" s="37" t="n">
        <v>23</v>
      </c>
      <c r="H881" s="39" t="b">
        <f aca="false">FALSE()</f>
        <v>0</v>
      </c>
      <c r="I881" s="37" t="n">
        <v>2</v>
      </c>
      <c r="J881" s="35" t="str">
        <f aca="false">INDEX(Lookups_Metadata!$E$4:$E$10, MATCH(I881, Lookups_Metadata!$D$4:$D$10, 0))</f>
        <v>Tuesday</v>
      </c>
      <c r="K881" s="35" t="str">
        <f aca="false">IF(H881=TRUE(), "Holiday", IF(OR(I881=0, I881=6), "Weekend", "Weekday"))</f>
        <v>Weekday</v>
      </c>
      <c r="L881" s="35" t="str">
        <f aca="false">IF(AND(K881="Weekday", OR(AND(G881&gt;=7, G881&lt;=9), AND(G881&gt;=17, G881&lt;=19))), "Peak Commute", "Off-Peak")</f>
        <v>Off-Peak</v>
      </c>
      <c r="M881" s="37" t="n">
        <v>1</v>
      </c>
      <c r="N881" s="35" t="str">
        <f aca="false">VLOOKUP(M881, Lookups_Metadata!$G$4:$H$7, 2, FALSE())</f>
        <v>Clear / Few Clouds</v>
      </c>
      <c r="O881" s="40" t="n">
        <v>0.12</v>
      </c>
      <c r="P881" s="40" t="n">
        <v>0.1061</v>
      </c>
      <c r="Q881" s="40" t="n">
        <f aca="false">IF(OR(P881="", ISBLANK(P881)), ROUND(0.9367*O881+0.0175, 4), P881)</f>
        <v>0.1061</v>
      </c>
      <c r="R881" s="35" t="str">
        <f aca="false">IF(OR(P881="", ISBLANK(P881)), "Imputed (Regression/Trend)", "Original")</f>
        <v>Original</v>
      </c>
      <c r="S881" s="40" t="n">
        <v>0.33</v>
      </c>
      <c r="T881" s="40" t="n">
        <v>0.3284</v>
      </c>
      <c r="U881" s="41" t="n">
        <v>3</v>
      </c>
      <c r="V881" s="41" t="n">
        <v>9</v>
      </c>
      <c r="W881" s="41" t="n">
        <f aca="false">U881+V881</f>
        <v>12</v>
      </c>
      <c r="X881" s="42" t="n">
        <f aca="false">U881/W881</f>
        <v>0.25</v>
      </c>
      <c r="Y881" s="42" t="n">
        <f aca="false">V881/W881</f>
        <v>0.75</v>
      </c>
      <c r="Z881" s="35" t="str">
        <f aca="false">IF(W881&gt;=150, "High Demand", IF(W881&gt;=50, "Moderate Demand", "Low Demand"))</f>
        <v>Low Demand</v>
      </c>
      <c r="AA881" s="39" t="str">
        <f aca="false">TEXT(G881, "00") &amp; ":00"</f>
        <v>23:00</v>
      </c>
      <c r="AB881" s="37" t="n">
        <f aca="false">YEAR(B881)</f>
        <v>2011</v>
      </c>
      <c r="AC881" s="35" t="str">
        <f aca="false">TEXT(B881, "mmmm")</f>
        <v>February</v>
      </c>
      <c r="AD881" s="37" t="n">
        <f aca="false">LEN(TEXT(B881, "YYYY-MM-DD"))</f>
        <v>10</v>
      </c>
      <c r="AE881" s="39" t="str">
        <f aca="false">LEFT(TEXT(B881, "YYYY-MM-DD"), 4)</f>
        <v>2011</v>
      </c>
      <c r="AF881" s="39" t="str">
        <f aca="false">RIGHT(TEXT(B881, "YYYY-MM-DD"), 2)</f>
        <v>08</v>
      </c>
    </row>
    <row r="882" customFormat="false" ht="15" hidden="false" customHeight="false" outlineLevel="0" collapsed="false">
      <c r="A882" s="43" t="n">
        <v>878</v>
      </c>
      <c r="B882" s="44" t="s">
        <v>123</v>
      </c>
      <c r="C882" s="43" t="n">
        <v>1</v>
      </c>
      <c r="D882" s="33" t="str">
        <f aca="false">VLOOKUP(C882, Lookups_Metadata!$A$4:$B$7, 2, FALSE())</f>
        <v>Spring</v>
      </c>
      <c r="E882" s="43" t="n">
        <v>0</v>
      </c>
      <c r="F882" s="43" t="n">
        <v>2</v>
      </c>
      <c r="G882" s="43" t="n">
        <v>0</v>
      </c>
      <c r="H882" s="45" t="b">
        <f aca="false">FALSE()</f>
        <v>0</v>
      </c>
      <c r="I882" s="43" t="n">
        <v>3</v>
      </c>
      <c r="J882" s="33" t="str">
        <f aca="false">INDEX(Lookups_Metadata!$E$4:$E$10, MATCH(I882, Lookups_Metadata!$D$4:$D$10, 0))</f>
        <v>Wednesday</v>
      </c>
      <c r="K882" s="33" t="str">
        <f aca="false">IF(H882=TRUE(), "Holiday", IF(OR(I882=0, I882=6), "Weekend", "Weekday"))</f>
        <v>Weekday</v>
      </c>
      <c r="L882" s="33" t="str">
        <f aca="false">IF(AND(K882="Weekday", OR(AND(G882&gt;=7, G882&lt;=9), AND(G882&gt;=17, G882&lt;=19))), "Peak Commute", "Off-Peak")</f>
        <v>Off-Peak</v>
      </c>
      <c r="M882" s="43" t="n">
        <v>1</v>
      </c>
      <c r="N882" s="33" t="str">
        <f aca="false">VLOOKUP(M882, Lookups_Metadata!$G$4:$H$7, 2, FALSE())</f>
        <v>Clear / Few Clouds</v>
      </c>
      <c r="O882" s="46" t="n">
        <v>0.1</v>
      </c>
      <c r="P882" s="46" t="n">
        <v>0.0758</v>
      </c>
      <c r="Q882" s="46" t="n">
        <f aca="false">IF(OR(P882="", ISBLANK(P882)), ROUND(0.9367*O882+0.0175, 4), P882)</f>
        <v>0.0758</v>
      </c>
      <c r="R882" s="33" t="str">
        <f aca="false">IF(OR(P882="", ISBLANK(P882)), "Imputed (Regression/Trend)", "Original")</f>
        <v>Original</v>
      </c>
      <c r="S882" s="46" t="n">
        <v>0.36</v>
      </c>
      <c r="T882" s="46" t="n">
        <v>0.3582</v>
      </c>
      <c r="U882" s="18" t="n">
        <v>0</v>
      </c>
      <c r="V882" s="18" t="n">
        <v>17</v>
      </c>
      <c r="W882" s="18" t="n">
        <f aca="false">U882+V882</f>
        <v>17</v>
      </c>
      <c r="X882" s="47" t="n">
        <f aca="false">U882/W882</f>
        <v>0</v>
      </c>
      <c r="Y882" s="47" t="n">
        <f aca="false">V882/W882</f>
        <v>1</v>
      </c>
      <c r="Z882" s="33" t="str">
        <f aca="false">IF(W882&gt;=150, "High Demand", IF(W882&gt;=50, "Moderate Demand", "Low Demand"))</f>
        <v>Low Demand</v>
      </c>
      <c r="AA882" s="45" t="str">
        <f aca="false">TEXT(G882, "00") &amp; ":00"</f>
        <v>00:00</v>
      </c>
      <c r="AB882" s="43" t="n">
        <f aca="false">YEAR(B882)</f>
        <v>2011</v>
      </c>
      <c r="AC882" s="33" t="str">
        <f aca="false">TEXT(B882, "mmmm")</f>
        <v>February</v>
      </c>
      <c r="AD882" s="43" t="n">
        <f aca="false">LEN(TEXT(B882, "YYYY-MM-DD"))</f>
        <v>10</v>
      </c>
      <c r="AE882" s="45" t="str">
        <f aca="false">LEFT(TEXT(B882, "YYYY-MM-DD"), 4)</f>
        <v>2011</v>
      </c>
      <c r="AF882" s="45" t="str">
        <f aca="false">RIGHT(TEXT(B882, "YYYY-MM-DD"), 2)</f>
        <v>09</v>
      </c>
    </row>
    <row r="883" customFormat="false" ht="15" hidden="false" customHeight="false" outlineLevel="0" collapsed="false">
      <c r="A883" s="37" t="n">
        <v>879</v>
      </c>
      <c r="B883" s="38" t="s">
        <v>123</v>
      </c>
      <c r="C883" s="37" t="n">
        <v>1</v>
      </c>
      <c r="D883" s="35" t="str">
        <f aca="false">VLOOKUP(C883, Lookups_Metadata!$A$4:$B$7, 2, FALSE())</f>
        <v>Spring</v>
      </c>
      <c r="E883" s="37" t="n">
        <v>0</v>
      </c>
      <c r="F883" s="37" t="n">
        <v>2</v>
      </c>
      <c r="G883" s="37" t="n">
        <v>1</v>
      </c>
      <c r="H883" s="39" t="b">
        <f aca="false">FALSE()</f>
        <v>0</v>
      </c>
      <c r="I883" s="37" t="n">
        <v>3</v>
      </c>
      <c r="J883" s="35" t="str">
        <f aca="false">INDEX(Lookups_Metadata!$E$4:$E$10, MATCH(I883, Lookups_Metadata!$D$4:$D$10, 0))</f>
        <v>Wednesday</v>
      </c>
      <c r="K883" s="35" t="str">
        <f aca="false">IF(H883=TRUE(), "Holiday", IF(OR(I883=0, I883=6), "Weekend", "Weekday"))</f>
        <v>Weekday</v>
      </c>
      <c r="L883" s="35" t="str">
        <f aca="false">IF(AND(K883="Weekday", OR(AND(G883&gt;=7, G883&lt;=9), AND(G883&gt;=17, G883&lt;=19))), "Peak Commute", "Off-Peak")</f>
        <v>Off-Peak</v>
      </c>
      <c r="M883" s="37" t="n">
        <v>1</v>
      </c>
      <c r="N883" s="35" t="str">
        <f aca="false">VLOOKUP(M883, Lookups_Metadata!$G$4:$H$7, 2, FALSE())</f>
        <v>Clear / Few Clouds</v>
      </c>
      <c r="O883" s="40" t="n">
        <v>0.1</v>
      </c>
      <c r="P883" s="40" t="n">
        <v>0.1061</v>
      </c>
      <c r="Q883" s="40" t="n">
        <f aca="false">IF(OR(P883="", ISBLANK(P883)), ROUND(0.9367*O883+0.0175, 4), P883)</f>
        <v>0.1061</v>
      </c>
      <c r="R883" s="35" t="str">
        <f aca="false">IF(OR(P883="", ISBLANK(P883)), "Imputed (Regression/Trend)", "Original")</f>
        <v>Original</v>
      </c>
      <c r="S883" s="40" t="n">
        <v>0.36</v>
      </c>
      <c r="T883" s="40" t="n">
        <v>0.2239</v>
      </c>
      <c r="U883" s="41" t="n">
        <v>0</v>
      </c>
      <c r="V883" s="41" t="n">
        <v>7</v>
      </c>
      <c r="W883" s="41" t="n">
        <f aca="false">U883+V883</f>
        <v>7</v>
      </c>
      <c r="X883" s="42" t="n">
        <f aca="false">U883/W883</f>
        <v>0</v>
      </c>
      <c r="Y883" s="42" t="n">
        <f aca="false">V883/W883</f>
        <v>1</v>
      </c>
      <c r="Z883" s="35" t="str">
        <f aca="false">IF(W883&gt;=150, "High Demand", IF(W883&gt;=50, "Moderate Demand", "Low Demand"))</f>
        <v>Low Demand</v>
      </c>
      <c r="AA883" s="39" t="str">
        <f aca="false">TEXT(G883, "00") &amp; ":00"</f>
        <v>01:00</v>
      </c>
      <c r="AB883" s="37" t="n">
        <f aca="false">YEAR(B883)</f>
        <v>2011</v>
      </c>
      <c r="AC883" s="35" t="str">
        <f aca="false">TEXT(B883, "mmmm")</f>
        <v>February</v>
      </c>
      <c r="AD883" s="37" t="n">
        <f aca="false">LEN(TEXT(B883, "YYYY-MM-DD"))</f>
        <v>10</v>
      </c>
      <c r="AE883" s="39" t="str">
        <f aca="false">LEFT(TEXT(B883, "YYYY-MM-DD"), 4)</f>
        <v>2011</v>
      </c>
      <c r="AF883" s="39" t="str">
        <f aca="false">RIGHT(TEXT(B883, "YYYY-MM-DD"), 2)</f>
        <v>09</v>
      </c>
    </row>
    <row r="884" customFormat="false" ht="15" hidden="false" customHeight="false" outlineLevel="0" collapsed="false">
      <c r="A884" s="43" t="n">
        <v>880</v>
      </c>
      <c r="B884" s="44" t="s">
        <v>123</v>
      </c>
      <c r="C884" s="43" t="n">
        <v>1</v>
      </c>
      <c r="D884" s="33" t="str">
        <f aca="false">VLOOKUP(C884, Lookups_Metadata!$A$4:$B$7, 2, FALSE())</f>
        <v>Spring</v>
      </c>
      <c r="E884" s="43" t="n">
        <v>0</v>
      </c>
      <c r="F884" s="43" t="n">
        <v>2</v>
      </c>
      <c r="G884" s="43" t="n">
        <v>2</v>
      </c>
      <c r="H884" s="45" t="b">
        <f aca="false">FALSE()</f>
        <v>0</v>
      </c>
      <c r="I884" s="43" t="n">
        <v>3</v>
      </c>
      <c r="J884" s="33" t="str">
        <f aca="false">INDEX(Lookups_Metadata!$E$4:$E$10, MATCH(I884, Lookups_Metadata!$D$4:$D$10, 0))</f>
        <v>Wednesday</v>
      </c>
      <c r="K884" s="33" t="str">
        <f aca="false">IF(H884=TRUE(), "Holiday", IF(OR(I884=0, I884=6), "Weekend", "Weekday"))</f>
        <v>Weekday</v>
      </c>
      <c r="L884" s="33" t="str">
        <f aca="false">IF(AND(K884="Weekday", OR(AND(G884&gt;=7, G884&lt;=9), AND(G884&gt;=17, G884&lt;=19))), "Peak Commute", "Off-Peak")</f>
        <v>Off-Peak</v>
      </c>
      <c r="M884" s="43" t="n">
        <v>1</v>
      </c>
      <c r="N884" s="33" t="str">
        <f aca="false">VLOOKUP(M884, Lookups_Metadata!$G$4:$H$7, 2, FALSE())</f>
        <v>Clear / Few Clouds</v>
      </c>
      <c r="O884" s="46" t="n">
        <v>0.08</v>
      </c>
      <c r="P884" s="46" t="n">
        <v>0.0758</v>
      </c>
      <c r="Q884" s="46" t="n">
        <f aca="false">IF(OR(P884="", ISBLANK(P884)), ROUND(0.9367*O884+0.0175, 4), P884)</f>
        <v>0.0758</v>
      </c>
      <c r="R884" s="33" t="str">
        <f aca="false">IF(OR(P884="", ISBLANK(P884)), "Imputed (Regression/Trend)", "Original")</f>
        <v>Original</v>
      </c>
      <c r="S884" s="46" t="n">
        <v>0.38</v>
      </c>
      <c r="T884" s="46" t="n">
        <v>0.2836</v>
      </c>
      <c r="U884" s="18" t="n">
        <v>1</v>
      </c>
      <c r="V884" s="18" t="n">
        <v>2</v>
      </c>
      <c r="W884" s="18" t="n">
        <f aca="false">U884+V884</f>
        <v>3</v>
      </c>
      <c r="X884" s="47" t="n">
        <f aca="false">U884/W884</f>
        <v>0.333333333333333</v>
      </c>
      <c r="Y884" s="47" t="n">
        <f aca="false">V884/W884</f>
        <v>0.666666666666667</v>
      </c>
      <c r="Z884" s="33" t="str">
        <f aca="false">IF(W884&gt;=150, "High Demand", IF(W884&gt;=50, "Moderate Demand", "Low Demand"))</f>
        <v>Low Demand</v>
      </c>
      <c r="AA884" s="45" t="str">
        <f aca="false">TEXT(G884, "00") &amp; ":00"</f>
        <v>02:00</v>
      </c>
      <c r="AB884" s="43" t="n">
        <f aca="false">YEAR(B884)</f>
        <v>2011</v>
      </c>
      <c r="AC884" s="33" t="str">
        <f aca="false">TEXT(B884, "mmmm")</f>
        <v>February</v>
      </c>
      <c r="AD884" s="43" t="n">
        <f aca="false">LEN(TEXT(B884, "YYYY-MM-DD"))</f>
        <v>10</v>
      </c>
      <c r="AE884" s="45" t="str">
        <f aca="false">LEFT(TEXT(B884, "YYYY-MM-DD"), 4)</f>
        <v>2011</v>
      </c>
      <c r="AF884" s="45" t="str">
        <f aca="false">RIGHT(TEXT(B884, "YYYY-MM-DD"), 2)</f>
        <v>09</v>
      </c>
    </row>
    <row r="885" customFormat="false" ht="15" hidden="false" customHeight="false" outlineLevel="0" collapsed="false">
      <c r="A885" s="37" t="n">
        <v>881</v>
      </c>
      <c r="B885" s="38" t="s">
        <v>123</v>
      </c>
      <c r="C885" s="37" t="n">
        <v>1</v>
      </c>
      <c r="D885" s="35" t="str">
        <f aca="false">VLOOKUP(C885, Lookups_Metadata!$A$4:$B$7, 2, FALSE())</f>
        <v>Spring</v>
      </c>
      <c r="E885" s="37" t="n">
        <v>0</v>
      </c>
      <c r="F885" s="37" t="n">
        <v>2</v>
      </c>
      <c r="G885" s="37" t="n">
        <v>3</v>
      </c>
      <c r="H885" s="39" t="b">
        <f aca="false">FALSE()</f>
        <v>0</v>
      </c>
      <c r="I885" s="37" t="n">
        <v>3</v>
      </c>
      <c r="J885" s="35" t="str">
        <f aca="false">INDEX(Lookups_Metadata!$E$4:$E$10, MATCH(I885, Lookups_Metadata!$D$4:$D$10, 0))</f>
        <v>Wednesday</v>
      </c>
      <c r="K885" s="35" t="str">
        <f aca="false">IF(H885=TRUE(), "Holiday", IF(OR(I885=0, I885=6), "Weekend", "Weekday"))</f>
        <v>Weekday</v>
      </c>
      <c r="L885" s="35" t="str">
        <f aca="false">IF(AND(K885="Weekday", OR(AND(G885&gt;=7, G885&lt;=9), AND(G885&gt;=17, G885&lt;=19))), "Peak Commute", "Off-Peak")</f>
        <v>Off-Peak</v>
      </c>
      <c r="M885" s="37" t="n">
        <v>1</v>
      </c>
      <c r="N885" s="35" t="str">
        <f aca="false">VLOOKUP(M885, Lookups_Metadata!$G$4:$H$7, 2, FALSE())</f>
        <v>Clear / Few Clouds</v>
      </c>
      <c r="O885" s="40" t="n">
        <v>0.06</v>
      </c>
      <c r="P885" s="40" t="n">
        <v>0.0758</v>
      </c>
      <c r="Q885" s="40" t="n">
        <f aca="false">IF(OR(P885="", ISBLANK(P885)), ROUND(0.9367*O885+0.0175, 4), P885)</f>
        <v>0.0758</v>
      </c>
      <c r="R885" s="35" t="str">
        <f aca="false">IF(OR(P885="", ISBLANK(P885)), "Imputed (Regression/Trend)", "Original")</f>
        <v>Original</v>
      </c>
      <c r="S885" s="40" t="n">
        <v>0.45</v>
      </c>
      <c r="T885" s="40" t="n">
        <v>0.1343</v>
      </c>
      <c r="U885" s="41" t="n">
        <v>0</v>
      </c>
      <c r="V885" s="41" t="n">
        <v>2</v>
      </c>
      <c r="W885" s="41" t="n">
        <f aca="false">U885+V885</f>
        <v>2</v>
      </c>
      <c r="X885" s="42" t="n">
        <f aca="false">U885/W885</f>
        <v>0</v>
      </c>
      <c r="Y885" s="42" t="n">
        <f aca="false">V885/W885</f>
        <v>1</v>
      </c>
      <c r="Z885" s="35" t="str">
        <f aca="false">IF(W885&gt;=150, "High Demand", IF(W885&gt;=50, "Moderate Demand", "Low Demand"))</f>
        <v>Low Demand</v>
      </c>
      <c r="AA885" s="39" t="str">
        <f aca="false">TEXT(G885, "00") &amp; ":00"</f>
        <v>03:00</v>
      </c>
      <c r="AB885" s="37" t="n">
        <f aca="false">YEAR(B885)</f>
        <v>2011</v>
      </c>
      <c r="AC885" s="35" t="str">
        <f aca="false">TEXT(B885, "mmmm")</f>
        <v>February</v>
      </c>
      <c r="AD885" s="37" t="n">
        <f aca="false">LEN(TEXT(B885, "YYYY-MM-DD"))</f>
        <v>10</v>
      </c>
      <c r="AE885" s="39" t="str">
        <f aca="false">LEFT(TEXT(B885, "YYYY-MM-DD"), 4)</f>
        <v>2011</v>
      </c>
      <c r="AF885" s="39" t="str">
        <f aca="false">RIGHT(TEXT(B885, "YYYY-MM-DD"), 2)</f>
        <v>09</v>
      </c>
    </row>
    <row r="886" customFormat="false" ht="15" hidden="false" customHeight="false" outlineLevel="0" collapsed="false">
      <c r="A886" s="43" t="n">
        <v>882</v>
      </c>
      <c r="B886" s="44" t="s">
        <v>123</v>
      </c>
      <c r="C886" s="43" t="n">
        <v>1</v>
      </c>
      <c r="D886" s="33" t="str">
        <f aca="false">VLOOKUP(C886, Lookups_Metadata!$A$4:$B$7, 2, FALSE())</f>
        <v>Spring</v>
      </c>
      <c r="E886" s="43" t="n">
        <v>0</v>
      </c>
      <c r="F886" s="43" t="n">
        <v>2</v>
      </c>
      <c r="G886" s="43" t="n">
        <v>5</v>
      </c>
      <c r="H886" s="45" t="b">
        <f aca="false">FALSE()</f>
        <v>0</v>
      </c>
      <c r="I886" s="43" t="n">
        <v>3</v>
      </c>
      <c r="J886" s="33" t="str">
        <f aca="false">INDEX(Lookups_Metadata!$E$4:$E$10, MATCH(I886, Lookups_Metadata!$D$4:$D$10, 0))</f>
        <v>Wednesday</v>
      </c>
      <c r="K886" s="33" t="str">
        <f aca="false">IF(H886=TRUE(), "Holiday", IF(OR(I886=0, I886=6), "Weekend", "Weekday"))</f>
        <v>Weekday</v>
      </c>
      <c r="L886" s="33" t="str">
        <f aca="false">IF(AND(K886="Weekday", OR(AND(G886&gt;=7, G886&lt;=9), AND(G886&gt;=17, G886&lt;=19))), "Peak Commute", "Off-Peak")</f>
        <v>Off-Peak</v>
      </c>
      <c r="M886" s="43" t="n">
        <v>1</v>
      </c>
      <c r="N886" s="33" t="str">
        <f aca="false">VLOOKUP(M886, Lookups_Metadata!$G$4:$H$7, 2, FALSE())</f>
        <v>Clear / Few Clouds</v>
      </c>
      <c r="O886" s="46" t="n">
        <v>0.06</v>
      </c>
      <c r="P886" s="46" t="n">
        <v>0.1061</v>
      </c>
      <c r="Q886" s="46" t="n">
        <f aca="false">IF(OR(P886="", ISBLANK(P886)), ROUND(0.9367*O886+0.0175, 4), P886)</f>
        <v>0.1061</v>
      </c>
      <c r="R886" s="33" t="str">
        <f aca="false">IF(OR(P886="", ISBLANK(P886)), "Imputed (Regression/Trend)", "Original")</f>
        <v>Original</v>
      </c>
      <c r="S886" s="46" t="n">
        <v>0.45</v>
      </c>
      <c r="T886" s="46" t="n">
        <v>0.1045</v>
      </c>
      <c r="U886" s="18" t="n">
        <v>0</v>
      </c>
      <c r="V886" s="18" t="n">
        <v>7</v>
      </c>
      <c r="W886" s="18" t="n">
        <f aca="false">U886+V886</f>
        <v>7</v>
      </c>
      <c r="X886" s="47" t="n">
        <f aca="false">U886/W886</f>
        <v>0</v>
      </c>
      <c r="Y886" s="47" t="n">
        <f aca="false">V886/W886</f>
        <v>1</v>
      </c>
      <c r="Z886" s="33" t="str">
        <f aca="false">IF(W886&gt;=150, "High Demand", IF(W886&gt;=50, "Moderate Demand", "Low Demand"))</f>
        <v>Low Demand</v>
      </c>
      <c r="AA886" s="45" t="str">
        <f aca="false">TEXT(G886, "00") &amp; ":00"</f>
        <v>05:00</v>
      </c>
      <c r="AB886" s="43" t="n">
        <f aca="false">YEAR(B886)</f>
        <v>2011</v>
      </c>
      <c r="AC886" s="33" t="str">
        <f aca="false">TEXT(B886, "mmmm")</f>
        <v>February</v>
      </c>
      <c r="AD886" s="43" t="n">
        <f aca="false">LEN(TEXT(B886, "YYYY-MM-DD"))</f>
        <v>10</v>
      </c>
      <c r="AE886" s="45" t="str">
        <f aca="false">LEFT(TEXT(B886, "YYYY-MM-DD"), 4)</f>
        <v>2011</v>
      </c>
      <c r="AF886" s="45" t="str">
        <f aca="false">RIGHT(TEXT(B886, "YYYY-MM-DD"), 2)</f>
        <v>09</v>
      </c>
    </row>
    <row r="887" customFormat="false" ht="15" hidden="false" customHeight="false" outlineLevel="0" collapsed="false">
      <c r="A887" s="37" t="n">
        <v>883</v>
      </c>
      <c r="B887" s="38" t="s">
        <v>123</v>
      </c>
      <c r="C887" s="37" t="n">
        <v>1</v>
      </c>
      <c r="D887" s="35" t="str">
        <f aca="false">VLOOKUP(C887, Lookups_Metadata!$A$4:$B$7, 2, FALSE())</f>
        <v>Spring</v>
      </c>
      <c r="E887" s="37" t="n">
        <v>0</v>
      </c>
      <c r="F887" s="37" t="n">
        <v>2</v>
      </c>
      <c r="G887" s="37" t="n">
        <v>6</v>
      </c>
      <c r="H887" s="39" t="b">
        <f aca="false">FALSE()</f>
        <v>0</v>
      </c>
      <c r="I887" s="37" t="n">
        <v>3</v>
      </c>
      <c r="J887" s="35" t="str">
        <f aca="false">INDEX(Lookups_Metadata!$E$4:$E$10, MATCH(I887, Lookups_Metadata!$D$4:$D$10, 0))</f>
        <v>Wednesday</v>
      </c>
      <c r="K887" s="35" t="str">
        <f aca="false">IF(H887=TRUE(), "Holiday", IF(OR(I887=0, I887=6), "Weekend", "Weekday"))</f>
        <v>Weekday</v>
      </c>
      <c r="L887" s="35" t="str">
        <f aca="false">IF(AND(K887="Weekday", OR(AND(G887&gt;=7, G887&lt;=9), AND(G887&gt;=17, G887&lt;=19))), "Peak Commute", "Off-Peak")</f>
        <v>Off-Peak</v>
      </c>
      <c r="M887" s="37" t="n">
        <v>1</v>
      </c>
      <c r="N887" s="35" t="str">
        <f aca="false">VLOOKUP(M887, Lookups_Metadata!$G$4:$H$7, 2, FALSE())</f>
        <v>Clear / Few Clouds</v>
      </c>
      <c r="O887" s="40" t="n">
        <v>0.06</v>
      </c>
      <c r="P887" s="40" t="n">
        <v>0.1515</v>
      </c>
      <c r="Q887" s="40" t="n">
        <f aca="false">IF(OR(P887="", ISBLANK(P887)), ROUND(0.9367*O887+0.0175, 4), P887)</f>
        <v>0.1515</v>
      </c>
      <c r="R887" s="35" t="str">
        <f aca="false">IF(OR(P887="", ISBLANK(P887)), "Imputed (Regression/Trend)", "Original")</f>
        <v>Original</v>
      </c>
      <c r="S887" s="40" t="n">
        <v>0.45</v>
      </c>
      <c r="T887" s="40" t="n">
        <v>0</v>
      </c>
      <c r="U887" s="41" t="n">
        <v>0</v>
      </c>
      <c r="V887" s="41" t="n">
        <v>43</v>
      </c>
      <c r="W887" s="41" t="n">
        <f aca="false">U887+V887</f>
        <v>43</v>
      </c>
      <c r="X887" s="42" t="n">
        <f aca="false">U887/W887</f>
        <v>0</v>
      </c>
      <c r="Y887" s="42" t="n">
        <f aca="false">V887/W887</f>
        <v>1</v>
      </c>
      <c r="Z887" s="35" t="str">
        <f aca="false">IF(W887&gt;=150, "High Demand", IF(W887&gt;=50, "Moderate Demand", "Low Demand"))</f>
        <v>Low Demand</v>
      </c>
      <c r="AA887" s="39" t="str">
        <f aca="false">TEXT(G887, "00") &amp; ":00"</f>
        <v>06:00</v>
      </c>
      <c r="AB887" s="37" t="n">
        <f aca="false">YEAR(B887)</f>
        <v>2011</v>
      </c>
      <c r="AC887" s="35" t="str">
        <f aca="false">TEXT(B887, "mmmm")</f>
        <v>February</v>
      </c>
      <c r="AD887" s="37" t="n">
        <f aca="false">LEN(TEXT(B887, "YYYY-MM-DD"))</f>
        <v>10</v>
      </c>
      <c r="AE887" s="39" t="str">
        <f aca="false">LEFT(TEXT(B887, "YYYY-MM-DD"), 4)</f>
        <v>2011</v>
      </c>
      <c r="AF887" s="39" t="str">
        <f aca="false">RIGHT(TEXT(B887, "YYYY-MM-DD"), 2)</f>
        <v>09</v>
      </c>
    </row>
    <row r="888" customFormat="false" ht="15" hidden="false" customHeight="false" outlineLevel="0" collapsed="false">
      <c r="A888" s="43" t="n">
        <v>884</v>
      </c>
      <c r="B888" s="44" t="s">
        <v>123</v>
      </c>
      <c r="C888" s="43" t="n">
        <v>1</v>
      </c>
      <c r="D888" s="33" t="str">
        <f aca="false">VLOOKUP(C888, Lookups_Metadata!$A$4:$B$7, 2, FALSE())</f>
        <v>Spring</v>
      </c>
      <c r="E888" s="43" t="n">
        <v>0</v>
      </c>
      <c r="F888" s="43" t="n">
        <v>2</v>
      </c>
      <c r="G888" s="43" t="n">
        <v>7</v>
      </c>
      <c r="H888" s="45" t="b">
        <f aca="false">FALSE()</f>
        <v>0</v>
      </c>
      <c r="I888" s="43" t="n">
        <v>3</v>
      </c>
      <c r="J888" s="33" t="str">
        <f aca="false">INDEX(Lookups_Metadata!$E$4:$E$10, MATCH(I888, Lookups_Metadata!$D$4:$D$10, 0))</f>
        <v>Wednesday</v>
      </c>
      <c r="K888" s="33" t="str">
        <f aca="false">IF(H888=TRUE(), "Holiday", IF(OR(I888=0, I888=6), "Weekend", "Weekday"))</f>
        <v>Weekday</v>
      </c>
      <c r="L888" s="33" t="str">
        <f aca="false">IF(AND(K888="Weekday", OR(AND(G888&gt;=7, G888&lt;=9), AND(G888&gt;=17, G888&lt;=19))), "Peak Commute", "Off-Peak")</f>
        <v>Peak Commute</v>
      </c>
      <c r="M888" s="43" t="n">
        <v>1</v>
      </c>
      <c r="N888" s="33" t="str">
        <f aca="false">VLOOKUP(M888, Lookups_Metadata!$G$4:$H$7, 2, FALSE())</f>
        <v>Clear / Few Clouds</v>
      </c>
      <c r="O888" s="46" t="n">
        <v>0.06</v>
      </c>
      <c r="P888" s="46" t="n">
        <v>0.1061</v>
      </c>
      <c r="Q888" s="46" t="n">
        <f aca="false">IF(OR(P888="", ISBLANK(P888)), ROUND(0.9367*O888+0.0175, 4), P888)</f>
        <v>0.1061</v>
      </c>
      <c r="R888" s="33" t="str">
        <f aca="false">IF(OR(P888="", ISBLANK(P888)), "Imputed (Regression/Trend)", "Original")</f>
        <v>Original</v>
      </c>
      <c r="S888" s="46" t="n">
        <v>0.49</v>
      </c>
      <c r="T888" s="46" t="n">
        <v>0.1045</v>
      </c>
      <c r="U888" s="18" t="n">
        <v>4</v>
      </c>
      <c r="V888" s="18" t="n">
        <v>95</v>
      </c>
      <c r="W888" s="18" t="n">
        <f aca="false">U888+V888</f>
        <v>99</v>
      </c>
      <c r="X888" s="47" t="n">
        <f aca="false">U888/W888</f>
        <v>0.0404040404040404</v>
      </c>
      <c r="Y888" s="47" t="n">
        <f aca="false">V888/W888</f>
        <v>0.95959595959596</v>
      </c>
      <c r="Z888" s="33" t="str">
        <f aca="false">IF(W888&gt;=150, "High Demand", IF(W888&gt;=50, "Moderate Demand", "Low Demand"))</f>
        <v>Moderate Demand</v>
      </c>
      <c r="AA888" s="45" t="str">
        <f aca="false">TEXT(G888, "00") &amp; ":00"</f>
        <v>07:00</v>
      </c>
      <c r="AB888" s="43" t="n">
        <f aca="false">YEAR(B888)</f>
        <v>2011</v>
      </c>
      <c r="AC888" s="33" t="str">
        <f aca="false">TEXT(B888, "mmmm")</f>
        <v>February</v>
      </c>
      <c r="AD888" s="43" t="n">
        <f aca="false">LEN(TEXT(B888, "YYYY-MM-DD"))</f>
        <v>10</v>
      </c>
      <c r="AE888" s="45" t="str">
        <f aca="false">LEFT(TEXT(B888, "YYYY-MM-DD"), 4)</f>
        <v>2011</v>
      </c>
      <c r="AF888" s="45" t="str">
        <f aca="false">RIGHT(TEXT(B888, "YYYY-MM-DD"), 2)</f>
        <v>09</v>
      </c>
    </row>
    <row r="889" customFormat="false" ht="15" hidden="false" customHeight="false" outlineLevel="0" collapsed="false">
      <c r="A889" s="37" t="n">
        <v>885</v>
      </c>
      <c r="B889" s="38" t="s">
        <v>123</v>
      </c>
      <c r="C889" s="37" t="n">
        <v>1</v>
      </c>
      <c r="D889" s="35" t="str">
        <f aca="false">VLOOKUP(C889, Lookups_Metadata!$A$4:$B$7, 2, FALSE())</f>
        <v>Spring</v>
      </c>
      <c r="E889" s="37" t="n">
        <v>0</v>
      </c>
      <c r="F889" s="37" t="n">
        <v>2</v>
      </c>
      <c r="G889" s="37" t="n">
        <v>8</v>
      </c>
      <c r="H889" s="39" t="b">
        <f aca="false">FALSE()</f>
        <v>0</v>
      </c>
      <c r="I889" s="37" t="n">
        <v>3</v>
      </c>
      <c r="J889" s="35" t="str">
        <f aca="false">INDEX(Lookups_Metadata!$E$4:$E$10, MATCH(I889, Lookups_Metadata!$D$4:$D$10, 0))</f>
        <v>Wednesday</v>
      </c>
      <c r="K889" s="35" t="str">
        <f aca="false">IF(H889=TRUE(), "Holiday", IF(OR(I889=0, I889=6), "Weekend", "Weekday"))</f>
        <v>Weekday</v>
      </c>
      <c r="L889" s="35" t="str">
        <f aca="false">IF(AND(K889="Weekday", OR(AND(G889&gt;=7, G889&lt;=9), AND(G889&gt;=17, G889&lt;=19))), "Peak Commute", "Off-Peak")</f>
        <v>Peak Commute</v>
      </c>
      <c r="M889" s="37" t="n">
        <v>1</v>
      </c>
      <c r="N889" s="35" t="str">
        <f aca="false">VLOOKUP(M889, Lookups_Metadata!$G$4:$H$7, 2, FALSE())</f>
        <v>Clear / Few Clouds</v>
      </c>
      <c r="O889" s="40" t="n">
        <v>0.1</v>
      </c>
      <c r="P889" s="40" t="n">
        <v>0.1364</v>
      </c>
      <c r="Q889" s="40" t="n">
        <f aca="false">IF(OR(P889="", ISBLANK(P889)), ROUND(0.9367*O889+0.0175, 4), P889)</f>
        <v>0.1364</v>
      </c>
      <c r="R889" s="35" t="str">
        <f aca="false">IF(OR(P889="", ISBLANK(P889)), "Imputed (Regression/Trend)", "Original")</f>
        <v>Original</v>
      </c>
      <c r="S889" s="40" t="n">
        <v>0.42</v>
      </c>
      <c r="T889" s="40" t="n">
        <v>0</v>
      </c>
      <c r="U889" s="41" t="n">
        <v>1</v>
      </c>
      <c r="V889" s="41" t="n">
        <v>198</v>
      </c>
      <c r="W889" s="41" t="n">
        <f aca="false">U889+V889</f>
        <v>199</v>
      </c>
      <c r="X889" s="42" t="n">
        <f aca="false">U889/W889</f>
        <v>0.0050251256281407</v>
      </c>
      <c r="Y889" s="42" t="n">
        <f aca="false">V889/W889</f>
        <v>0.994974874371859</v>
      </c>
      <c r="Z889" s="35" t="str">
        <f aca="false">IF(W889&gt;=150, "High Demand", IF(W889&gt;=50, "Moderate Demand", "Low Demand"))</f>
        <v>High Demand</v>
      </c>
      <c r="AA889" s="39" t="str">
        <f aca="false">TEXT(G889, "00") &amp; ":00"</f>
        <v>08:00</v>
      </c>
      <c r="AB889" s="37" t="n">
        <f aca="false">YEAR(B889)</f>
        <v>2011</v>
      </c>
      <c r="AC889" s="35" t="str">
        <f aca="false">TEXT(B889, "mmmm")</f>
        <v>February</v>
      </c>
      <c r="AD889" s="37" t="n">
        <f aca="false">LEN(TEXT(B889, "YYYY-MM-DD"))</f>
        <v>10</v>
      </c>
      <c r="AE889" s="39" t="str">
        <f aca="false">LEFT(TEXT(B889, "YYYY-MM-DD"), 4)</f>
        <v>2011</v>
      </c>
      <c r="AF889" s="39" t="str">
        <f aca="false">RIGHT(TEXT(B889, "YYYY-MM-DD"), 2)</f>
        <v>09</v>
      </c>
    </row>
    <row r="890" customFormat="false" ht="15" hidden="false" customHeight="false" outlineLevel="0" collapsed="false">
      <c r="A890" s="43" t="n">
        <v>886</v>
      </c>
      <c r="B890" s="44" t="s">
        <v>123</v>
      </c>
      <c r="C890" s="43" t="n">
        <v>1</v>
      </c>
      <c r="D890" s="33" t="str">
        <f aca="false">VLOOKUP(C890, Lookups_Metadata!$A$4:$B$7, 2, FALSE())</f>
        <v>Spring</v>
      </c>
      <c r="E890" s="43" t="n">
        <v>0</v>
      </c>
      <c r="F890" s="43" t="n">
        <v>2</v>
      </c>
      <c r="G890" s="43" t="n">
        <v>9</v>
      </c>
      <c r="H890" s="45" t="b">
        <f aca="false">FALSE()</f>
        <v>0</v>
      </c>
      <c r="I890" s="43" t="n">
        <v>3</v>
      </c>
      <c r="J890" s="33" t="str">
        <f aca="false">INDEX(Lookups_Metadata!$E$4:$E$10, MATCH(I890, Lookups_Metadata!$D$4:$D$10, 0))</f>
        <v>Wednesday</v>
      </c>
      <c r="K890" s="33" t="str">
        <f aca="false">IF(H890=TRUE(), "Holiday", IF(OR(I890=0, I890=6), "Weekend", "Weekday"))</f>
        <v>Weekday</v>
      </c>
      <c r="L890" s="33" t="str">
        <f aca="false">IF(AND(K890="Weekday", OR(AND(G890&gt;=7, G890&lt;=9), AND(G890&gt;=17, G890&lt;=19))), "Peak Commute", "Off-Peak")</f>
        <v>Peak Commute</v>
      </c>
      <c r="M890" s="43" t="n">
        <v>1</v>
      </c>
      <c r="N890" s="33" t="str">
        <f aca="false">VLOOKUP(M890, Lookups_Metadata!$G$4:$H$7, 2, FALSE())</f>
        <v>Clear / Few Clouds</v>
      </c>
      <c r="O890" s="46" t="n">
        <v>0.12</v>
      </c>
      <c r="P890" s="46" t="n">
        <v>0.1364</v>
      </c>
      <c r="Q890" s="46" t="n">
        <f aca="false">IF(OR(P890="", ISBLANK(P890)), ROUND(0.9367*O890+0.0175, 4), P890)</f>
        <v>0.1364</v>
      </c>
      <c r="R890" s="33" t="str">
        <f aca="false">IF(OR(P890="", ISBLANK(P890)), "Imputed (Regression/Trend)", "Original")</f>
        <v>Original</v>
      </c>
      <c r="S890" s="46" t="n">
        <v>0.39</v>
      </c>
      <c r="T890" s="46" t="n">
        <v>0.1642</v>
      </c>
      <c r="U890" s="18" t="n">
        <v>4</v>
      </c>
      <c r="V890" s="18" t="n">
        <v>119</v>
      </c>
      <c r="W890" s="18" t="n">
        <f aca="false">U890+V890</f>
        <v>123</v>
      </c>
      <c r="X890" s="47" t="n">
        <f aca="false">U890/W890</f>
        <v>0.032520325203252</v>
      </c>
      <c r="Y890" s="47" t="n">
        <f aca="false">V890/W890</f>
        <v>0.967479674796748</v>
      </c>
      <c r="Z890" s="33" t="str">
        <f aca="false">IF(W890&gt;=150, "High Demand", IF(W890&gt;=50, "Moderate Demand", "Low Demand"))</f>
        <v>Moderate Demand</v>
      </c>
      <c r="AA890" s="45" t="str">
        <f aca="false">TEXT(G890, "00") &amp; ":00"</f>
        <v>09:00</v>
      </c>
      <c r="AB890" s="43" t="n">
        <f aca="false">YEAR(B890)</f>
        <v>2011</v>
      </c>
      <c r="AC890" s="33" t="str">
        <f aca="false">TEXT(B890, "mmmm")</f>
        <v>February</v>
      </c>
      <c r="AD890" s="43" t="n">
        <f aca="false">LEN(TEXT(B890, "YYYY-MM-DD"))</f>
        <v>10</v>
      </c>
      <c r="AE890" s="45" t="str">
        <f aca="false">LEFT(TEXT(B890, "YYYY-MM-DD"), 4)</f>
        <v>2011</v>
      </c>
      <c r="AF890" s="45" t="str">
        <f aca="false">RIGHT(TEXT(B890, "YYYY-MM-DD"), 2)</f>
        <v>09</v>
      </c>
    </row>
    <row r="891" customFormat="false" ht="15" hidden="false" customHeight="false" outlineLevel="0" collapsed="false">
      <c r="A891" s="37" t="n">
        <v>887</v>
      </c>
      <c r="B891" s="38" t="s">
        <v>123</v>
      </c>
      <c r="C891" s="37" t="n">
        <v>1</v>
      </c>
      <c r="D891" s="35" t="str">
        <f aca="false">VLOOKUP(C891, Lookups_Metadata!$A$4:$B$7, 2, FALSE())</f>
        <v>Spring</v>
      </c>
      <c r="E891" s="37" t="n">
        <v>0</v>
      </c>
      <c r="F891" s="37" t="n">
        <v>2</v>
      </c>
      <c r="G891" s="37" t="n">
        <v>10</v>
      </c>
      <c r="H891" s="39" t="b">
        <f aca="false">FALSE()</f>
        <v>0</v>
      </c>
      <c r="I891" s="37" t="n">
        <v>3</v>
      </c>
      <c r="J891" s="35" t="str">
        <f aca="false">INDEX(Lookups_Metadata!$E$4:$E$10, MATCH(I891, Lookups_Metadata!$D$4:$D$10, 0))</f>
        <v>Wednesday</v>
      </c>
      <c r="K891" s="35" t="str">
        <f aca="false">IF(H891=TRUE(), "Holiday", IF(OR(I891=0, I891=6), "Weekend", "Weekday"))</f>
        <v>Weekday</v>
      </c>
      <c r="L891" s="35" t="str">
        <f aca="false">IF(AND(K891="Weekday", OR(AND(G891&gt;=7, G891&lt;=9), AND(G891&gt;=17, G891&lt;=19))), "Peak Commute", "Off-Peak")</f>
        <v>Off-Peak</v>
      </c>
      <c r="M891" s="37" t="n">
        <v>1</v>
      </c>
      <c r="N891" s="35" t="str">
        <f aca="false">VLOOKUP(M891, Lookups_Metadata!$G$4:$H$7, 2, FALSE())</f>
        <v>Clear / Few Clouds</v>
      </c>
      <c r="O891" s="40" t="n">
        <v>0.14</v>
      </c>
      <c r="P891" s="40" t="n">
        <v>0.1818</v>
      </c>
      <c r="Q891" s="40" t="n">
        <f aca="false">IF(OR(P891="", ISBLANK(P891)), ROUND(0.9367*O891+0.0175, 4), P891)</f>
        <v>0.1818</v>
      </c>
      <c r="R891" s="35" t="str">
        <f aca="false">IF(OR(P891="", ISBLANK(P891)), "Imputed (Regression/Trend)", "Original")</f>
        <v>Original</v>
      </c>
      <c r="S891" s="40" t="n">
        <v>0.36</v>
      </c>
      <c r="T891" s="40" t="n">
        <v>0</v>
      </c>
      <c r="U891" s="41" t="n">
        <v>8</v>
      </c>
      <c r="V891" s="41" t="n">
        <v>51</v>
      </c>
      <c r="W891" s="41" t="n">
        <f aca="false">U891+V891</f>
        <v>59</v>
      </c>
      <c r="X891" s="42" t="n">
        <f aca="false">U891/W891</f>
        <v>0.135593220338983</v>
      </c>
      <c r="Y891" s="42" t="n">
        <f aca="false">V891/W891</f>
        <v>0.864406779661017</v>
      </c>
      <c r="Z891" s="35" t="str">
        <f aca="false">IF(W891&gt;=150, "High Demand", IF(W891&gt;=50, "Moderate Demand", "Low Demand"))</f>
        <v>Moderate Demand</v>
      </c>
      <c r="AA891" s="39" t="str">
        <f aca="false">TEXT(G891, "00") &amp; ":00"</f>
        <v>10:00</v>
      </c>
      <c r="AB891" s="37" t="n">
        <f aca="false">YEAR(B891)</f>
        <v>2011</v>
      </c>
      <c r="AC891" s="35" t="str">
        <f aca="false">TEXT(B891, "mmmm")</f>
        <v>February</v>
      </c>
      <c r="AD891" s="37" t="n">
        <f aca="false">LEN(TEXT(B891, "YYYY-MM-DD"))</f>
        <v>10</v>
      </c>
      <c r="AE891" s="39" t="str">
        <f aca="false">LEFT(TEXT(B891, "YYYY-MM-DD"), 4)</f>
        <v>2011</v>
      </c>
      <c r="AF891" s="39" t="str">
        <f aca="false">RIGHT(TEXT(B891, "YYYY-MM-DD"), 2)</f>
        <v>09</v>
      </c>
    </row>
    <row r="892" customFormat="false" ht="15" hidden="false" customHeight="false" outlineLevel="0" collapsed="false">
      <c r="A892" s="43" t="n">
        <v>888</v>
      </c>
      <c r="B892" s="44" t="s">
        <v>123</v>
      </c>
      <c r="C892" s="43" t="n">
        <v>1</v>
      </c>
      <c r="D892" s="33" t="str">
        <f aca="false">VLOOKUP(C892, Lookups_Metadata!$A$4:$B$7, 2, FALSE())</f>
        <v>Spring</v>
      </c>
      <c r="E892" s="43" t="n">
        <v>0</v>
      </c>
      <c r="F892" s="43" t="n">
        <v>2</v>
      </c>
      <c r="G892" s="43" t="n">
        <v>11</v>
      </c>
      <c r="H892" s="45" t="b">
        <f aca="false">FALSE()</f>
        <v>0</v>
      </c>
      <c r="I892" s="43" t="n">
        <v>3</v>
      </c>
      <c r="J892" s="33" t="str">
        <f aca="false">INDEX(Lookups_Metadata!$E$4:$E$10, MATCH(I892, Lookups_Metadata!$D$4:$D$10, 0))</f>
        <v>Wednesday</v>
      </c>
      <c r="K892" s="33" t="str">
        <f aca="false">IF(H892=TRUE(), "Holiday", IF(OR(I892=0, I892=6), "Weekend", "Weekday"))</f>
        <v>Weekday</v>
      </c>
      <c r="L892" s="33" t="str">
        <f aca="false">IF(AND(K892="Weekday", OR(AND(G892&gt;=7, G892&lt;=9), AND(G892&gt;=17, G892&lt;=19))), "Peak Commute", "Off-Peak")</f>
        <v>Off-Peak</v>
      </c>
      <c r="M892" s="43" t="n">
        <v>2</v>
      </c>
      <c r="N892" s="33" t="str">
        <f aca="false">VLOOKUP(M892, Lookups_Metadata!$G$4:$H$7, 2, FALSE())</f>
        <v>Mist / Cloudy</v>
      </c>
      <c r="O892" s="46" t="n">
        <v>0.14</v>
      </c>
      <c r="P892" s="46" t="n">
        <v>0.1515</v>
      </c>
      <c r="Q892" s="46" t="n">
        <f aca="false">IF(OR(P892="", ISBLANK(P892)), ROUND(0.9367*O892+0.0175, 4), P892)</f>
        <v>0.1515</v>
      </c>
      <c r="R892" s="33" t="str">
        <f aca="false">IF(OR(P892="", ISBLANK(P892)), "Imputed (Regression/Trend)", "Original")</f>
        <v>Original</v>
      </c>
      <c r="S892" s="46" t="n">
        <v>0.43</v>
      </c>
      <c r="T892" s="46" t="n">
        <v>0.1642</v>
      </c>
      <c r="U892" s="18" t="n">
        <v>1</v>
      </c>
      <c r="V892" s="18" t="n">
        <v>40</v>
      </c>
      <c r="W892" s="18" t="n">
        <f aca="false">U892+V892</f>
        <v>41</v>
      </c>
      <c r="X892" s="47" t="n">
        <f aca="false">U892/W892</f>
        <v>0.024390243902439</v>
      </c>
      <c r="Y892" s="47" t="n">
        <f aca="false">V892/W892</f>
        <v>0.975609756097561</v>
      </c>
      <c r="Z892" s="33" t="str">
        <f aca="false">IF(W892&gt;=150, "High Demand", IF(W892&gt;=50, "Moderate Demand", "Low Demand"))</f>
        <v>Low Demand</v>
      </c>
      <c r="AA892" s="45" t="str">
        <f aca="false">TEXT(G892, "00") &amp; ":00"</f>
        <v>11:00</v>
      </c>
      <c r="AB892" s="43" t="n">
        <f aca="false">YEAR(B892)</f>
        <v>2011</v>
      </c>
      <c r="AC892" s="33" t="str">
        <f aca="false">TEXT(B892, "mmmm")</f>
        <v>February</v>
      </c>
      <c r="AD892" s="43" t="n">
        <f aca="false">LEN(TEXT(B892, "YYYY-MM-DD"))</f>
        <v>10</v>
      </c>
      <c r="AE892" s="45" t="str">
        <f aca="false">LEFT(TEXT(B892, "YYYY-MM-DD"), 4)</f>
        <v>2011</v>
      </c>
      <c r="AF892" s="45" t="str">
        <f aca="false">RIGHT(TEXT(B892, "YYYY-MM-DD"), 2)</f>
        <v>09</v>
      </c>
    </row>
    <row r="893" customFormat="false" ht="15" hidden="false" customHeight="false" outlineLevel="0" collapsed="false">
      <c r="A893" s="37" t="n">
        <v>889</v>
      </c>
      <c r="B893" s="38" t="s">
        <v>123</v>
      </c>
      <c r="C893" s="37" t="n">
        <v>1</v>
      </c>
      <c r="D893" s="35" t="str">
        <f aca="false">VLOOKUP(C893, Lookups_Metadata!$A$4:$B$7, 2, FALSE())</f>
        <v>Spring</v>
      </c>
      <c r="E893" s="37" t="n">
        <v>0</v>
      </c>
      <c r="F893" s="37" t="n">
        <v>2</v>
      </c>
      <c r="G893" s="37" t="n">
        <v>12</v>
      </c>
      <c r="H893" s="39" t="b">
        <f aca="false">FALSE()</f>
        <v>0</v>
      </c>
      <c r="I893" s="37" t="n">
        <v>3</v>
      </c>
      <c r="J893" s="35" t="str">
        <f aca="false">INDEX(Lookups_Metadata!$E$4:$E$10, MATCH(I893, Lookups_Metadata!$D$4:$D$10, 0))</f>
        <v>Wednesday</v>
      </c>
      <c r="K893" s="35" t="str">
        <f aca="false">IF(H893=TRUE(), "Holiday", IF(OR(I893=0, I893=6), "Weekend", "Weekday"))</f>
        <v>Weekday</v>
      </c>
      <c r="L893" s="35" t="str">
        <f aca="false">IF(AND(K893="Weekday", OR(AND(G893&gt;=7, G893&lt;=9), AND(G893&gt;=17, G893&lt;=19))), "Peak Commute", "Off-Peak")</f>
        <v>Off-Peak</v>
      </c>
      <c r="M893" s="37" t="n">
        <v>2</v>
      </c>
      <c r="N893" s="35" t="str">
        <f aca="false">VLOOKUP(M893, Lookups_Metadata!$G$4:$H$7, 2, FALSE())</f>
        <v>Mist / Cloudy</v>
      </c>
      <c r="O893" s="40" t="n">
        <v>0.18</v>
      </c>
      <c r="P893" s="40" t="n">
        <v>0.1818</v>
      </c>
      <c r="Q893" s="40" t="n">
        <f aca="false">IF(OR(P893="", ISBLANK(P893)), ROUND(0.9367*O893+0.0175, 4), P893)</f>
        <v>0.1818</v>
      </c>
      <c r="R893" s="35" t="str">
        <f aca="false">IF(OR(P893="", ISBLANK(P893)), "Imputed (Regression/Trend)", "Original")</f>
        <v>Original</v>
      </c>
      <c r="S893" s="40" t="n">
        <v>0.4</v>
      </c>
      <c r="T893" s="40" t="n">
        <v>0.2239</v>
      </c>
      <c r="U893" s="41" t="n">
        <v>4</v>
      </c>
      <c r="V893" s="41" t="n">
        <v>57</v>
      </c>
      <c r="W893" s="41" t="n">
        <f aca="false">U893+V893</f>
        <v>61</v>
      </c>
      <c r="X893" s="42" t="n">
        <f aca="false">U893/W893</f>
        <v>0.0655737704918033</v>
      </c>
      <c r="Y893" s="42" t="n">
        <f aca="false">V893/W893</f>
        <v>0.934426229508197</v>
      </c>
      <c r="Z893" s="35" t="str">
        <f aca="false">IF(W893&gt;=150, "High Demand", IF(W893&gt;=50, "Moderate Demand", "Low Demand"))</f>
        <v>Moderate Demand</v>
      </c>
      <c r="AA893" s="39" t="str">
        <f aca="false">TEXT(G893, "00") &amp; ":00"</f>
        <v>12:00</v>
      </c>
      <c r="AB893" s="37" t="n">
        <f aca="false">YEAR(B893)</f>
        <v>2011</v>
      </c>
      <c r="AC893" s="35" t="str">
        <f aca="false">TEXT(B893, "mmmm")</f>
        <v>February</v>
      </c>
      <c r="AD893" s="37" t="n">
        <f aca="false">LEN(TEXT(B893, "YYYY-MM-DD"))</f>
        <v>10</v>
      </c>
      <c r="AE893" s="39" t="str">
        <f aca="false">LEFT(TEXT(B893, "YYYY-MM-DD"), 4)</f>
        <v>2011</v>
      </c>
      <c r="AF893" s="39" t="str">
        <f aca="false">RIGHT(TEXT(B893, "YYYY-MM-DD"), 2)</f>
        <v>09</v>
      </c>
    </row>
    <row r="894" customFormat="false" ht="15" hidden="false" customHeight="false" outlineLevel="0" collapsed="false">
      <c r="A894" s="43" t="n">
        <v>890</v>
      </c>
      <c r="B894" s="44" t="s">
        <v>123</v>
      </c>
      <c r="C894" s="43" t="n">
        <v>1</v>
      </c>
      <c r="D894" s="33" t="str">
        <f aca="false">VLOOKUP(C894, Lookups_Metadata!$A$4:$B$7, 2, FALSE())</f>
        <v>Spring</v>
      </c>
      <c r="E894" s="43" t="n">
        <v>0</v>
      </c>
      <c r="F894" s="43" t="n">
        <v>2</v>
      </c>
      <c r="G894" s="43" t="n">
        <v>13</v>
      </c>
      <c r="H894" s="45" t="b">
        <f aca="false">FALSE()</f>
        <v>0</v>
      </c>
      <c r="I894" s="43" t="n">
        <v>3</v>
      </c>
      <c r="J894" s="33" t="str">
        <f aca="false">INDEX(Lookups_Metadata!$E$4:$E$10, MATCH(I894, Lookups_Metadata!$D$4:$D$10, 0))</f>
        <v>Wednesday</v>
      </c>
      <c r="K894" s="33" t="str">
        <f aca="false">IF(H894=TRUE(), "Holiday", IF(OR(I894=0, I894=6), "Weekend", "Weekday"))</f>
        <v>Weekday</v>
      </c>
      <c r="L894" s="33" t="str">
        <f aca="false">IF(AND(K894="Weekday", OR(AND(G894&gt;=7, G894&lt;=9), AND(G894&gt;=17, G894&lt;=19))), "Peak Commute", "Off-Peak")</f>
        <v>Off-Peak</v>
      </c>
      <c r="M894" s="43" t="n">
        <v>1</v>
      </c>
      <c r="N894" s="33" t="str">
        <f aca="false">VLOOKUP(M894, Lookups_Metadata!$G$4:$H$7, 2, FALSE())</f>
        <v>Clear / Few Clouds</v>
      </c>
      <c r="O894" s="46" t="n">
        <v>0.18</v>
      </c>
      <c r="P894" s="46" t="n">
        <v>0.1667</v>
      </c>
      <c r="Q894" s="46" t="n">
        <f aca="false">IF(OR(P894="", ISBLANK(P894)), ROUND(0.9367*O894+0.0175, 4), P894)</f>
        <v>0.1667</v>
      </c>
      <c r="R894" s="33" t="str">
        <f aca="false">IF(OR(P894="", ISBLANK(P894)), "Imputed (Regression/Trend)", "Original")</f>
        <v>Original</v>
      </c>
      <c r="S894" s="46" t="n">
        <v>0.4</v>
      </c>
      <c r="T894" s="46" t="n">
        <v>0.2537</v>
      </c>
      <c r="U894" s="18" t="n">
        <v>2</v>
      </c>
      <c r="V894" s="18" t="n">
        <v>67</v>
      </c>
      <c r="W894" s="18" t="n">
        <f aca="false">U894+V894</f>
        <v>69</v>
      </c>
      <c r="X894" s="47" t="n">
        <f aca="false">U894/W894</f>
        <v>0.0289855072463768</v>
      </c>
      <c r="Y894" s="47" t="n">
        <f aca="false">V894/W894</f>
        <v>0.971014492753623</v>
      </c>
      <c r="Z894" s="33" t="str">
        <f aca="false">IF(W894&gt;=150, "High Demand", IF(W894&gt;=50, "Moderate Demand", "Low Demand"))</f>
        <v>Moderate Demand</v>
      </c>
      <c r="AA894" s="45" t="str">
        <f aca="false">TEXT(G894, "00") &amp; ":00"</f>
        <v>13:00</v>
      </c>
      <c r="AB894" s="43" t="n">
        <f aca="false">YEAR(B894)</f>
        <v>2011</v>
      </c>
      <c r="AC894" s="33" t="str">
        <f aca="false">TEXT(B894, "mmmm")</f>
        <v>February</v>
      </c>
      <c r="AD894" s="43" t="n">
        <f aca="false">LEN(TEXT(B894, "YYYY-MM-DD"))</f>
        <v>10</v>
      </c>
      <c r="AE894" s="45" t="str">
        <f aca="false">LEFT(TEXT(B894, "YYYY-MM-DD"), 4)</f>
        <v>2011</v>
      </c>
      <c r="AF894" s="45" t="str">
        <f aca="false">RIGHT(TEXT(B894, "YYYY-MM-DD"), 2)</f>
        <v>09</v>
      </c>
    </row>
    <row r="895" customFormat="false" ht="15" hidden="false" customHeight="false" outlineLevel="0" collapsed="false">
      <c r="A895" s="37" t="n">
        <v>891</v>
      </c>
      <c r="B895" s="38" t="s">
        <v>123</v>
      </c>
      <c r="C895" s="37" t="n">
        <v>1</v>
      </c>
      <c r="D895" s="35" t="str">
        <f aca="false">VLOOKUP(C895, Lookups_Metadata!$A$4:$B$7, 2, FALSE())</f>
        <v>Spring</v>
      </c>
      <c r="E895" s="37" t="n">
        <v>0</v>
      </c>
      <c r="F895" s="37" t="n">
        <v>2</v>
      </c>
      <c r="G895" s="37" t="n">
        <v>14</v>
      </c>
      <c r="H895" s="39" t="b">
        <f aca="false">FALSE()</f>
        <v>0</v>
      </c>
      <c r="I895" s="37" t="n">
        <v>3</v>
      </c>
      <c r="J895" s="35" t="str">
        <f aca="false">INDEX(Lookups_Metadata!$E$4:$E$10, MATCH(I895, Lookups_Metadata!$D$4:$D$10, 0))</f>
        <v>Wednesday</v>
      </c>
      <c r="K895" s="35" t="str">
        <f aca="false">IF(H895=TRUE(), "Holiday", IF(OR(I895=0, I895=6), "Weekend", "Weekday"))</f>
        <v>Weekday</v>
      </c>
      <c r="L895" s="35" t="str">
        <f aca="false">IF(AND(K895="Weekday", OR(AND(G895&gt;=7, G895&lt;=9), AND(G895&gt;=17, G895&lt;=19))), "Peak Commute", "Off-Peak")</f>
        <v>Off-Peak</v>
      </c>
      <c r="M895" s="37" t="n">
        <v>1</v>
      </c>
      <c r="N895" s="35" t="str">
        <f aca="false">VLOOKUP(M895, Lookups_Metadata!$G$4:$H$7, 2, FALSE())</f>
        <v>Clear / Few Clouds</v>
      </c>
      <c r="O895" s="40" t="n">
        <v>0.2</v>
      </c>
      <c r="P895" s="40" t="n">
        <v>0.1818</v>
      </c>
      <c r="Q895" s="40" t="n">
        <f aca="false">IF(OR(P895="", ISBLANK(P895)), ROUND(0.9367*O895+0.0175, 4), P895)</f>
        <v>0.1818</v>
      </c>
      <c r="R895" s="35" t="str">
        <f aca="false">IF(OR(P895="", ISBLANK(P895)), "Imputed (Regression/Trend)", "Original")</f>
        <v>Original</v>
      </c>
      <c r="S895" s="40" t="n">
        <v>0.34</v>
      </c>
      <c r="T895" s="40" t="n">
        <v>0.2985</v>
      </c>
      <c r="U895" s="41" t="n">
        <v>2</v>
      </c>
      <c r="V895" s="41" t="n">
        <v>56</v>
      </c>
      <c r="W895" s="41" t="n">
        <f aca="false">U895+V895</f>
        <v>58</v>
      </c>
      <c r="X895" s="42" t="n">
        <f aca="false">U895/W895</f>
        <v>0.0344827586206897</v>
      </c>
      <c r="Y895" s="42" t="n">
        <f aca="false">V895/W895</f>
        <v>0.96551724137931</v>
      </c>
      <c r="Z895" s="35" t="str">
        <f aca="false">IF(W895&gt;=150, "High Demand", IF(W895&gt;=50, "Moderate Demand", "Low Demand"))</f>
        <v>Moderate Demand</v>
      </c>
      <c r="AA895" s="39" t="str">
        <f aca="false">TEXT(G895, "00") &amp; ":00"</f>
        <v>14:00</v>
      </c>
      <c r="AB895" s="37" t="n">
        <f aca="false">YEAR(B895)</f>
        <v>2011</v>
      </c>
      <c r="AC895" s="35" t="str">
        <f aca="false">TEXT(B895, "mmmm")</f>
        <v>February</v>
      </c>
      <c r="AD895" s="37" t="n">
        <f aca="false">LEN(TEXT(B895, "YYYY-MM-DD"))</f>
        <v>10</v>
      </c>
      <c r="AE895" s="39" t="str">
        <f aca="false">LEFT(TEXT(B895, "YYYY-MM-DD"), 4)</f>
        <v>2011</v>
      </c>
      <c r="AF895" s="39" t="str">
        <f aca="false">RIGHT(TEXT(B895, "YYYY-MM-DD"), 2)</f>
        <v>09</v>
      </c>
    </row>
    <row r="896" customFormat="false" ht="15" hidden="false" customHeight="false" outlineLevel="0" collapsed="false">
      <c r="A896" s="43" t="n">
        <v>892</v>
      </c>
      <c r="B896" s="44" t="s">
        <v>123</v>
      </c>
      <c r="C896" s="43" t="n">
        <v>1</v>
      </c>
      <c r="D896" s="33" t="str">
        <f aca="false">VLOOKUP(C896, Lookups_Metadata!$A$4:$B$7, 2, FALSE())</f>
        <v>Spring</v>
      </c>
      <c r="E896" s="43" t="n">
        <v>0</v>
      </c>
      <c r="F896" s="43" t="n">
        <v>2</v>
      </c>
      <c r="G896" s="43" t="n">
        <v>15</v>
      </c>
      <c r="H896" s="45" t="b">
        <f aca="false">FALSE()</f>
        <v>0</v>
      </c>
      <c r="I896" s="43" t="n">
        <v>3</v>
      </c>
      <c r="J896" s="33" t="str">
        <f aca="false">INDEX(Lookups_Metadata!$E$4:$E$10, MATCH(I896, Lookups_Metadata!$D$4:$D$10, 0))</f>
        <v>Wednesday</v>
      </c>
      <c r="K896" s="33" t="str">
        <f aca="false">IF(H896=TRUE(), "Holiday", IF(OR(I896=0, I896=6), "Weekend", "Weekday"))</f>
        <v>Weekday</v>
      </c>
      <c r="L896" s="33" t="str">
        <f aca="false">IF(AND(K896="Weekday", OR(AND(G896&gt;=7, G896&lt;=9), AND(G896&gt;=17, G896&lt;=19))), "Peak Commute", "Off-Peak")</f>
        <v>Off-Peak</v>
      </c>
      <c r="M896" s="43" t="n">
        <v>2</v>
      </c>
      <c r="N896" s="33" t="str">
        <f aca="false">VLOOKUP(M896, Lookups_Metadata!$G$4:$H$7, 2, FALSE())</f>
        <v>Mist / Cloudy</v>
      </c>
      <c r="O896" s="46" t="n">
        <v>0.2</v>
      </c>
      <c r="P896" s="46" t="n">
        <v>0.1818</v>
      </c>
      <c r="Q896" s="46" t="n">
        <f aca="false">IF(OR(P896="", ISBLANK(P896)), ROUND(0.9367*O896+0.0175, 4), P896)</f>
        <v>0.1818</v>
      </c>
      <c r="R896" s="33" t="str">
        <f aca="false">IF(OR(P896="", ISBLANK(P896)), "Imputed (Regression/Trend)", "Original")</f>
        <v>Original</v>
      </c>
      <c r="S896" s="46" t="n">
        <v>0.34</v>
      </c>
      <c r="T896" s="46" t="n">
        <v>0.2836</v>
      </c>
      <c r="U896" s="18" t="n">
        <v>3</v>
      </c>
      <c r="V896" s="18" t="n">
        <v>61</v>
      </c>
      <c r="W896" s="18" t="n">
        <f aca="false">U896+V896</f>
        <v>64</v>
      </c>
      <c r="X896" s="47" t="n">
        <f aca="false">U896/W896</f>
        <v>0.046875</v>
      </c>
      <c r="Y896" s="47" t="n">
        <f aca="false">V896/W896</f>
        <v>0.953125</v>
      </c>
      <c r="Z896" s="33" t="str">
        <f aca="false">IF(W896&gt;=150, "High Demand", IF(W896&gt;=50, "Moderate Demand", "Low Demand"))</f>
        <v>Moderate Demand</v>
      </c>
      <c r="AA896" s="45" t="str">
        <f aca="false">TEXT(G896, "00") &amp; ":00"</f>
        <v>15:00</v>
      </c>
      <c r="AB896" s="43" t="n">
        <f aca="false">YEAR(B896)</f>
        <v>2011</v>
      </c>
      <c r="AC896" s="33" t="str">
        <f aca="false">TEXT(B896, "mmmm")</f>
        <v>February</v>
      </c>
      <c r="AD896" s="43" t="n">
        <f aca="false">LEN(TEXT(B896, "YYYY-MM-DD"))</f>
        <v>10</v>
      </c>
      <c r="AE896" s="45" t="str">
        <f aca="false">LEFT(TEXT(B896, "YYYY-MM-DD"), 4)</f>
        <v>2011</v>
      </c>
      <c r="AF896" s="45" t="str">
        <f aca="false">RIGHT(TEXT(B896, "YYYY-MM-DD"), 2)</f>
        <v>09</v>
      </c>
    </row>
    <row r="897" customFormat="false" ht="15" hidden="false" customHeight="false" outlineLevel="0" collapsed="false">
      <c r="A897" s="37" t="n">
        <v>893</v>
      </c>
      <c r="B897" s="38" t="s">
        <v>123</v>
      </c>
      <c r="C897" s="37" t="n">
        <v>1</v>
      </c>
      <c r="D897" s="35" t="str">
        <f aca="false">VLOOKUP(C897, Lookups_Metadata!$A$4:$B$7, 2, FALSE())</f>
        <v>Spring</v>
      </c>
      <c r="E897" s="37" t="n">
        <v>0</v>
      </c>
      <c r="F897" s="37" t="n">
        <v>2</v>
      </c>
      <c r="G897" s="37" t="n">
        <v>16</v>
      </c>
      <c r="H897" s="39" t="b">
        <f aca="false">FALSE()</f>
        <v>0</v>
      </c>
      <c r="I897" s="37" t="n">
        <v>3</v>
      </c>
      <c r="J897" s="35" t="str">
        <f aca="false">INDEX(Lookups_Metadata!$E$4:$E$10, MATCH(I897, Lookups_Metadata!$D$4:$D$10, 0))</f>
        <v>Wednesday</v>
      </c>
      <c r="K897" s="35" t="str">
        <f aca="false">IF(H897=TRUE(), "Holiday", IF(OR(I897=0, I897=6), "Weekend", "Weekday"))</f>
        <v>Weekday</v>
      </c>
      <c r="L897" s="35" t="str">
        <f aca="false">IF(AND(K897="Weekday", OR(AND(G897&gt;=7, G897&lt;=9), AND(G897&gt;=17, G897&lt;=19))), "Peak Commute", "Off-Peak")</f>
        <v>Off-Peak</v>
      </c>
      <c r="M897" s="37" t="n">
        <v>2</v>
      </c>
      <c r="N897" s="35" t="str">
        <f aca="false">VLOOKUP(M897, Lookups_Metadata!$G$4:$H$7, 2, FALSE())</f>
        <v>Mist / Cloudy</v>
      </c>
      <c r="O897" s="40" t="n">
        <v>0.2</v>
      </c>
      <c r="P897" s="40" t="n">
        <v>0.197</v>
      </c>
      <c r="Q897" s="40" t="n">
        <f aca="false">IF(OR(P897="", ISBLANK(P897)), ROUND(0.9367*O897+0.0175, 4), P897)</f>
        <v>0.197</v>
      </c>
      <c r="R897" s="35" t="str">
        <f aca="false">IF(OR(P897="", ISBLANK(P897)), "Imputed (Regression/Trend)", "Original")</f>
        <v>Original</v>
      </c>
      <c r="S897" s="40" t="n">
        <v>0.37</v>
      </c>
      <c r="T897" s="40" t="n">
        <v>0.2537</v>
      </c>
      <c r="U897" s="41" t="n">
        <v>7</v>
      </c>
      <c r="V897" s="41" t="n">
        <v>72</v>
      </c>
      <c r="W897" s="41" t="n">
        <f aca="false">U897+V897</f>
        <v>79</v>
      </c>
      <c r="X897" s="42" t="n">
        <f aca="false">U897/W897</f>
        <v>0.0886075949367089</v>
      </c>
      <c r="Y897" s="42" t="n">
        <f aca="false">V897/W897</f>
        <v>0.911392405063291</v>
      </c>
      <c r="Z897" s="35" t="str">
        <f aca="false">IF(W897&gt;=150, "High Demand", IF(W897&gt;=50, "Moderate Demand", "Low Demand"))</f>
        <v>Moderate Demand</v>
      </c>
      <c r="AA897" s="39" t="str">
        <f aca="false">TEXT(G897, "00") &amp; ":00"</f>
        <v>16:00</v>
      </c>
      <c r="AB897" s="37" t="n">
        <f aca="false">YEAR(B897)</f>
        <v>2011</v>
      </c>
      <c r="AC897" s="35" t="str">
        <f aca="false">TEXT(B897, "mmmm")</f>
        <v>February</v>
      </c>
      <c r="AD897" s="37" t="n">
        <f aca="false">LEN(TEXT(B897, "YYYY-MM-DD"))</f>
        <v>10</v>
      </c>
      <c r="AE897" s="39" t="str">
        <f aca="false">LEFT(TEXT(B897, "YYYY-MM-DD"), 4)</f>
        <v>2011</v>
      </c>
      <c r="AF897" s="39" t="str">
        <f aca="false">RIGHT(TEXT(B897, "YYYY-MM-DD"), 2)</f>
        <v>09</v>
      </c>
    </row>
    <row r="898" customFormat="false" ht="15" hidden="false" customHeight="false" outlineLevel="0" collapsed="false">
      <c r="A898" s="43" t="n">
        <v>894</v>
      </c>
      <c r="B898" s="44" t="s">
        <v>123</v>
      </c>
      <c r="C898" s="43" t="n">
        <v>1</v>
      </c>
      <c r="D898" s="33" t="str">
        <f aca="false">VLOOKUP(C898, Lookups_Metadata!$A$4:$B$7, 2, FALSE())</f>
        <v>Spring</v>
      </c>
      <c r="E898" s="43" t="n">
        <v>0</v>
      </c>
      <c r="F898" s="43" t="n">
        <v>2</v>
      </c>
      <c r="G898" s="43" t="n">
        <v>17</v>
      </c>
      <c r="H898" s="45" t="b">
        <f aca="false">FALSE()</f>
        <v>0</v>
      </c>
      <c r="I898" s="43" t="n">
        <v>3</v>
      </c>
      <c r="J898" s="33" t="str">
        <f aca="false">INDEX(Lookups_Metadata!$E$4:$E$10, MATCH(I898, Lookups_Metadata!$D$4:$D$10, 0))</f>
        <v>Wednesday</v>
      </c>
      <c r="K898" s="33" t="str">
        <f aca="false">IF(H898=TRUE(), "Holiday", IF(OR(I898=0, I898=6), "Weekend", "Weekday"))</f>
        <v>Weekday</v>
      </c>
      <c r="L898" s="33" t="str">
        <f aca="false">IF(AND(K898="Weekday", OR(AND(G898&gt;=7, G898&lt;=9), AND(G898&gt;=17, G898&lt;=19))), "Peak Commute", "Off-Peak")</f>
        <v>Peak Commute</v>
      </c>
      <c r="M898" s="43" t="n">
        <v>2</v>
      </c>
      <c r="N898" s="33" t="str">
        <f aca="false">VLOOKUP(M898, Lookups_Metadata!$G$4:$H$7, 2, FALSE())</f>
        <v>Mist / Cloudy</v>
      </c>
      <c r="O898" s="46" t="n">
        <v>0.2</v>
      </c>
      <c r="P898" s="46" t="n">
        <v>0.197</v>
      </c>
      <c r="Q898" s="46" t="n">
        <f aca="false">IF(OR(P898="", ISBLANK(P898)), ROUND(0.9367*O898+0.0175, 4), P898)</f>
        <v>0.197</v>
      </c>
      <c r="R898" s="33" t="str">
        <f aca="false">IF(OR(P898="", ISBLANK(P898)), "Imputed (Regression/Trend)", "Original")</f>
        <v>Original</v>
      </c>
      <c r="S898" s="46" t="n">
        <v>0.34</v>
      </c>
      <c r="T898" s="46" t="n">
        <v>0.2537</v>
      </c>
      <c r="U898" s="18" t="n">
        <v>9</v>
      </c>
      <c r="V898" s="18" t="n">
        <v>157</v>
      </c>
      <c r="W898" s="18" t="n">
        <f aca="false">U898+V898</f>
        <v>166</v>
      </c>
      <c r="X898" s="47" t="n">
        <f aca="false">U898/W898</f>
        <v>0.0542168674698795</v>
      </c>
      <c r="Y898" s="47" t="n">
        <f aca="false">V898/W898</f>
        <v>0.945783132530121</v>
      </c>
      <c r="Z898" s="33" t="str">
        <f aca="false">IF(W898&gt;=150, "High Demand", IF(W898&gt;=50, "Moderate Demand", "Low Demand"))</f>
        <v>High Demand</v>
      </c>
      <c r="AA898" s="45" t="str">
        <f aca="false">TEXT(G898, "00") &amp; ":00"</f>
        <v>17:00</v>
      </c>
      <c r="AB898" s="43" t="n">
        <f aca="false">YEAR(B898)</f>
        <v>2011</v>
      </c>
      <c r="AC898" s="33" t="str">
        <f aca="false">TEXT(B898, "mmmm")</f>
        <v>February</v>
      </c>
      <c r="AD898" s="43" t="n">
        <f aca="false">LEN(TEXT(B898, "YYYY-MM-DD"))</f>
        <v>10</v>
      </c>
      <c r="AE898" s="45" t="str">
        <f aca="false">LEFT(TEXT(B898, "YYYY-MM-DD"), 4)</f>
        <v>2011</v>
      </c>
      <c r="AF898" s="45" t="str">
        <f aca="false">RIGHT(TEXT(B898, "YYYY-MM-DD"), 2)</f>
        <v>09</v>
      </c>
    </row>
    <row r="899" customFormat="false" ht="15" hidden="false" customHeight="false" outlineLevel="0" collapsed="false">
      <c r="A899" s="37" t="n">
        <v>895</v>
      </c>
      <c r="B899" s="38" t="s">
        <v>123</v>
      </c>
      <c r="C899" s="37" t="n">
        <v>1</v>
      </c>
      <c r="D899" s="35" t="str">
        <f aca="false">VLOOKUP(C899, Lookups_Metadata!$A$4:$B$7, 2, FALSE())</f>
        <v>Spring</v>
      </c>
      <c r="E899" s="37" t="n">
        <v>0</v>
      </c>
      <c r="F899" s="37" t="n">
        <v>2</v>
      </c>
      <c r="G899" s="37" t="n">
        <v>18</v>
      </c>
      <c r="H899" s="39" t="b">
        <f aca="false">FALSE()</f>
        <v>0</v>
      </c>
      <c r="I899" s="37" t="n">
        <v>3</v>
      </c>
      <c r="J899" s="35" t="str">
        <f aca="false">INDEX(Lookups_Metadata!$E$4:$E$10, MATCH(I899, Lookups_Metadata!$D$4:$D$10, 0))</f>
        <v>Wednesday</v>
      </c>
      <c r="K899" s="35" t="str">
        <f aca="false">IF(H899=TRUE(), "Holiday", IF(OR(I899=0, I899=6), "Weekend", "Weekday"))</f>
        <v>Weekday</v>
      </c>
      <c r="L899" s="35" t="str">
        <f aca="false">IF(AND(K899="Weekday", OR(AND(G899&gt;=7, G899&lt;=9), AND(G899&gt;=17, G899&lt;=19))), "Peak Commute", "Off-Peak")</f>
        <v>Peak Commute</v>
      </c>
      <c r="M899" s="37" t="n">
        <v>2</v>
      </c>
      <c r="N899" s="35" t="str">
        <f aca="false">VLOOKUP(M899, Lookups_Metadata!$G$4:$H$7, 2, FALSE())</f>
        <v>Mist / Cloudy</v>
      </c>
      <c r="O899" s="40" t="n">
        <v>0.18</v>
      </c>
      <c r="P899" s="40" t="n">
        <v>0.1667</v>
      </c>
      <c r="Q899" s="40" t="n">
        <f aca="false">IF(OR(P899="", ISBLANK(P899)), ROUND(0.9367*O899+0.0175, 4), P899)</f>
        <v>0.1667</v>
      </c>
      <c r="R899" s="35" t="str">
        <f aca="false">IF(OR(P899="", ISBLANK(P899)), "Imputed (Regression/Trend)", "Original")</f>
        <v>Original</v>
      </c>
      <c r="S899" s="40" t="n">
        <v>0.47</v>
      </c>
      <c r="T899" s="40" t="n">
        <v>0.2985</v>
      </c>
      <c r="U899" s="41" t="n">
        <v>2</v>
      </c>
      <c r="V899" s="41" t="n">
        <v>168</v>
      </c>
      <c r="W899" s="41" t="n">
        <f aca="false">U899+V899</f>
        <v>170</v>
      </c>
      <c r="X899" s="42" t="n">
        <f aca="false">U899/W899</f>
        <v>0.0117647058823529</v>
      </c>
      <c r="Y899" s="42" t="n">
        <f aca="false">V899/W899</f>
        <v>0.988235294117647</v>
      </c>
      <c r="Z899" s="35" t="str">
        <f aca="false">IF(W899&gt;=150, "High Demand", IF(W899&gt;=50, "Moderate Demand", "Low Demand"))</f>
        <v>High Demand</v>
      </c>
      <c r="AA899" s="39" t="str">
        <f aca="false">TEXT(G899, "00") &amp; ":00"</f>
        <v>18:00</v>
      </c>
      <c r="AB899" s="37" t="n">
        <f aca="false">YEAR(B899)</f>
        <v>2011</v>
      </c>
      <c r="AC899" s="35" t="str">
        <f aca="false">TEXT(B899, "mmmm")</f>
        <v>February</v>
      </c>
      <c r="AD899" s="37" t="n">
        <f aca="false">LEN(TEXT(B899, "YYYY-MM-DD"))</f>
        <v>10</v>
      </c>
      <c r="AE899" s="39" t="str">
        <f aca="false">LEFT(TEXT(B899, "YYYY-MM-DD"), 4)</f>
        <v>2011</v>
      </c>
      <c r="AF899" s="39" t="str">
        <f aca="false">RIGHT(TEXT(B899, "YYYY-MM-DD"), 2)</f>
        <v>09</v>
      </c>
    </row>
    <row r="900" customFormat="false" ht="15" hidden="false" customHeight="false" outlineLevel="0" collapsed="false">
      <c r="A900" s="43" t="n">
        <v>896</v>
      </c>
      <c r="B900" s="44" t="s">
        <v>123</v>
      </c>
      <c r="C900" s="43" t="n">
        <v>1</v>
      </c>
      <c r="D900" s="33" t="str">
        <f aca="false">VLOOKUP(C900, Lookups_Metadata!$A$4:$B$7, 2, FALSE())</f>
        <v>Spring</v>
      </c>
      <c r="E900" s="43" t="n">
        <v>0</v>
      </c>
      <c r="F900" s="43" t="n">
        <v>2</v>
      </c>
      <c r="G900" s="43" t="n">
        <v>19</v>
      </c>
      <c r="H900" s="45" t="b">
        <f aca="false">FALSE()</f>
        <v>0</v>
      </c>
      <c r="I900" s="43" t="n">
        <v>3</v>
      </c>
      <c r="J900" s="33" t="str">
        <f aca="false">INDEX(Lookups_Metadata!$E$4:$E$10, MATCH(I900, Lookups_Metadata!$D$4:$D$10, 0))</f>
        <v>Wednesday</v>
      </c>
      <c r="K900" s="33" t="str">
        <f aca="false">IF(H900=TRUE(), "Holiday", IF(OR(I900=0, I900=6), "Weekend", "Weekday"))</f>
        <v>Weekday</v>
      </c>
      <c r="L900" s="33" t="str">
        <f aca="false">IF(AND(K900="Weekday", OR(AND(G900&gt;=7, G900&lt;=9), AND(G900&gt;=17, G900&lt;=19))), "Peak Commute", "Off-Peak")</f>
        <v>Peak Commute</v>
      </c>
      <c r="M900" s="43" t="n">
        <v>3</v>
      </c>
      <c r="N900" s="33" t="str">
        <f aca="false">VLOOKUP(M900, Lookups_Metadata!$G$4:$H$7, 2, FALSE())</f>
        <v>Light Snow / Light Rain</v>
      </c>
      <c r="O900" s="46" t="n">
        <v>0.14</v>
      </c>
      <c r="P900" s="46" t="n">
        <v>0.1212</v>
      </c>
      <c r="Q900" s="46" t="n">
        <f aca="false">IF(OR(P900="", ISBLANK(P900)), ROUND(0.9367*O900+0.0175, 4), P900)</f>
        <v>0.1212</v>
      </c>
      <c r="R900" s="33" t="str">
        <f aca="false">IF(OR(P900="", ISBLANK(P900)), "Imputed (Regression/Trend)", "Original")</f>
        <v>Original</v>
      </c>
      <c r="S900" s="46" t="n">
        <v>0.86</v>
      </c>
      <c r="T900" s="46" t="n">
        <v>0.2537</v>
      </c>
      <c r="U900" s="18" t="n">
        <v>1</v>
      </c>
      <c r="V900" s="18" t="n">
        <v>87</v>
      </c>
      <c r="W900" s="18" t="n">
        <f aca="false">U900+V900</f>
        <v>88</v>
      </c>
      <c r="X900" s="47" t="n">
        <f aca="false">U900/W900</f>
        <v>0.0113636363636364</v>
      </c>
      <c r="Y900" s="47" t="n">
        <f aca="false">V900/W900</f>
        <v>0.988636363636364</v>
      </c>
      <c r="Z900" s="33" t="str">
        <f aca="false">IF(W900&gt;=150, "High Demand", IF(W900&gt;=50, "Moderate Demand", "Low Demand"))</f>
        <v>Moderate Demand</v>
      </c>
      <c r="AA900" s="45" t="str">
        <f aca="false">TEXT(G900, "00") &amp; ":00"</f>
        <v>19:00</v>
      </c>
      <c r="AB900" s="43" t="n">
        <f aca="false">YEAR(B900)</f>
        <v>2011</v>
      </c>
      <c r="AC900" s="33" t="str">
        <f aca="false">TEXT(B900, "mmmm")</f>
        <v>February</v>
      </c>
      <c r="AD900" s="43" t="n">
        <f aca="false">LEN(TEXT(B900, "YYYY-MM-DD"))</f>
        <v>10</v>
      </c>
      <c r="AE900" s="45" t="str">
        <f aca="false">LEFT(TEXT(B900, "YYYY-MM-DD"), 4)</f>
        <v>2011</v>
      </c>
      <c r="AF900" s="45" t="str">
        <f aca="false">RIGHT(TEXT(B900, "YYYY-MM-DD"), 2)</f>
        <v>09</v>
      </c>
    </row>
    <row r="901" customFormat="false" ht="15" hidden="false" customHeight="false" outlineLevel="0" collapsed="false">
      <c r="A901" s="37" t="n">
        <v>897</v>
      </c>
      <c r="B901" s="38" t="s">
        <v>123</v>
      </c>
      <c r="C901" s="37" t="n">
        <v>1</v>
      </c>
      <c r="D901" s="35" t="str">
        <f aca="false">VLOOKUP(C901, Lookups_Metadata!$A$4:$B$7, 2, FALSE())</f>
        <v>Spring</v>
      </c>
      <c r="E901" s="37" t="n">
        <v>0</v>
      </c>
      <c r="F901" s="37" t="n">
        <v>2</v>
      </c>
      <c r="G901" s="37" t="n">
        <v>20</v>
      </c>
      <c r="H901" s="39" t="b">
        <f aca="false">FALSE()</f>
        <v>0</v>
      </c>
      <c r="I901" s="37" t="n">
        <v>3</v>
      </c>
      <c r="J901" s="35" t="str">
        <f aca="false">INDEX(Lookups_Metadata!$E$4:$E$10, MATCH(I901, Lookups_Metadata!$D$4:$D$10, 0))</f>
        <v>Wednesday</v>
      </c>
      <c r="K901" s="35" t="str">
        <f aca="false">IF(H901=TRUE(), "Holiday", IF(OR(I901=0, I901=6), "Weekend", "Weekday"))</f>
        <v>Weekday</v>
      </c>
      <c r="L901" s="35" t="str">
        <f aca="false">IF(AND(K901="Weekday", OR(AND(G901&gt;=7, G901&lt;=9), AND(G901&gt;=17, G901&lt;=19))), "Peak Commute", "Off-Peak")</f>
        <v>Off-Peak</v>
      </c>
      <c r="M901" s="37" t="n">
        <v>3</v>
      </c>
      <c r="N901" s="35" t="str">
        <f aca="false">VLOOKUP(M901, Lookups_Metadata!$G$4:$H$7, 2, FALSE())</f>
        <v>Light Snow / Light Rain</v>
      </c>
      <c r="O901" s="40" t="n">
        <v>0.14</v>
      </c>
      <c r="P901" s="40" t="n">
        <v>0.1515</v>
      </c>
      <c r="Q901" s="40" t="n">
        <f aca="false">IF(OR(P901="", ISBLANK(P901)), ROUND(0.9367*O901+0.0175, 4), P901)</f>
        <v>0.1515</v>
      </c>
      <c r="R901" s="35" t="str">
        <f aca="false">IF(OR(P901="", ISBLANK(P901)), "Imputed (Regression/Trend)", "Original")</f>
        <v>Original</v>
      </c>
      <c r="S901" s="40" t="n">
        <v>0.86</v>
      </c>
      <c r="T901" s="40" t="n">
        <v>0.1642</v>
      </c>
      <c r="U901" s="41" t="n">
        <v>0</v>
      </c>
      <c r="V901" s="41" t="n">
        <v>84</v>
      </c>
      <c r="W901" s="41" t="n">
        <f aca="false">U901+V901</f>
        <v>84</v>
      </c>
      <c r="X901" s="42" t="n">
        <f aca="false">U901/W901</f>
        <v>0</v>
      </c>
      <c r="Y901" s="42" t="n">
        <f aca="false">V901/W901</f>
        <v>1</v>
      </c>
      <c r="Z901" s="35" t="str">
        <f aca="false">IF(W901&gt;=150, "High Demand", IF(W901&gt;=50, "Moderate Demand", "Low Demand"))</f>
        <v>Moderate Demand</v>
      </c>
      <c r="AA901" s="39" t="str">
        <f aca="false">TEXT(G901, "00") &amp; ":00"</f>
        <v>20:00</v>
      </c>
      <c r="AB901" s="37" t="n">
        <f aca="false">YEAR(B901)</f>
        <v>2011</v>
      </c>
      <c r="AC901" s="35" t="str">
        <f aca="false">TEXT(B901, "mmmm")</f>
        <v>February</v>
      </c>
      <c r="AD901" s="37" t="n">
        <f aca="false">LEN(TEXT(B901, "YYYY-MM-DD"))</f>
        <v>10</v>
      </c>
      <c r="AE901" s="39" t="str">
        <f aca="false">LEFT(TEXT(B901, "YYYY-MM-DD"), 4)</f>
        <v>2011</v>
      </c>
      <c r="AF901" s="39" t="str">
        <f aca="false">RIGHT(TEXT(B901, "YYYY-MM-DD"), 2)</f>
        <v>09</v>
      </c>
    </row>
    <row r="902" customFormat="false" ht="15" hidden="false" customHeight="false" outlineLevel="0" collapsed="false">
      <c r="A902" s="43" t="n">
        <v>898</v>
      </c>
      <c r="B902" s="44" t="s">
        <v>123</v>
      </c>
      <c r="C902" s="43" t="n">
        <v>1</v>
      </c>
      <c r="D902" s="33" t="str">
        <f aca="false">VLOOKUP(C902, Lookups_Metadata!$A$4:$B$7, 2, FALSE())</f>
        <v>Spring</v>
      </c>
      <c r="E902" s="43" t="n">
        <v>0</v>
      </c>
      <c r="F902" s="43" t="n">
        <v>2</v>
      </c>
      <c r="G902" s="43" t="n">
        <v>21</v>
      </c>
      <c r="H902" s="45" t="b">
        <f aca="false">FALSE()</f>
        <v>0</v>
      </c>
      <c r="I902" s="43" t="n">
        <v>3</v>
      </c>
      <c r="J902" s="33" t="str">
        <f aca="false">INDEX(Lookups_Metadata!$E$4:$E$10, MATCH(I902, Lookups_Metadata!$D$4:$D$10, 0))</f>
        <v>Wednesday</v>
      </c>
      <c r="K902" s="33" t="str">
        <f aca="false">IF(H902=TRUE(), "Holiday", IF(OR(I902=0, I902=6), "Weekend", "Weekday"))</f>
        <v>Weekday</v>
      </c>
      <c r="L902" s="33" t="str">
        <f aca="false">IF(AND(K902="Weekday", OR(AND(G902&gt;=7, G902&lt;=9), AND(G902&gt;=17, G902&lt;=19))), "Peak Commute", "Off-Peak")</f>
        <v>Off-Peak</v>
      </c>
      <c r="M902" s="43" t="n">
        <v>2</v>
      </c>
      <c r="N902" s="33" t="str">
        <f aca="false">VLOOKUP(M902, Lookups_Metadata!$G$4:$H$7, 2, FALSE())</f>
        <v>Mist / Cloudy</v>
      </c>
      <c r="O902" s="46" t="n">
        <v>0.14</v>
      </c>
      <c r="P902" s="46" t="n">
        <v>0.1515</v>
      </c>
      <c r="Q902" s="46" t="n">
        <f aca="false">IF(OR(P902="", ISBLANK(P902)), ROUND(0.9367*O902+0.0175, 4), P902)</f>
        <v>0.1515</v>
      </c>
      <c r="R902" s="33" t="str">
        <f aca="false">IF(OR(P902="", ISBLANK(P902)), "Imputed (Regression/Trend)", "Original")</f>
        <v>Original</v>
      </c>
      <c r="S902" s="46" t="n">
        <v>0.86</v>
      </c>
      <c r="T902" s="46" t="n">
        <v>0.1642</v>
      </c>
      <c r="U902" s="18" t="n">
        <v>0</v>
      </c>
      <c r="V902" s="18" t="n">
        <v>83</v>
      </c>
      <c r="W902" s="18" t="n">
        <f aca="false">U902+V902</f>
        <v>83</v>
      </c>
      <c r="X902" s="47" t="n">
        <f aca="false">U902/W902</f>
        <v>0</v>
      </c>
      <c r="Y902" s="47" t="n">
        <f aca="false">V902/W902</f>
        <v>1</v>
      </c>
      <c r="Z902" s="33" t="str">
        <f aca="false">IF(W902&gt;=150, "High Demand", IF(W902&gt;=50, "Moderate Demand", "Low Demand"))</f>
        <v>Moderate Demand</v>
      </c>
      <c r="AA902" s="45" t="str">
        <f aca="false">TEXT(G902, "00") &amp; ":00"</f>
        <v>21:00</v>
      </c>
      <c r="AB902" s="43" t="n">
        <f aca="false">YEAR(B902)</f>
        <v>2011</v>
      </c>
      <c r="AC902" s="33" t="str">
        <f aca="false">TEXT(B902, "mmmm")</f>
        <v>February</v>
      </c>
      <c r="AD902" s="43" t="n">
        <f aca="false">LEN(TEXT(B902, "YYYY-MM-DD"))</f>
        <v>10</v>
      </c>
      <c r="AE902" s="45" t="str">
        <f aca="false">LEFT(TEXT(B902, "YYYY-MM-DD"), 4)</f>
        <v>2011</v>
      </c>
      <c r="AF902" s="45" t="str">
        <f aca="false">RIGHT(TEXT(B902, "YYYY-MM-DD"), 2)</f>
        <v>09</v>
      </c>
    </row>
    <row r="903" customFormat="false" ht="15" hidden="false" customHeight="false" outlineLevel="0" collapsed="false">
      <c r="A903" s="37" t="n">
        <v>899</v>
      </c>
      <c r="B903" s="38" t="s">
        <v>123</v>
      </c>
      <c r="C903" s="37" t="n">
        <v>1</v>
      </c>
      <c r="D903" s="35" t="str">
        <f aca="false">VLOOKUP(C903, Lookups_Metadata!$A$4:$B$7, 2, FALSE())</f>
        <v>Spring</v>
      </c>
      <c r="E903" s="37" t="n">
        <v>0</v>
      </c>
      <c r="F903" s="37" t="n">
        <v>2</v>
      </c>
      <c r="G903" s="37" t="n">
        <v>22</v>
      </c>
      <c r="H903" s="39" t="b">
        <f aca="false">FALSE()</f>
        <v>0</v>
      </c>
      <c r="I903" s="37" t="n">
        <v>3</v>
      </c>
      <c r="J903" s="35" t="str">
        <f aca="false">INDEX(Lookups_Metadata!$E$4:$E$10, MATCH(I903, Lookups_Metadata!$D$4:$D$10, 0))</f>
        <v>Wednesday</v>
      </c>
      <c r="K903" s="35" t="str">
        <f aca="false">IF(H903=TRUE(), "Holiday", IF(OR(I903=0, I903=6), "Weekend", "Weekday"))</f>
        <v>Weekday</v>
      </c>
      <c r="L903" s="35" t="str">
        <f aca="false">IF(AND(K903="Weekday", OR(AND(G903&gt;=7, G903&lt;=9), AND(G903&gt;=17, G903&lt;=19))), "Peak Commute", "Off-Peak")</f>
        <v>Off-Peak</v>
      </c>
      <c r="M903" s="37" t="n">
        <v>3</v>
      </c>
      <c r="N903" s="35" t="str">
        <f aca="false">VLOOKUP(M903, Lookups_Metadata!$G$4:$H$7, 2, FALSE())</f>
        <v>Light Snow / Light Rain</v>
      </c>
      <c r="O903" s="40" t="n">
        <v>0.16</v>
      </c>
      <c r="P903" s="40" t="n">
        <v>0.1667</v>
      </c>
      <c r="Q903" s="40" t="n">
        <f aca="false">IF(OR(P903="", ISBLANK(P903)), ROUND(0.9367*O903+0.0175, 4), P903)</f>
        <v>0.1667</v>
      </c>
      <c r="R903" s="35" t="str">
        <f aca="false">IF(OR(P903="", ISBLANK(P903)), "Imputed (Regression/Trend)", "Original")</f>
        <v>Original</v>
      </c>
      <c r="S903" s="40" t="n">
        <v>0.8</v>
      </c>
      <c r="T903" s="40" t="n">
        <v>0.1642</v>
      </c>
      <c r="U903" s="41" t="n">
        <v>4</v>
      </c>
      <c r="V903" s="41" t="n">
        <v>42</v>
      </c>
      <c r="W903" s="41" t="n">
        <f aca="false">U903+V903</f>
        <v>46</v>
      </c>
      <c r="X903" s="42" t="n">
        <f aca="false">U903/W903</f>
        <v>0.0869565217391304</v>
      </c>
      <c r="Y903" s="42" t="n">
        <f aca="false">V903/W903</f>
        <v>0.91304347826087</v>
      </c>
      <c r="Z903" s="35" t="str">
        <f aca="false">IF(W903&gt;=150, "High Demand", IF(W903&gt;=50, "Moderate Demand", "Low Demand"))</f>
        <v>Low Demand</v>
      </c>
      <c r="AA903" s="39" t="str">
        <f aca="false">TEXT(G903, "00") &amp; ":00"</f>
        <v>22:00</v>
      </c>
      <c r="AB903" s="37" t="n">
        <f aca="false">YEAR(B903)</f>
        <v>2011</v>
      </c>
      <c r="AC903" s="35" t="str">
        <f aca="false">TEXT(B903, "mmmm")</f>
        <v>February</v>
      </c>
      <c r="AD903" s="37" t="n">
        <f aca="false">LEN(TEXT(B903, "YYYY-MM-DD"))</f>
        <v>10</v>
      </c>
      <c r="AE903" s="39" t="str">
        <f aca="false">LEFT(TEXT(B903, "YYYY-MM-DD"), 4)</f>
        <v>2011</v>
      </c>
      <c r="AF903" s="39" t="str">
        <f aca="false">RIGHT(TEXT(B903, "YYYY-MM-DD"), 2)</f>
        <v>09</v>
      </c>
    </row>
    <row r="904" customFormat="false" ht="15" hidden="false" customHeight="false" outlineLevel="0" collapsed="false">
      <c r="A904" s="43" t="n">
        <v>900</v>
      </c>
      <c r="B904" s="44" t="s">
        <v>123</v>
      </c>
      <c r="C904" s="43" t="n">
        <v>1</v>
      </c>
      <c r="D904" s="33" t="str">
        <f aca="false">VLOOKUP(C904, Lookups_Metadata!$A$4:$B$7, 2, FALSE())</f>
        <v>Spring</v>
      </c>
      <c r="E904" s="43" t="n">
        <v>0</v>
      </c>
      <c r="F904" s="43" t="n">
        <v>2</v>
      </c>
      <c r="G904" s="43" t="n">
        <v>23</v>
      </c>
      <c r="H904" s="45" t="b">
        <f aca="false">FALSE()</f>
        <v>0</v>
      </c>
      <c r="I904" s="43" t="n">
        <v>3</v>
      </c>
      <c r="J904" s="33" t="str">
        <f aca="false">INDEX(Lookups_Metadata!$E$4:$E$10, MATCH(I904, Lookups_Metadata!$D$4:$D$10, 0))</f>
        <v>Wednesday</v>
      </c>
      <c r="K904" s="33" t="str">
        <f aca="false">IF(H904=TRUE(), "Holiday", IF(OR(I904=0, I904=6), "Weekend", "Weekday"))</f>
        <v>Weekday</v>
      </c>
      <c r="L904" s="33" t="str">
        <f aca="false">IF(AND(K904="Weekday", OR(AND(G904&gt;=7, G904&lt;=9), AND(G904&gt;=17, G904&lt;=19))), "Peak Commute", "Off-Peak")</f>
        <v>Off-Peak</v>
      </c>
      <c r="M904" s="43" t="n">
        <v>3</v>
      </c>
      <c r="N904" s="33" t="str">
        <f aca="false">VLOOKUP(M904, Lookups_Metadata!$G$4:$H$7, 2, FALSE())</f>
        <v>Light Snow / Light Rain</v>
      </c>
      <c r="O904" s="46" t="n">
        <v>0.16</v>
      </c>
      <c r="P904" s="46" t="n">
        <v>0.1515</v>
      </c>
      <c r="Q904" s="46" t="n">
        <f aca="false">IF(OR(P904="", ISBLANK(P904)), ROUND(0.9367*O904+0.0175, 4), P904)</f>
        <v>0.1515</v>
      </c>
      <c r="R904" s="33" t="str">
        <f aca="false">IF(OR(P904="", ISBLANK(P904)), "Imputed (Regression/Trend)", "Original")</f>
        <v>Original</v>
      </c>
      <c r="S904" s="46" t="n">
        <v>0.8</v>
      </c>
      <c r="T904" s="46" t="n">
        <v>0.194</v>
      </c>
      <c r="U904" s="18" t="n">
        <v>0</v>
      </c>
      <c r="V904" s="18" t="n">
        <v>37</v>
      </c>
      <c r="W904" s="18" t="n">
        <f aca="false">U904+V904</f>
        <v>37</v>
      </c>
      <c r="X904" s="47" t="n">
        <f aca="false">U904/W904</f>
        <v>0</v>
      </c>
      <c r="Y904" s="47" t="n">
        <f aca="false">V904/W904</f>
        <v>1</v>
      </c>
      <c r="Z904" s="33" t="str">
        <f aca="false">IF(W904&gt;=150, "High Demand", IF(W904&gt;=50, "Moderate Demand", "Low Demand"))</f>
        <v>Low Demand</v>
      </c>
      <c r="AA904" s="45" t="str">
        <f aca="false">TEXT(G904, "00") &amp; ":00"</f>
        <v>23:00</v>
      </c>
      <c r="AB904" s="43" t="n">
        <f aca="false">YEAR(B904)</f>
        <v>2011</v>
      </c>
      <c r="AC904" s="33" t="str">
        <f aca="false">TEXT(B904, "mmmm")</f>
        <v>February</v>
      </c>
      <c r="AD904" s="43" t="n">
        <f aca="false">LEN(TEXT(B904, "YYYY-MM-DD"))</f>
        <v>10</v>
      </c>
      <c r="AE904" s="45" t="str">
        <f aca="false">LEFT(TEXT(B904, "YYYY-MM-DD"), 4)</f>
        <v>2011</v>
      </c>
      <c r="AF904" s="45" t="str">
        <f aca="false">RIGHT(TEXT(B904, "YYYY-MM-DD"), 2)</f>
        <v>09</v>
      </c>
    </row>
    <row r="905" customFormat="false" ht="15" hidden="false" customHeight="false" outlineLevel="0" collapsed="false">
      <c r="A905" s="37" t="n">
        <v>901</v>
      </c>
      <c r="B905" s="38" t="s">
        <v>124</v>
      </c>
      <c r="C905" s="37" t="n">
        <v>1</v>
      </c>
      <c r="D905" s="35" t="str">
        <f aca="false">VLOOKUP(C905, Lookups_Metadata!$A$4:$B$7, 2, FALSE())</f>
        <v>Spring</v>
      </c>
      <c r="E905" s="37" t="n">
        <v>0</v>
      </c>
      <c r="F905" s="37" t="n">
        <v>2</v>
      </c>
      <c r="G905" s="37" t="n">
        <v>0</v>
      </c>
      <c r="H905" s="39" t="b">
        <f aca="false">FALSE()</f>
        <v>0</v>
      </c>
      <c r="I905" s="37" t="n">
        <v>4</v>
      </c>
      <c r="J905" s="35" t="str">
        <f aca="false">INDEX(Lookups_Metadata!$E$4:$E$10, MATCH(I905, Lookups_Metadata!$D$4:$D$10, 0))</f>
        <v>Thursday</v>
      </c>
      <c r="K905" s="35" t="str">
        <f aca="false">IF(H905=TRUE(), "Holiday", IF(OR(I905=0, I905=6), "Weekend", "Weekday"))</f>
        <v>Weekday</v>
      </c>
      <c r="L905" s="35" t="str">
        <f aca="false">IF(AND(K905="Weekday", OR(AND(G905&gt;=7, G905&lt;=9), AND(G905&gt;=17, G905&lt;=19))), "Peak Commute", "Off-Peak")</f>
        <v>Off-Peak</v>
      </c>
      <c r="M905" s="37" t="n">
        <v>3</v>
      </c>
      <c r="N905" s="35" t="str">
        <f aca="false">VLOOKUP(M905, Lookups_Metadata!$G$4:$H$7, 2, FALSE())</f>
        <v>Light Snow / Light Rain</v>
      </c>
      <c r="O905" s="40" t="n">
        <v>0.14</v>
      </c>
      <c r="P905" s="40" t="n">
        <v>0.1364</v>
      </c>
      <c r="Q905" s="40" t="n">
        <f aca="false">IF(OR(P905="", ISBLANK(P905)), ROUND(0.9367*O905+0.0175, 4), P905)</f>
        <v>0.1364</v>
      </c>
      <c r="R905" s="35" t="str">
        <f aca="false">IF(OR(P905="", ISBLANK(P905)), "Imputed (Regression/Trend)", "Original")</f>
        <v>Original</v>
      </c>
      <c r="S905" s="40" t="n">
        <v>0.86</v>
      </c>
      <c r="T905" s="40" t="n">
        <v>0.194</v>
      </c>
      <c r="U905" s="41" t="n">
        <v>0</v>
      </c>
      <c r="V905" s="41" t="n">
        <v>16</v>
      </c>
      <c r="W905" s="41" t="n">
        <f aca="false">U905+V905</f>
        <v>16</v>
      </c>
      <c r="X905" s="42" t="n">
        <f aca="false">U905/W905</f>
        <v>0</v>
      </c>
      <c r="Y905" s="42" t="n">
        <f aca="false">V905/W905</f>
        <v>1</v>
      </c>
      <c r="Z905" s="35" t="str">
        <f aca="false">IF(W905&gt;=150, "High Demand", IF(W905&gt;=50, "Moderate Demand", "Low Demand"))</f>
        <v>Low Demand</v>
      </c>
      <c r="AA905" s="39" t="str">
        <f aca="false">TEXT(G905, "00") &amp; ":00"</f>
        <v>00:00</v>
      </c>
      <c r="AB905" s="37" t="n">
        <f aca="false">YEAR(B905)</f>
        <v>2011</v>
      </c>
      <c r="AC905" s="35" t="str">
        <f aca="false">TEXT(B905, "mmmm")</f>
        <v>February</v>
      </c>
      <c r="AD905" s="37" t="n">
        <f aca="false">LEN(TEXT(B905, "YYYY-MM-DD"))</f>
        <v>10</v>
      </c>
      <c r="AE905" s="39" t="str">
        <f aca="false">LEFT(TEXT(B905, "YYYY-MM-DD"), 4)</f>
        <v>2011</v>
      </c>
      <c r="AF905" s="39" t="str">
        <f aca="false">RIGHT(TEXT(B905, "YYYY-MM-DD"), 2)</f>
        <v>10</v>
      </c>
    </row>
    <row r="906" customFormat="false" ht="15" hidden="false" customHeight="false" outlineLevel="0" collapsed="false">
      <c r="A906" s="43" t="n">
        <v>902</v>
      </c>
      <c r="B906" s="44" t="s">
        <v>124</v>
      </c>
      <c r="C906" s="43" t="n">
        <v>1</v>
      </c>
      <c r="D906" s="33" t="str">
        <f aca="false">VLOOKUP(C906, Lookups_Metadata!$A$4:$B$7, 2, FALSE())</f>
        <v>Spring</v>
      </c>
      <c r="E906" s="43" t="n">
        <v>0</v>
      </c>
      <c r="F906" s="43" t="n">
        <v>2</v>
      </c>
      <c r="G906" s="43" t="n">
        <v>1</v>
      </c>
      <c r="H906" s="45" t="b">
        <f aca="false">FALSE()</f>
        <v>0</v>
      </c>
      <c r="I906" s="43" t="n">
        <v>4</v>
      </c>
      <c r="J906" s="33" t="str">
        <f aca="false">INDEX(Lookups_Metadata!$E$4:$E$10, MATCH(I906, Lookups_Metadata!$D$4:$D$10, 0))</f>
        <v>Thursday</v>
      </c>
      <c r="K906" s="33" t="str">
        <f aca="false">IF(H906=TRUE(), "Holiday", IF(OR(I906=0, I906=6), "Weekend", "Weekday"))</f>
        <v>Weekday</v>
      </c>
      <c r="L906" s="33" t="str">
        <f aca="false">IF(AND(K906="Weekday", OR(AND(G906&gt;=7, G906&lt;=9), AND(G906&gt;=17, G906&lt;=19))), "Peak Commute", "Off-Peak")</f>
        <v>Off-Peak</v>
      </c>
      <c r="M906" s="43" t="n">
        <v>3</v>
      </c>
      <c r="N906" s="33" t="str">
        <f aca="false">VLOOKUP(M906, Lookups_Metadata!$G$4:$H$7, 2, FALSE())</f>
        <v>Light Snow / Light Rain</v>
      </c>
      <c r="O906" s="46" t="n">
        <v>0.14</v>
      </c>
      <c r="P906" s="46" t="n">
        <v>0.1515</v>
      </c>
      <c r="Q906" s="46" t="n">
        <f aca="false">IF(OR(P906="", ISBLANK(P906)), ROUND(0.9367*O906+0.0175, 4), P906)</f>
        <v>0.1515</v>
      </c>
      <c r="R906" s="33" t="str">
        <f aca="false">IF(OR(P906="", ISBLANK(P906)), "Imputed (Regression/Trend)", "Original")</f>
        <v>Original</v>
      </c>
      <c r="S906" s="46" t="n">
        <v>0.8</v>
      </c>
      <c r="T906" s="46" t="n">
        <v>0.1343</v>
      </c>
      <c r="U906" s="18" t="n">
        <v>0</v>
      </c>
      <c r="V906" s="18" t="n">
        <v>7</v>
      </c>
      <c r="W906" s="18" t="n">
        <f aca="false">U906+V906</f>
        <v>7</v>
      </c>
      <c r="X906" s="47" t="n">
        <f aca="false">U906/W906</f>
        <v>0</v>
      </c>
      <c r="Y906" s="47" t="n">
        <f aca="false">V906/W906</f>
        <v>1</v>
      </c>
      <c r="Z906" s="33" t="str">
        <f aca="false">IF(W906&gt;=150, "High Demand", IF(W906&gt;=50, "Moderate Demand", "Low Demand"))</f>
        <v>Low Demand</v>
      </c>
      <c r="AA906" s="45" t="str">
        <f aca="false">TEXT(G906, "00") &amp; ":00"</f>
        <v>01:00</v>
      </c>
      <c r="AB906" s="43" t="n">
        <f aca="false">YEAR(B906)</f>
        <v>2011</v>
      </c>
      <c r="AC906" s="33" t="str">
        <f aca="false">TEXT(B906, "mmmm")</f>
        <v>February</v>
      </c>
      <c r="AD906" s="43" t="n">
        <f aca="false">LEN(TEXT(B906, "YYYY-MM-DD"))</f>
        <v>10</v>
      </c>
      <c r="AE906" s="45" t="str">
        <f aca="false">LEFT(TEXT(B906, "YYYY-MM-DD"), 4)</f>
        <v>2011</v>
      </c>
      <c r="AF906" s="45" t="str">
        <f aca="false">RIGHT(TEXT(B906, "YYYY-MM-DD"), 2)</f>
        <v>10</v>
      </c>
    </row>
    <row r="907" customFormat="false" ht="15" hidden="false" customHeight="false" outlineLevel="0" collapsed="false">
      <c r="A907" s="37" t="n">
        <v>903</v>
      </c>
      <c r="B907" s="38" t="s">
        <v>124</v>
      </c>
      <c r="C907" s="37" t="n">
        <v>1</v>
      </c>
      <c r="D907" s="35" t="str">
        <f aca="false">VLOOKUP(C907, Lookups_Metadata!$A$4:$B$7, 2, FALSE())</f>
        <v>Spring</v>
      </c>
      <c r="E907" s="37" t="n">
        <v>0</v>
      </c>
      <c r="F907" s="37" t="n">
        <v>2</v>
      </c>
      <c r="G907" s="37" t="n">
        <v>2</v>
      </c>
      <c r="H907" s="39" t="b">
        <f aca="false">FALSE()</f>
        <v>0</v>
      </c>
      <c r="I907" s="37" t="n">
        <v>4</v>
      </c>
      <c r="J907" s="35" t="str">
        <f aca="false">INDEX(Lookups_Metadata!$E$4:$E$10, MATCH(I907, Lookups_Metadata!$D$4:$D$10, 0))</f>
        <v>Thursday</v>
      </c>
      <c r="K907" s="35" t="str">
        <f aca="false">IF(H907=TRUE(), "Holiday", IF(OR(I907=0, I907=6), "Weekend", "Weekday"))</f>
        <v>Weekday</v>
      </c>
      <c r="L907" s="35" t="str">
        <f aca="false">IF(AND(K907="Weekday", OR(AND(G907&gt;=7, G907&lt;=9), AND(G907&gt;=17, G907&lt;=19))), "Peak Commute", "Off-Peak")</f>
        <v>Off-Peak</v>
      </c>
      <c r="M907" s="37" t="n">
        <v>3</v>
      </c>
      <c r="N907" s="35" t="str">
        <f aca="false">VLOOKUP(M907, Lookups_Metadata!$G$4:$H$7, 2, FALSE())</f>
        <v>Light Snow / Light Rain</v>
      </c>
      <c r="O907" s="40" t="n">
        <v>0.14</v>
      </c>
      <c r="P907" s="40" t="n">
        <v>0.1515</v>
      </c>
      <c r="Q907" s="40" t="n">
        <f aca="false">IF(OR(P907="", ISBLANK(P907)), ROUND(0.9367*O907+0.0175, 4), P907)</f>
        <v>0.1515</v>
      </c>
      <c r="R907" s="35" t="str">
        <f aca="false">IF(OR(P907="", ISBLANK(P907)), "Imputed (Regression/Trend)", "Original")</f>
        <v>Original</v>
      </c>
      <c r="S907" s="40" t="n">
        <v>0.8</v>
      </c>
      <c r="T907" s="40" t="n">
        <v>0.1343</v>
      </c>
      <c r="U907" s="41" t="n">
        <v>0</v>
      </c>
      <c r="V907" s="41" t="n">
        <v>3</v>
      </c>
      <c r="W907" s="41" t="n">
        <f aca="false">U907+V907</f>
        <v>3</v>
      </c>
      <c r="X907" s="42" t="n">
        <f aca="false">U907/W907</f>
        <v>0</v>
      </c>
      <c r="Y907" s="42" t="n">
        <f aca="false">V907/W907</f>
        <v>1</v>
      </c>
      <c r="Z907" s="35" t="str">
        <f aca="false">IF(W907&gt;=150, "High Demand", IF(W907&gt;=50, "Moderate Demand", "Low Demand"))</f>
        <v>Low Demand</v>
      </c>
      <c r="AA907" s="39" t="str">
        <f aca="false">TEXT(G907, "00") &amp; ":00"</f>
        <v>02:00</v>
      </c>
      <c r="AB907" s="37" t="n">
        <f aca="false">YEAR(B907)</f>
        <v>2011</v>
      </c>
      <c r="AC907" s="35" t="str">
        <f aca="false">TEXT(B907, "mmmm")</f>
        <v>February</v>
      </c>
      <c r="AD907" s="37" t="n">
        <f aca="false">LEN(TEXT(B907, "YYYY-MM-DD"))</f>
        <v>10</v>
      </c>
      <c r="AE907" s="39" t="str">
        <f aca="false">LEFT(TEXT(B907, "YYYY-MM-DD"), 4)</f>
        <v>2011</v>
      </c>
      <c r="AF907" s="39" t="str">
        <f aca="false">RIGHT(TEXT(B907, "YYYY-MM-DD"), 2)</f>
        <v>10</v>
      </c>
    </row>
    <row r="908" customFormat="false" ht="15" hidden="false" customHeight="false" outlineLevel="0" collapsed="false">
      <c r="A908" s="43" t="n">
        <v>904</v>
      </c>
      <c r="B908" s="44" t="s">
        <v>124</v>
      </c>
      <c r="C908" s="43" t="n">
        <v>1</v>
      </c>
      <c r="D908" s="33" t="str">
        <f aca="false">VLOOKUP(C908, Lookups_Metadata!$A$4:$B$7, 2, FALSE())</f>
        <v>Spring</v>
      </c>
      <c r="E908" s="43" t="n">
        <v>0</v>
      </c>
      <c r="F908" s="43" t="n">
        <v>2</v>
      </c>
      <c r="G908" s="43" t="n">
        <v>4</v>
      </c>
      <c r="H908" s="45" t="b">
        <f aca="false">FALSE()</f>
        <v>0</v>
      </c>
      <c r="I908" s="43" t="n">
        <v>4</v>
      </c>
      <c r="J908" s="33" t="str">
        <f aca="false">INDEX(Lookups_Metadata!$E$4:$E$10, MATCH(I908, Lookups_Metadata!$D$4:$D$10, 0))</f>
        <v>Thursday</v>
      </c>
      <c r="K908" s="33" t="str">
        <f aca="false">IF(H908=TRUE(),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   <v>Off-Peak</v>
      </c>
      <c r="M908" s="43" t="n">
        <v>2</v>
      </c>
      <c r="N908" s="33" t="str">
        <f aca="false">VLOOKUP(M908, Lookups_Metadata!$G$4:$H$7, 2, FALSE())</f>
        <v>Mist / Cloudy</v>
      </c>
      <c r="O908" s="46" t="n">
        <v>0.14</v>
      </c>
      <c r="P908" s="46" t="n">
        <v>0.1364</v>
      </c>
      <c r="Q908" s="46" t="n">
        <f aca="false">IF(OR(P908="", ISBLANK(P908)), ROUND(0.9367*O908+0.0175, 4), P908)</f>
        <v>0.1364</v>
      </c>
      <c r="R908" s="33" t="str">
        <f aca="false">IF(OR(P908="", ISBLANK(P908)), "Imputed (Regression/Trend)", "Original")</f>
        <v>Original</v>
      </c>
      <c r="S908" s="46" t="n">
        <v>0.59</v>
      </c>
      <c r="T908" s="46" t="n">
        <v>0.2239</v>
      </c>
      <c r="U908" s="18" t="n">
        <v>0</v>
      </c>
      <c r="V908" s="18" t="n">
        <v>1</v>
      </c>
      <c r="W908" s="18" t="n">
        <f aca="false">U908+V908</f>
        <v>1</v>
      </c>
      <c r="X908" s="47" t="n">
        <f aca="false">U908/W908</f>
        <v>0</v>
      </c>
      <c r="Y908" s="47" t="n">
        <f aca="false">V908/W908</f>
        <v>1</v>
      </c>
      <c r="Z908" s="33" t="str">
        <f aca="false">IF(W908&gt;=150, "High Demand", IF(W908&gt;=50, "Moderate Demand", "Low Demand"))</f>
        <v>Low Demand</v>
      </c>
      <c r="AA908" s="45" t="str">
        <f aca="false">TEXT(G908, "00") &amp; ":00"</f>
        <v>04:00</v>
      </c>
      <c r="AB908" s="43" t="n">
        <f aca="false">YEAR(B908)</f>
        <v>2011</v>
      </c>
      <c r="AC908" s="33" t="str">
        <f aca="false">TEXT(B908, "mmmm")</f>
        <v>February</v>
      </c>
      <c r="AD908" s="43" t="n">
        <f aca="false">LEN(TEXT(B908, "YYYY-MM-DD"))</f>
        <v>10</v>
      </c>
      <c r="AE908" s="45" t="str">
        <f aca="false">LEFT(TEXT(B908, "YYYY-MM-DD"), 4)</f>
        <v>2011</v>
      </c>
      <c r="AF908" s="45" t="str">
        <f aca="false">RIGHT(TEXT(B908, "YYYY-MM-DD"), 2)</f>
        <v>10</v>
      </c>
    </row>
    <row r="909" customFormat="false" ht="15" hidden="false" customHeight="false" outlineLevel="0" collapsed="false">
      <c r="A909" s="37" t="n">
        <v>905</v>
      </c>
      <c r="B909" s="38" t="s">
        <v>124</v>
      </c>
      <c r="C909" s="37" t="n">
        <v>1</v>
      </c>
      <c r="D909" s="35" t="str">
        <f aca="false">VLOOKUP(C909, Lookups_Metadata!$A$4:$B$7, 2, FALSE())</f>
        <v>Spring</v>
      </c>
      <c r="E909" s="37" t="n">
        <v>0</v>
      </c>
      <c r="F909" s="37" t="n">
        <v>2</v>
      </c>
      <c r="G909" s="37" t="n">
        <v>5</v>
      </c>
      <c r="H909" s="39" t="b">
        <f aca="false">FALSE()</f>
        <v>0</v>
      </c>
      <c r="I909" s="37" t="n">
        <v>4</v>
      </c>
      <c r="J909" s="35" t="str">
        <f aca="false">INDEX(Lookups_Metadata!$E$4:$E$10, MATCH(I909, Lookups_Metadata!$D$4:$D$10, 0))</f>
        <v>Thursday</v>
      </c>
      <c r="K909" s="35" t="str">
        <f aca="false">IF(H909=TRUE(), "Holiday", IF(OR(I909=0, I909=6), "Weekend", "Weekday"))</f>
        <v>Weekday</v>
      </c>
      <c r="L909" s="35" t="str">
        <f aca="false">IF(AND(K909="Weekday", OR(AND(G909&gt;=7, G909&lt;=9), AND(G909&gt;=17, G909&lt;=19))), "Peak Commute", "Off-Peak")</f>
        <v>Off-Peak</v>
      </c>
      <c r="M909" s="37" t="n">
        <v>2</v>
      </c>
      <c r="N909" s="35" t="str">
        <f aca="false">VLOOKUP(M909, Lookups_Metadata!$G$4:$H$7, 2, FALSE())</f>
        <v>Mist / Cloudy</v>
      </c>
      <c r="O909" s="40" t="n">
        <v>0.12</v>
      </c>
      <c r="P909" s="40" t="n">
        <v>0.1212</v>
      </c>
      <c r="Q909" s="40" t="n">
        <f aca="false">IF(OR(P909="", ISBLANK(P909)), ROUND(0.9367*O909+0.0175, 4), P909)</f>
        <v>0.1212</v>
      </c>
      <c r="R909" s="35" t="str">
        <f aca="false">IF(OR(P909="", ISBLANK(P909)), "Imputed (Regression/Trend)", "Original")</f>
        <v>Original</v>
      </c>
      <c r="S909" s="40" t="n">
        <v>0.5</v>
      </c>
      <c r="T909" s="40" t="n">
        <v>0.2239</v>
      </c>
      <c r="U909" s="41" t="n">
        <v>0</v>
      </c>
      <c r="V909" s="41" t="n">
        <v>6</v>
      </c>
      <c r="W909" s="41" t="n">
        <f aca="false">U909+V909</f>
        <v>6</v>
      </c>
      <c r="X909" s="42" t="n">
        <f aca="false">U909/W909</f>
        <v>0</v>
      </c>
      <c r="Y909" s="42" t="n">
        <f aca="false">V909/W909</f>
        <v>1</v>
      </c>
      <c r="Z909" s="35" t="str">
        <f aca="false">IF(W909&gt;=150, "High Demand", IF(W909&gt;=50, "Moderate Demand", "Low Demand"))</f>
        <v>Low Demand</v>
      </c>
      <c r="AA909" s="39" t="str">
        <f aca="false">TEXT(G909, "00") &amp; ":00"</f>
        <v>05:00</v>
      </c>
      <c r="AB909" s="37" t="n">
        <f aca="false">YEAR(B909)</f>
        <v>2011</v>
      </c>
      <c r="AC909" s="35" t="str">
        <f aca="false">TEXT(B909, "mmmm")</f>
        <v>February</v>
      </c>
      <c r="AD909" s="37" t="n">
        <f aca="false">LEN(TEXT(B909, "YYYY-MM-DD"))</f>
        <v>10</v>
      </c>
      <c r="AE909" s="39" t="str">
        <f aca="false">LEFT(TEXT(B909, "YYYY-MM-DD"), 4)</f>
        <v>2011</v>
      </c>
      <c r="AF909" s="39" t="str">
        <f aca="false">RIGHT(TEXT(B909, "YYYY-MM-DD"), 2)</f>
        <v>10</v>
      </c>
    </row>
    <row r="910" customFormat="false" ht="15" hidden="false" customHeight="false" outlineLevel="0" collapsed="false">
      <c r="A910" s="43" t="n">
        <v>906</v>
      </c>
      <c r="B910" s="44" t="s">
        <v>124</v>
      </c>
      <c r="C910" s="43" t="n">
        <v>1</v>
      </c>
      <c r="D910" s="33" t="str">
        <f aca="false">VLOOKUP(C910, Lookups_Metadata!$A$4:$B$7, 2, FALSE())</f>
        <v>Spring</v>
      </c>
      <c r="E910" s="43" t="n">
        <v>0</v>
      </c>
      <c r="F910" s="43" t="n">
        <v>2</v>
      </c>
      <c r="G910" s="43" t="n">
        <v>6</v>
      </c>
      <c r="H910" s="45" t="b">
        <f aca="false">FALSE()</f>
        <v>0</v>
      </c>
      <c r="I910" s="43" t="n">
        <v>4</v>
      </c>
      <c r="J910" s="33" t="str">
        <f aca="false">INDEX(Lookups_Metadata!$E$4:$E$10, MATCH(I910, Lookups_Metadata!$D$4:$D$10, 0))</f>
        <v>Thursday</v>
      </c>
      <c r="K910" s="33" t="str">
        <f aca="false">IF(H910=TRUE(), "Holiday", IF(OR(I910=0, I910=6), "Weekend", "Weekday"))</f>
        <v>Weekday</v>
      </c>
      <c r="L910" s="33" t="str">
        <f aca="false">IF(AND(K910="Weekday", OR(AND(G910&gt;=7, G910&lt;=9), AND(G910&gt;=17, G910&lt;=19))), "Peak Commute", "Off-Peak")</f>
        <v>Off-Peak</v>
      </c>
      <c r="M910" s="43" t="n">
        <v>2</v>
      </c>
      <c r="N910" s="33" t="str">
        <f aca="false">VLOOKUP(M910, Lookups_Metadata!$G$4:$H$7, 2, FALSE())</f>
        <v>Mist / Cloudy</v>
      </c>
      <c r="O910" s="46" t="n">
        <v>0.12</v>
      </c>
      <c r="P910" s="46" t="n">
        <v>0.1212</v>
      </c>
      <c r="Q910" s="46" t="n">
        <f aca="false">IF(OR(P910="", ISBLANK(P910)), ROUND(0.9367*O910+0.0175, 4), P910)</f>
        <v>0.1212</v>
      </c>
      <c r="R910" s="33" t="str">
        <f aca="false">IF(OR(P910="", ISBLANK(P910)), "Imputed (Regression/Trend)", "Original")</f>
        <v>Original</v>
      </c>
      <c r="S910" s="46" t="n">
        <v>0.54</v>
      </c>
      <c r="T910" s="46" t="n">
        <v>0.2836</v>
      </c>
      <c r="U910" s="18" t="n">
        <v>0</v>
      </c>
      <c r="V910" s="18" t="n">
        <v>26</v>
      </c>
      <c r="W910" s="18" t="n">
        <f aca="false">U910+V910</f>
        <v>26</v>
      </c>
      <c r="X910" s="47" t="n">
        <f aca="false">U910/W910</f>
        <v>0</v>
      </c>
      <c r="Y910" s="47" t="n">
        <f aca="false">V910/W910</f>
        <v>1</v>
      </c>
      <c r="Z910" s="33" t="str">
        <f aca="false">IF(W910&gt;=150, "High Demand", IF(W910&gt;=50, "Moderate Demand", "Low Demand"))</f>
        <v>Low Demand</v>
      </c>
      <c r="AA910" s="45" t="str">
        <f aca="false">TEXT(G910, "00") &amp; ":00"</f>
        <v>06:00</v>
      </c>
      <c r="AB910" s="43" t="n">
        <f aca="false">YEAR(B910)</f>
        <v>2011</v>
      </c>
      <c r="AC910" s="33" t="str">
        <f aca="false">TEXT(B910, "mmmm")</f>
        <v>February</v>
      </c>
      <c r="AD910" s="43" t="n">
        <f aca="false">LEN(TEXT(B910, "YYYY-MM-DD"))</f>
        <v>10</v>
      </c>
      <c r="AE910" s="45" t="str">
        <f aca="false">LEFT(TEXT(B910, "YYYY-MM-DD"), 4)</f>
        <v>2011</v>
      </c>
      <c r="AF910" s="45" t="str">
        <f aca="false">RIGHT(TEXT(B910, "YYYY-MM-DD"), 2)</f>
        <v>10</v>
      </c>
    </row>
    <row r="911" customFormat="false" ht="15" hidden="false" customHeight="false" outlineLevel="0" collapsed="false">
      <c r="A911" s="37" t="n">
        <v>907</v>
      </c>
      <c r="B911" s="38" t="s">
        <v>124</v>
      </c>
      <c r="C911" s="37" t="n">
        <v>1</v>
      </c>
      <c r="D911" s="35" t="str">
        <f aca="false">VLOOKUP(C911, Lookups_Metadata!$A$4:$B$7, 2, FALSE())</f>
        <v>Spring</v>
      </c>
      <c r="E911" s="37" t="n">
        <v>0</v>
      </c>
      <c r="F911" s="37" t="n">
        <v>2</v>
      </c>
      <c r="G911" s="37" t="n">
        <v>7</v>
      </c>
      <c r="H911" s="39" t="b">
        <f aca="false">FALSE()</f>
        <v>0</v>
      </c>
      <c r="I911" s="37" t="n">
        <v>4</v>
      </c>
      <c r="J911" s="35" t="str">
        <f aca="false">INDEX(Lookups_Metadata!$E$4:$E$10, MATCH(I911, Lookups_Metadata!$D$4:$D$10, 0))</f>
        <v>Thursday</v>
      </c>
      <c r="K911" s="35" t="str">
        <f aca="false">IF(H911=TRUE(), "Holiday", IF(OR(I911=0, I911=6), "Weekend", "Weekday"))</f>
        <v>Weekday</v>
      </c>
      <c r="L911" s="35" t="str">
        <f aca="false">IF(AND(K911="Weekday", OR(AND(G911&gt;=7, G911&lt;=9), AND(G911&gt;=17, G911&lt;=19))), "Peak Commute", "Off-Peak")</f>
        <v>Peak Commute</v>
      </c>
      <c r="M911" s="37" t="n">
        <v>1</v>
      </c>
      <c r="N911" s="35" t="str">
        <f aca="false">VLOOKUP(M911, Lookups_Metadata!$G$4:$H$7, 2, FALSE())</f>
        <v>Clear / Few Clouds</v>
      </c>
      <c r="O911" s="40" t="n">
        <v>0.1</v>
      </c>
      <c r="P911" s="40" t="n">
        <v>0.0758</v>
      </c>
      <c r="Q911" s="40" t="n">
        <f aca="false">IF(OR(P911="", ISBLANK(P911)), ROUND(0.9367*O911+0.0175, 4), P911)</f>
        <v>0.0758</v>
      </c>
      <c r="R911" s="35" t="str">
        <f aca="false">IF(OR(P911="", ISBLANK(P911)), "Imputed (Regression/Trend)", "Original")</f>
        <v>Original</v>
      </c>
      <c r="S911" s="40" t="n">
        <v>0.5</v>
      </c>
      <c r="T911" s="40" t="n">
        <v>0.4179</v>
      </c>
      <c r="U911" s="41" t="n">
        <v>0</v>
      </c>
      <c r="V911" s="41" t="n">
        <v>99</v>
      </c>
      <c r="W911" s="41" t="n">
        <f aca="false">U911+V911</f>
        <v>99</v>
      </c>
      <c r="X911" s="42" t="n">
        <f aca="false">U911/W911</f>
        <v>0</v>
      </c>
      <c r="Y911" s="42" t="n">
        <f aca="false">V911/W911</f>
        <v>1</v>
      </c>
      <c r="Z911" s="35" t="str">
        <f aca="false">IF(W911&gt;=150, "High Demand", IF(W911&gt;=50, "Moderate Demand", "Low Demand"))</f>
        <v>Moderate Demand</v>
      </c>
      <c r="AA911" s="39" t="str">
        <f aca="false">TEXT(G911, "00") &amp; ":00"</f>
        <v>07:00</v>
      </c>
      <c r="AB911" s="37" t="n">
        <f aca="false">YEAR(B911)</f>
        <v>2011</v>
      </c>
      <c r="AC911" s="35" t="str">
        <f aca="false">TEXT(B911, "mmmm")</f>
        <v>February</v>
      </c>
      <c r="AD911" s="37" t="n">
        <f aca="false">LEN(TEXT(B911, "YYYY-MM-DD"))</f>
        <v>10</v>
      </c>
      <c r="AE911" s="39" t="str">
        <f aca="false">LEFT(TEXT(B911, "YYYY-MM-DD"), 4)</f>
        <v>2011</v>
      </c>
      <c r="AF911" s="39" t="str">
        <f aca="false">RIGHT(TEXT(B911, "YYYY-MM-DD"), 2)</f>
        <v>10</v>
      </c>
    </row>
    <row r="912" customFormat="false" ht="15" hidden="false" customHeight="false" outlineLevel="0" collapsed="false">
      <c r="A912" s="43" t="n">
        <v>908</v>
      </c>
      <c r="B912" s="44" t="s">
        <v>124</v>
      </c>
      <c r="C912" s="43" t="n">
        <v>1</v>
      </c>
      <c r="D912" s="33" t="str">
        <f aca="false">VLOOKUP(C912, Lookups_Metadata!$A$4:$B$7, 2, FALSE())</f>
        <v>Spring</v>
      </c>
      <c r="E912" s="43" t="n">
        <v>0</v>
      </c>
      <c r="F912" s="43" t="n">
        <v>2</v>
      </c>
      <c r="G912" s="43" t="n">
        <v>8</v>
      </c>
      <c r="H912" s="45" t="b">
        <f aca="false">FALSE()</f>
        <v>0</v>
      </c>
      <c r="I912" s="43" t="n">
        <v>4</v>
      </c>
      <c r="J912" s="33" t="str">
        <f aca="false">INDEX(Lookups_Metadata!$E$4:$E$10, MATCH(I912, Lookups_Metadata!$D$4:$D$10, 0))</f>
        <v>Thursday</v>
      </c>
      <c r="K912" s="33" t="str">
        <f aca="false">IF(H912=TRUE(), "Holiday", IF(OR(I912=0, I912=6), "Weekend", "Weekday"))</f>
        <v>Weekday</v>
      </c>
      <c r="L912" s="33" t="str">
        <f aca="false">IF(AND(K912="Weekday", OR(AND(G912&gt;=7, G912&lt;=9), AND(G912&gt;=17, G912&lt;=19))), "Peak Commute", "Off-Peak")</f>
        <v>Peak Commute</v>
      </c>
      <c r="M912" s="43" t="n">
        <v>1</v>
      </c>
      <c r="N912" s="33" t="str">
        <f aca="false">VLOOKUP(M912, Lookups_Metadata!$G$4:$H$7, 2, FALSE())</f>
        <v>Clear / Few Clouds</v>
      </c>
      <c r="O912" s="46" t="n">
        <v>0.1</v>
      </c>
      <c r="P912" s="46" t="n">
        <v>0.0758</v>
      </c>
      <c r="Q912" s="46" t="n">
        <f aca="false">IF(OR(P912="", ISBLANK(P912)), ROUND(0.9367*O912+0.0175, 4), P912)</f>
        <v>0.0758</v>
      </c>
      <c r="R912" s="33" t="str">
        <f aca="false">IF(OR(P912="", ISBLANK(P912)), "Imputed (Regression/Trend)", "Original")</f>
        <v>Original</v>
      </c>
      <c r="S912" s="46" t="n">
        <v>0.49</v>
      </c>
      <c r="T912" s="46" t="n">
        <v>0.3284</v>
      </c>
      <c r="U912" s="18" t="n">
        <v>5</v>
      </c>
      <c r="V912" s="18" t="n">
        <v>173</v>
      </c>
      <c r="W912" s="18" t="n">
        <f aca="false">U912+V912</f>
        <v>178</v>
      </c>
      <c r="X912" s="47" t="n">
        <f aca="false">U912/W912</f>
        <v>0.0280898876404494</v>
      </c>
      <c r="Y912" s="47" t="n">
        <f aca="false">V912/W912</f>
        <v>0.971910112359551</v>
      </c>
      <c r="Z912" s="33" t="str">
        <f aca="false">IF(W912&gt;=150, "High Demand", IF(W912&gt;=50, "Moderate Demand", "Low Demand"))</f>
        <v>High Demand</v>
      </c>
      <c r="AA912" s="45" t="str">
        <f aca="false">TEXT(G912, "00") &amp; ":00"</f>
        <v>08:00</v>
      </c>
      <c r="AB912" s="43" t="n">
        <f aca="false">YEAR(B912)</f>
        <v>2011</v>
      </c>
      <c r="AC912" s="33" t="str">
        <f aca="false">TEXT(B912, "mmmm")</f>
        <v>February</v>
      </c>
      <c r="AD912" s="43" t="n">
        <f aca="false">LEN(TEXT(B912, "YYYY-MM-DD"))</f>
        <v>10</v>
      </c>
      <c r="AE912" s="45" t="str">
        <f aca="false">LEFT(TEXT(B912, "YYYY-MM-DD"), 4)</f>
        <v>2011</v>
      </c>
      <c r="AF912" s="45" t="str">
        <f aca="false">RIGHT(TEXT(B912, "YYYY-MM-DD"), 2)</f>
        <v>10</v>
      </c>
    </row>
    <row r="913" customFormat="false" ht="15" hidden="false" customHeight="false" outlineLevel="0" collapsed="false">
      <c r="A913" s="37" t="n">
        <v>909</v>
      </c>
      <c r="B913" s="38" t="s">
        <v>124</v>
      </c>
      <c r="C913" s="37" t="n">
        <v>1</v>
      </c>
      <c r="D913" s="35" t="str">
        <f aca="false">VLOOKUP(C913, Lookups_Metadata!$A$4:$B$7, 2, FALSE())</f>
        <v>Spring</v>
      </c>
      <c r="E913" s="37" t="n">
        <v>0</v>
      </c>
      <c r="F913" s="37" t="n">
        <v>2</v>
      </c>
      <c r="G913" s="37" t="n">
        <v>9</v>
      </c>
      <c r="H913" s="39" t="b">
        <f aca="false">FALSE()</f>
        <v>0</v>
      </c>
      <c r="I913" s="37" t="n">
        <v>4</v>
      </c>
      <c r="J913" s="35" t="str">
        <f aca="false">INDEX(Lookups_Metadata!$E$4:$E$10, MATCH(I913, Lookups_Metadata!$D$4:$D$10, 0))</f>
        <v>Thursday</v>
      </c>
      <c r="K913" s="35" t="str">
        <f aca="false">IF(H913=TRUE(), "Holiday", IF(OR(I913=0, I913=6), "Weekend", "Weekday"))</f>
        <v>Weekday</v>
      </c>
      <c r="L913" s="35" t="str">
        <f aca="false">IF(AND(K913="Weekday", OR(AND(G913&gt;=7, G913&lt;=9), AND(G913&gt;=17, G913&lt;=19))), "Peak Commute", "Off-Peak")</f>
        <v>Peak Commute</v>
      </c>
      <c r="M913" s="37" t="n">
        <v>1</v>
      </c>
      <c r="N913" s="35" t="str">
        <f aca="false">VLOOKUP(M913, Lookups_Metadata!$G$4:$H$7, 2, FALSE())</f>
        <v>Clear / Few Clouds</v>
      </c>
      <c r="O913" s="40" t="n">
        <v>0.12</v>
      </c>
      <c r="P913" s="40" t="n">
        <v>0.1061</v>
      </c>
      <c r="Q913" s="40" t="n">
        <f aca="false">IF(OR(P913="", ISBLANK(P913)), ROUND(0.9367*O913+0.0175, 4), P913)</f>
        <v>0.1061</v>
      </c>
      <c r="R913" s="35" t="str">
        <f aca="false">IF(OR(P913="", ISBLANK(P913)), "Imputed (Regression/Trend)", "Original")</f>
        <v>Original</v>
      </c>
      <c r="S913" s="40" t="n">
        <v>0.42</v>
      </c>
      <c r="T913" s="40" t="n">
        <v>0.3582</v>
      </c>
      <c r="U913" s="41" t="n">
        <v>1</v>
      </c>
      <c r="V913" s="41" t="n">
        <v>121</v>
      </c>
      <c r="W913" s="41" t="n">
        <f aca="false">U913+V913</f>
        <v>122</v>
      </c>
      <c r="X913" s="42" t="n">
        <f aca="false">U913/W913</f>
        <v>0.00819672131147541</v>
      </c>
      <c r="Y913" s="42" t="n">
        <f aca="false">V913/W913</f>
        <v>0.991803278688525</v>
      </c>
      <c r="Z913" s="35" t="str">
        <f aca="false">IF(W913&gt;=150, "High Demand", IF(W913&gt;=50, "Moderate Demand", "Low Demand"))</f>
        <v>Moderate Demand</v>
      </c>
      <c r="AA913" s="39" t="str">
        <f aca="false">TEXT(G913, "00") &amp; ":00"</f>
        <v>09:00</v>
      </c>
      <c r="AB913" s="37" t="n">
        <f aca="false">YEAR(B913)</f>
        <v>2011</v>
      </c>
      <c r="AC913" s="35" t="str">
        <f aca="false">TEXT(B913, "mmmm")</f>
        <v>February</v>
      </c>
      <c r="AD913" s="37" t="n">
        <f aca="false">LEN(TEXT(B913, "YYYY-MM-DD"))</f>
        <v>10</v>
      </c>
      <c r="AE913" s="39" t="str">
        <f aca="false">LEFT(TEXT(B913, "YYYY-MM-DD"), 4)</f>
        <v>2011</v>
      </c>
      <c r="AF913" s="39" t="str">
        <f aca="false">RIGHT(TEXT(B913, "YYYY-MM-DD"), 2)</f>
        <v>10</v>
      </c>
    </row>
    <row r="914" customFormat="false" ht="15" hidden="false" customHeight="false" outlineLevel="0" collapsed="false">
      <c r="A914" s="43" t="n">
        <v>910</v>
      </c>
      <c r="B914" s="44" t="s">
        <v>124</v>
      </c>
      <c r="C914" s="43" t="n">
        <v>1</v>
      </c>
      <c r="D914" s="33" t="str">
        <f aca="false">VLOOKUP(C914, Lookups_Metadata!$A$4:$B$7, 2, FALSE())</f>
        <v>Spring</v>
      </c>
      <c r="E914" s="43" t="n">
        <v>0</v>
      </c>
      <c r="F914" s="43" t="n">
        <v>2</v>
      </c>
      <c r="G914" s="43" t="n">
        <v>10</v>
      </c>
      <c r="H914" s="45" t="b">
        <f aca="false">FALSE()</f>
        <v>0</v>
      </c>
      <c r="I914" s="43" t="n">
        <v>4</v>
      </c>
      <c r="J914" s="33" t="str">
        <f aca="false">INDEX(Lookups_Metadata!$E$4:$E$10, MATCH(I914, Lookups_Metadata!$D$4:$D$10, 0))</f>
        <v>Thursday</v>
      </c>
      <c r="K914" s="33" t="str">
        <f aca="false">IF(H914=TRUE(), "Holiday", IF(OR(I914=0, I914=6), "Weekend", "Weekday"))</f>
        <v>Weekday</v>
      </c>
      <c r="L914" s="33" t="str">
        <f aca="false">IF(AND(K914="Weekday", OR(AND(G914&gt;=7, G914&lt;=9), AND(G914&gt;=17, G914&lt;=19))), "Peak Commute", "Off-Peak")</f>
        <v>Off-Peak</v>
      </c>
      <c r="M914" s="43" t="n">
        <v>1</v>
      </c>
      <c r="N914" s="33" t="str">
        <f aca="false">VLOOKUP(M914, Lookups_Metadata!$G$4:$H$7, 2, FALSE())</f>
        <v>Clear / Few Clouds</v>
      </c>
      <c r="O914" s="46" t="n">
        <v>0.12</v>
      </c>
      <c r="P914" s="46" t="n">
        <v>0.1061</v>
      </c>
      <c r="Q914" s="46" t="n">
        <f aca="false">IF(OR(P914="", ISBLANK(P914)), ROUND(0.9367*O914+0.0175, 4), P914)</f>
        <v>0.1061</v>
      </c>
      <c r="R914" s="33" t="str">
        <f aca="false">IF(OR(P914="", ISBLANK(P914)), "Imputed (Regression/Trend)", "Original")</f>
        <v>Original</v>
      </c>
      <c r="S914" s="46" t="n">
        <v>0.42</v>
      </c>
      <c r="T914" s="46" t="n">
        <v>0.2985</v>
      </c>
      <c r="U914" s="18" t="n">
        <v>1</v>
      </c>
      <c r="V914" s="18" t="n">
        <v>34</v>
      </c>
      <c r="W914" s="18" t="n">
        <f aca="false">U914+V914</f>
        <v>35</v>
      </c>
      <c r="X914" s="47" t="n">
        <f aca="false">U914/W914</f>
        <v>0.0285714285714286</v>
      </c>
      <c r="Y914" s="47" t="n">
        <f aca="false">V914/W914</f>
        <v>0.971428571428571</v>
      </c>
      <c r="Z914" s="33" t="str">
        <f aca="false">IF(W914&gt;=150, "High Demand", IF(W914&gt;=50, "Moderate Demand", "Low Demand"))</f>
        <v>Low Demand</v>
      </c>
      <c r="AA914" s="45" t="str">
        <f aca="false">TEXT(G914, "00") &amp; ":00"</f>
        <v>10:00</v>
      </c>
      <c r="AB914" s="43" t="n">
        <f aca="false">YEAR(B914)</f>
        <v>2011</v>
      </c>
      <c r="AC914" s="33" t="str">
        <f aca="false">TEXT(B914, "mmmm")</f>
        <v>February</v>
      </c>
      <c r="AD914" s="43" t="n">
        <f aca="false">LEN(TEXT(B914, "YYYY-MM-DD"))</f>
        <v>10</v>
      </c>
      <c r="AE914" s="45" t="str">
        <f aca="false">LEFT(TEXT(B914, "YYYY-MM-DD"), 4)</f>
        <v>2011</v>
      </c>
      <c r="AF914" s="45" t="str">
        <f aca="false">RIGHT(TEXT(B914, "YYYY-MM-DD"), 2)</f>
        <v>10</v>
      </c>
    </row>
    <row r="915" customFormat="false" ht="15" hidden="false" customHeight="false" outlineLevel="0" collapsed="false">
      <c r="A915" s="37" t="n">
        <v>911</v>
      </c>
      <c r="B915" s="38" t="s">
        <v>124</v>
      </c>
      <c r="C915" s="37" t="n">
        <v>1</v>
      </c>
      <c r="D915" s="35" t="str">
        <f aca="false">VLOOKUP(C915, Lookups_Metadata!$A$4:$B$7, 2, FALSE())</f>
        <v>Spring</v>
      </c>
      <c r="E915" s="37" t="n">
        <v>0</v>
      </c>
      <c r="F915" s="37" t="n">
        <v>2</v>
      </c>
      <c r="G915" s="37" t="n">
        <v>11</v>
      </c>
      <c r="H915" s="39" t="b">
        <f aca="false">FALSE()</f>
        <v>0</v>
      </c>
      <c r="I915" s="37" t="n">
        <v>4</v>
      </c>
      <c r="J915" s="35" t="str">
        <f aca="false">INDEX(Lookups_Metadata!$E$4:$E$10, MATCH(I915, Lookups_Metadata!$D$4:$D$10, 0))</f>
        <v>Thursday</v>
      </c>
      <c r="K915" s="35" t="str">
        <f aca="false">IF(H915=TRUE(), "Holiday", IF(OR(I915=0, I915=6), "Weekend", "Weekday"))</f>
        <v>Weekday</v>
      </c>
      <c r="L915" s="35" t="str">
        <f aca="false">IF(AND(K915="Weekday", OR(AND(G915&gt;=7, G915&lt;=9), AND(G915&gt;=17, G915&lt;=19))), "Peak Commute", "Off-Peak")</f>
        <v>Off-Peak</v>
      </c>
      <c r="M915" s="37" t="n">
        <v>1</v>
      </c>
      <c r="N915" s="35" t="str">
        <f aca="false">VLOOKUP(M915, Lookups_Metadata!$G$4:$H$7, 2, FALSE())</f>
        <v>Clear / Few Clouds</v>
      </c>
      <c r="O915" s="40" t="n">
        <v>0.14</v>
      </c>
      <c r="P915" s="40" t="n">
        <v>0.1212</v>
      </c>
      <c r="Q915" s="40" t="n">
        <f aca="false">IF(OR(P915="", ISBLANK(P915)), ROUND(0.9367*O915+0.0175, 4), P915)</f>
        <v>0.1212</v>
      </c>
      <c r="R915" s="35" t="str">
        <f aca="false">IF(OR(P915="", ISBLANK(P915)), "Imputed (Regression/Trend)", "Original")</f>
        <v>Original</v>
      </c>
      <c r="S915" s="40" t="n">
        <v>0.39</v>
      </c>
      <c r="T915" s="40" t="n">
        <v>0.3582</v>
      </c>
      <c r="U915" s="41" t="n">
        <v>1</v>
      </c>
      <c r="V915" s="41" t="n">
        <v>44</v>
      </c>
      <c r="W915" s="41" t="n">
        <f aca="false">U915+V915</f>
        <v>45</v>
      </c>
      <c r="X915" s="42" t="n">
        <f aca="false">U915/W915</f>
        <v>0.0222222222222222</v>
      </c>
      <c r="Y915" s="42" t="n">
        <f aca="false">V915/W915</f>
        <v>0.977777777777778</v>
      </c>
      <c r="Z915" s="35" t="str">
        <f aca="false">IF(W915&gt;=150, "High Demand", IF(W915&gt;=50, "Moderate Demand", "Low Demand"))</f>
        <v>Low Demand</v>
      </c>
      <c r="AA915" s="39" t="str">
        <f aca="false">TEXT(G915, "00") &amp; ":00"</f>
        <v>11:00</v>
      </c>
      <c r="AB915" s="37" t="n">
        <f aca="false">YEAR(B915)</f>
        <v>2011</v>
      </c>
      <c r="AC915" s="35" t="str">
        <f aca="false">TEXT(B915, "mmmm")</f>
        <v>February</v>
      </c>
      <c r="AD915" s="37" t="n">
        <f aca="false">LEN(TEXT(B915, "YYYY-MM-DD"))</f>
        <v>10</v>
      </c>
      <c r="AE915" s="39" t="str">
        <f aca="false">LEFT(TEXT(B915, "YYYY-MM-DD"), 4)</f>
        <v>2011</v>
      </c>
      <c r="AF915" s="39" t="str">
        <f aca="false">RIGHT(TEXT(B915, "YYYY-MM-DD"), 2)</f>
        <v>10</v>
      </c>
    </row>
    <row r="916" customFormat="false" ht="15" hidden="false" customHeight="false" outlineLevel="0" collapsed="false">
      <c r="A916" s="43" t="n">
        <v>912</v>
      </c>
      <c r="B916" s="44" t="s">
        <v>124</v>
      </c>
      <c r="C916" s="43" t="n">
        <v>1</v>
      </c>
      <c r="D916" s="33" t="str">
        <f aca="false">VLOOKUP(C916, Lookups_Metadata!$A$4:$B$7, 2, FALSE())</f>
        <v>Spring</v>
      </c>
      <c r="E916" s="43" t="n">
        <v>0</v>
      </c>
      <c r="F916" s="43" t="n">
        <v>2</v>
      </c>
      <c r="G916" s="43" t="n">
        <v>12</v>
      </c>
      <c r="H916" s="45" t="b">
        <f aca="false">FALSE()</f>
        <v>0</v>
      </c>
      <c r="I916" s="43" t="n">
        <v>4</v>
      </c>
      <c r="J916" s="33" t="str">
        <f aca="false">INDEX(Lookups_Metadata!$E$4:$E$10, MATCH(I916, Lookups_Metadata!$D$4:$D$10, 0))</f>
        <v>Thursday</v>
      </c>
      <c r="K916" s="33" t="str">
        <f aca="false">IF(H916=TRUE(), "Holiday", IF(OR(I916=0, I916=6), "Weekend", "Weekday"))</f>
        <v>Weekday</v>
      </c>
      <c r="L916" s="33" t="str">
        <f aca="false">IF(AND(K916="Weekday", OR(AND(G916&gt;=7, G916&lt;=9), AND(G916&gt;=17, G916&lt;=19))), "Peak Commute", "Off-Peak")</f>
        <v>Off-Peak</v>
      </c>
      <c r="M916" s="43" t="n">
        <v>1</v>
      </c>
      <c r="N916" s="33" t="str">
        <f aca="false">VLOOKUP(M916, Lookups_Metadata!$G$4:$H$7, 2, FALSE())</f>
        <v>Clear / Few Clouds</v>
      </c>
      <c r="O916" s="46" t="n">
        <v>0.16</v>
      </c>
      <c r="P916" s="46" t="n">
        <v>0.1364</v>
      </c>
      <c r="Q916" s="46" t="n">
        <f aca="false">IF(OR(P916="", ISBLANK(P916)), ROUND(0.9367*O916+0.0175, 4), P916)</f>
        <v>0.1364</v>
      </c>
      <c r="R916" s="33" t="str">
        <f aca="false">IF(OR(P916="", ISBLANK(P916)), "Imputed (Regression/Trend)", "Original")</f>
        <v>Original</v>
      </c>
      <c r="S916" s="46" t="n">
        <v>0.34</v>
      </c>
      <c r="T916" s="46" t="n">
        <v>0.3881</v>
      </c>
      <c r="U916" s="18" t="n">
        <v>4</v>
      </c>
      <c r="V916" s="18" t="n">
        <v>65</v>
      </c>
      <c r="W916" s="18" t="n">
        <f aca="false">U916+V916</f>
        <v>69</v>
      </c>
      <c r="X916" s="47" t="n">
        <f aca="false">U916/W916</f>
        <v>0.0579710144927536</v>
      </c>
      <c r="Y916" s="47" t="n">
        <f aca="false">V916/W916</f>
        <v>0.942028985507246</v>
      </c>
      <c r="Z916" s="33" t="str">
        <f aca="false">IF(W916&gt;=150, "High Demand", IF(W916&gt;=50, "Moderate Demand", "Low Demand"))</f>
        <v>Moderate Demand</v>
      </c>
      <c r="AA916" s="45" t="str">
        <f aca="false">TEXT(G916, "00") &amp; ":00"</f>
        <v>12:00</v>
      </c>
      <c r="AB916" s="43" t="n">
        <f aca="false">YEAR(B916)</f>
        <v>2011</v>
      </c>
      <c r="AC916" s="33" t="str">
        <f aca="false">TEXT(B916, "mmmm")</f>
        <v>February</v>
      </c>
      <c r="AD916" s="43" t="n">
        <f aca="false">LEN(TEXT(B916, "YYYY-MM-DD"))</f>
        <v>10</v>
      </c>
      <c r="AE916" s="45" t="str">
        <f aca="false">LEFT(TEXT(B916, "YYYY-MM-DD"), 4)</f>
        <v>2011</v>
      </c>
      <c r="AF916" s="45" t="str">
        <f aca="false">RIGHT(TEXT(B916, "YYYY-MM-DD"), 2)</f>
        <v>10</v>
      </c>
    </row>
    <row r="917" customFormat="false" ht="15" hidden="false" customHeight="false" outlineLevel="0" collapsed="false">
      <c r="A917" s="37" t="n">
        <v>913</v>
      </c>
      <c r="B917" s="38" t="s">
        <v>124</v>
      </c>
      <c r="C917" s="37" t="n">
        <v>1</v>
      </c>
      <c r="D917" s="35" t="str">
        <f aca="false">VLOOKUP(C917, Lookups_Metadata!$A$4:$B$7, 2, FALSE())</f>
        <v>Spring</v>
      </c>
      <c r="E917" s="37" t="n">
        <v>0</v>
      </c>
      <c r="F917" s="37" t="n">
        <v>2</v>
      </c>
      <c r="G917" s="37" t="n">
        <v>13</v>
      </c>
      <c r="H917" s="39" t="b">
        <f aca="false">FALSE()</f>
        <v>0</v>
      </c>
      <c r="I917" s="37" t="n">
        <v>4</v>
      </c>
      <c r="J917" s="35" t="str">
        <f aca="false">INDEX(Lookups_Metadata!$E$4:$E$10, MATCH(I917, Lookups_Metadata!$D$4:$D$10, 0))</f>
        <v>Thursday</v>
      </c>
      <c r="K917" s="35" t="str">
        <f aca="false">IF(H917=TRUE(), "Holiday", IF(OR(I917=0, I917=6), "Weekend", "Weekday"))</f>
        <v>Weekday</v>
      </c>
      <c r="L917" s="35" t="str">
        <f aca="false">IF(AND(K917="Weekday", OR(AND(G917&gt;=7, G917&lt;=9), AND(G917&gt;=17, G917&lt;=19))), "Peak Commute", "Off-Peak")</f>
        <v>Off-Peak</v>
      </c>
      <c r="M917" s="37" t="n">
        <v>1</v>
      </c>
      <c r="N917" s="35" t="str">
        <f aca="false">VLOOKUP(M917, Lookups_Metadata!$G$4:$H$7, 2, FALSE())</f>
        <v>Clear / Few Clouds</v>
      </c>
      <c r="O917" s="40" t="n">
        <v>0.18</v>
      </c>
      <c r="P917" s="40" t="n">
        <v>0.1667</v>
      </c>
      <c r="Q917" s="40" t="n">
        <f aca="false">IF(OR(P917="", ISBLANK(P917)), ROUND(0.9367*O917+0.0175, 4), P917)</f>
        <v>0.1667</v>
      </c>
      <c r="R917" s="35" t="str">
        <f aca="false">IF(OR(P917="", ISBLANK(P917)), "Imputed (Regression/Trend)", "Original")</f>
        <v>Original</v>
      </c>
      <c r="S917" s="40" t="n">
        <v>0.29</v>
      </c>
      <c r="T917" s="40" t="n">
        <v>0.2985</v>
      </c>
      <c r="U917" s="41" t="n">
        <v>3</v>
      </c>
      <c r="V917" s="41" t="n">
        <v>59</v>
      </c>
      <c r="W917" s="41" t="n">
        <f aca="false">U917+V917</f>
        <v>62</v>
      </c>
      <c r="X917" s="42" t="n">
        <f aca="false">U917/W917</f>
        <v>0.0483870967741936</v>
      </c>
      <c r="Y917" s="42" t="n">
        <f aca="false">V917/W917</f>
        <v>0.951612903225807</v>
      </c>
      <c r="Z917" s="35" t="str">
        <f aca="false">IF(W917&gt;=150, "High Demand", IF(W917&gt;=50, "Moderate Demand", "Low Demand"))</f>
        <v>Moderate Demand</v>
      </c>
      <c r="AA917" s="39" t="str">
        <f aca="false">TEXT(G917, "00") &amp; ":00"</f>
        <v>13:00</v>
      </c>
      <c r="AB917" s="37" t="n">
        <f aca="false">YEAR(B917)</f>
        <v>2011</v>
      </c>
      <c r="AC917" s="35" t="str">
        <f aca="false">TEXT(B917, "mmmm")</f>
        <v>February</v>
      </c>
      <c r="AD917" s="37" t="n">
        <f aca="false">LEN(TEXT(B917, "YYYY-MM-DD"))</f>
        <v>10</v>
      </c>
      <c r="AE917" s="39" t="str">
        <f aca="false">LEFT(TEXT(B917, "YYYY-MM-DD"), 4)</f>
        <v>2011</v>
      </c>
      <c r="AF917" s="39" t="str">
        <f aca="false">RIGHT(TEXT(B917, "YYYY-MM-DD"), 2)</f>
        <v>10</v>
      </c>
    </row>
    <row r="918" customFormat="false" ht="15" hidden="false" customHeight="false" outlineLevel="0" collapsed="false">
      <c r="A918" s="43" t="n">
        <v>914</v>
      </c>
      <c r="B918" s="44" t="s">
        <v>124</v>
      </c>
      <c r="C918" s="43" t="n">
        <v>1</v>
      </c>
      <c r="D918" s="33" t="str">
        <f aca="false">VLOOKUP(C918, Lookups_Metadata!$A$4:$B$7, 2, FALSE())</f>
        <v>Spring</v>
      </c>
      <c r="E918" s="43" t="n">
        <v>0</v>
      </c>
      <c r="F918" s="43" t="n">
        <v>2</v>
      </c>
      <c r="G918" s="43" t="n">
        <v>14</v>
      </c>
      <c r="H918" s="45" t="b">
        <f aca="false">FALSE()</f>
        <v>0</v>
      </c>
      <c r="I918" s="43" t="n">
        <v>4</v>
      </c>
      <c r="J918" s="33" t="str">
        <f aca="false">INDEX(Lookups_Metadata!$E$4:$E$10, MATCH(I918, Lookups_Metadata!$D$4:$D$10, 0))</f>
        <v>Thursday</v>
      </c>
      <c r="K918" s="33" t="str">
        <f aca="false">IF(H918=TRUE(), "Holiday", IF(OR(I918=0, I918=6), "Weekend", "Weekday"))</f>
        <v>Weekday</v>
      </c>
      <c r="L918" s="33" t="str">
        <f aca="false">IF(AND(K918="Weekday", OR(AND(G918&gt;=7, G918&lt;=9), AND(G918&gt;=17, G918&lt;=19))), "Peak Commute", "Off-Peak")</f>
        <v>Off-Peak</v>
      </c>
      <c r="M918" s="43" t="n">
        <v>1</v>
      </c>
      <c r="N918" s="33" t="str">
        <f aca="false">VLOOKUP(M918, Lookups_Metadata!$G$4:$H$7, 2, FALSE())</f>
        <v>Clear / Few Clouds</v>
      </c>
      <c r="O918" s="46" t="n">
        <v>0.2</v>
      </c>
      <c r="P918" s="46" t="n">
        <v>0.1818</v>
      </c>
      <c r="Q918" s="46" t="n">
        <f aca="false">IF(OR(P918="", ISBLANK(P918)), ROUND(0.9367*O918+0.0175, 4), P918)</f>
        <v>0.1818</v>
      </c>
      <c r="R918" s="33" t="str">
        <f aca="false">IF(OR(P918="", ISBLANK(P918)), "Imputed (Regression/Trend)", "Original")</f>
        <v>Original</v>
      </c>
      <c r="S918" s="46" t="n">
        <v>0.27</v>
      </c>
      <c r="T918" s="46" t="n">
        <v>0.2836</v>
      </c>
      <c r="U918" s="18" t="n">
        <v>6</v>
      </c>
      <c r="V918" s="18" t="n">
        <v>42</v>
      </c>
      <c r="W918" s="18" t="n">
        <f aca="false">U918+V918</f>
        <v>48</v>
      </c>
      <c r="X918" s="47" t="n">
        <f aca="false">U918/W918</f>
        <v>0.125</v>
      </c>
      <c r="Y918" s="47" t="n">
        <f aca="false">V918/W918</f>
        <v>0.875</v>
      </c>
      <c r="Z918" s="33" t="str">
        <f aca="false">IF(W918&gt;=150, "High Demand", IF(W918&gt;=50, "Moderate Demand", "Low Demand"))</f>
        <v>Low Demand</v>
      </c>
      <c r="AA918" s="45" t="str">
        <f aca="false">TEXT(G918, "00") &amp; ":00"</f>
        <v>14:00</v>
      </c>
      <c r="AB918" s="43" t="n">
        <f aca="false">YEAR(B918)</f>
        <v>2011</v>
      </c>
      <c r="AC918" s="33" t="str">
        <f aca="false">TEXT(B918, "mmmm")</f>
        <v>February</v>
      </c>
      <c r="AD918" s="43" t="n">
        <f aca="false">LEN(TEXT(B918, "YYYY-MM-DD"))</f>
        <v>10</v>
      </c>
      <c r="AE918" s="45" t="str">
        <f aca="false">LEFT(TEXT(B918, "YYYY-MM-DD"), 4)</f>
        <v>2011</v>
      </c>
      <c r="AF918" s="45" t="str">
        <f aca="false">RIGHT(TEXT(B918, "YYYY-MM-DD"), 2)</f>
        <v>10</v>
      </c>
    </row>
    <row r="919" customFormat="false" ht="15" hidden="false" customHeight="false" outlineLevel="0" collapsed="false">
      <c r="A919" s="37" t="n">
        <v>915</v>
      </c>
      <c r="B919" s="38" t="s">
        <v>124</v>
      </c>
      <c r="C919" s="37" t="n">
        <v>1</v>
      </c>
      <c r="D919" s="35" t="str">
        <f aca="false">VLOOKUP(C919, Lookups_Metadata!$A$4:$B$7, 2, FALSE())</f>
        <v>Spring</v>
      </c>
      <c r="E919" s="37" t="n">
        <v>0</v>
      </c>
      <c r="F919" s="37" t="n">
        <v>2</v>
      </c>
      <c r="G919" s="37" t="n">
        <v>15</v>
      </c>
      <c r="H919" s="39" t="b">
        <f aca="false">FALSE()</f>
        <v>0</v>
      </c>
      <c r="I919" s="37" t="n">
        <v>4</v>
      </c>
      <c r="J919" s="35" t="str">
        <f aca="false">INDEX(Lookups_Metadata!$E$4:$E$10, MATCH(I919, Lookups_Metadata!$D$4:$D$10, 0))</f>
        <v>Thursday</v>
      </c>
      <c r="K919" s="35" t="str">
        <f aca="false">IF(H919=TRUE(), "Holiday", IF(OR(I919=0, I919=6), "Weekend", "Weekday"))</f>
        <v>Weekday</v>
      </c>
      <c r="L919" s="35" t="str">
        <f aca="false">IF(AND(K919="Weekday", OR(AND(G919&gt;=7, G919&lt;=9), AND(G919&gt;=17, G919&lt;=19))), "Peak Commute", "Off-Peak")</f>
        <v>Off-Peak</v>
      </c>
      <c r="M919" s="37" t="n">
        <v>1</v>
      </c>
      <c r="N919" s="35" t="str">
        <f aca="false">VLOOKUP(M919, Lookups_Metadata!$G$4:$H$7, 2, FALSE())</f>
        <v>Clear / Few Clouds</v>
      </c>
      <c r="O919" s="40" t="n">
        <v>0.2</v>
      </c>
      <c r="P919" s="40" t="n">
        <v>0.197</v>
      </c>
      <c r="Q919" s="40" t="n">
        <f aca="false">IF(OR(P919="", ISBLANK(P919)), ROUND(0.9367*O919+0.0175, 4), P919)</f>
        <v>0.197</v>
      </c>
      <c r="R919" s="35" t="str">
        <f aca="false">IF(OR(P919="", ISBLANK(P919)), "Imputed (Regression/Trend)", "Original")</f>
        <v>Original</v>
      </c>
      <c r="S919" s="40" t="n">
        <v>0.25</v>
      </c>
      <c r="T919" s="40" t="n">
        <v>0.2537</v>
      </c>
      <c r="U919" s="41" t="n">
        <v>0</v>
      </c>
      <c r="V919" s="41" t="n">
        <v>50</v>
      </c>
      <c r="W919" s="41" t="n">
        <f aca="false">U919+V919</f>
        <v>50</v>
      </c>
      <c r="X919" s="42" t="n">
        <f aca="false">U919/W919</f>
        <v>0</v>
      </c>
      <c r="Y919" s="42" t="n">
        <f aca="false">V919/W919</f>
        <v>1</v>
      </c>
      <c r="Z919" s="35" t="str">
        <f aca="false">IF(W919&gt;=150, "High Demand", IF(W919&gt;=50, "Moderate Demand", "Low Demand"))</f>
        <v>Moderate Demand</v>
      </c>
      <c r="AA919" s="39" t="str">
        <f aca="false">TEXT(G919, "00") &amp; ":00"</f>
        <v>15:00</v>
      </c>
      <c r="AB919" s="37" t="n">
        <f aca="false">YEAR(B919)</f>
        <v>2011</v>
      </c>
      <c r="AC919" s="35" t="str">
        <f aca="false">TEXT(B919, "mmmm")</f>
        <v>February</v>
      </c>
      <c r="AD919" s="37" t="n">
        <f aca="false">LEN(TEXT(B919, "YYYY-MM-DD"))</f>
        <v>10</v>
      </c>
      <c r="AE919" s="39" t="str">
        <f aca="false">LEFT(TEXT(B919, "YYYY-MM-DD"), 4)</f>
        <v>2011</v>
      </c>
      <c r="AF919" s="39" t="str">
        <f aca="false">RIGHT(TEXT(B919, "YYYY-MM-DD"), 2)</f>
        <v>10</v>
      </c>
    </row>
    <row r="920" customFormat="false" ht="15" hidden="false" customHeight="false" outlineLevel="0" collapsed="false">
      <c r="A920" s="43" t="n">
        <v>916</v>
      </c>
      <c r="B920" s="44" t="s">
        <v>124</v>
      </c>
      <c r="C920" s="43" t="n">
        <v>1</v>
      </c>
      <c r="D920" s="33" t="str">
        <f aca="false">VLOOKUP(C920, Lookups_Metadata!$A$4:$B$7, 2, FALSE())</f>
        <v>Spring</v>
      </c>
      <c r="E920" s="43" t="n">
        <v>0</v>
      </c>
      <c r="F920" s="43" t="n">
        <v>2</v>
      </c>
      <c r="G920" s="43" t="n">
        <v>16</v>
      </c>
      <c r="H920" s="45" t="b">
        <f aca="false">FALSE()</f>
        <v>0</v>
      </c>
      <c r="I920" s="43" t="n">
        <v>4</v>
      </c>
      <c r="J920" s="33" t="str">
        <f aca="false">INDEX(Lookups_Metadata!$E$4:$E$10, MATCH(I920, Lookups_Metadata!$D$4:$D$10, 0))</f>
        <v>Thursday</v>
      </c>
      <c r="K920" s="33" t="str">
        <f aca="false">IF(H920=TRUE(), "Holiday", IF(OR(I920=0, I920=6), "Weekend", "Weekday"))</f>
        <v>Weekday</v>
      </c>
      <c r="L920" s="33" t="str">
        <f aca="false">IF(AND(K920="Weekday", OR(AND(G920&gt;=7, G920&lt;=9), AND(G920&gt;=17, G920&lt;=19))), "Peak Commute", "Off-Peak")</f>
        <v>Off-Peak</v>
      </c>
      <c r="M920" s="43" t="n">
        <v>1</v>
      </c>
      <c r="N920" s="33" t="str">
        <f aca="false">VLOOKUP(M920, Lookups_Metadata!$G$4:$H$7, 2, FALSE())</f>
        <v>Clear / Few Clouds</v>
      </c>
      <c r="O920" s="46" t="n">
        <v>0.2</v>
      </c>
      <c r="P920" s="46" t="n">
        <v>0.1818</v>
      </c>
      <c r="Q920" s="46" t="n">
        <f aca="false">IF(OR(P920="", ISBLANK(P920)), ROUND(0.9367*O920+0.0175, 4), P920)</f>
        <v>0.1818</v>
      </c>
      <c r="R920" s="33" t="str">
        <f aca="false">IF(OR(P920="", ISBLANK(P920)), "Imputed (Regression/Trend)", "Original")</f>
        <v>Original</v>
      </c>
      <c r="S920" s="46" t="n">
        <v>0.27</v>
      </c>
      <c r="T920" s="46" t="n">
        <v>0.2985</v>
      </c>
      <c r="U920" s="18" t="n">
        <v>4</v>
      </c>
      <c r="V920" s="18" t="n">
        <v>76</v>
      </c>
      <c r="W920" s="18" t="n">
        <f aca="false">U920+V920</f>
        <v>80</v>
      </c>
      <c r="X920" s="47" t="n">
        <f aca="false">U920/W920</f>
        <v>0.05</v>
      </c>
      <c r="Y920" s="47" t="n">
        <f aca="false">V920/W920</f>
        <v>0.95</v>
      </c>
      <c r="Z920" s="33" t="str">
        <f aca="false">IF(W920&gt;=150, "High Demand", IF(W920&gt;=50, "Moderate Demand", "Low Demand"))</f>
        <v>Moderate Demand</v>
      </c>
      <c r="AA920" s="45" t="str">
        <f aca="false">TEXT(G920, "00") &amp; ":00"</f>
        <v>16:00</v>
      </c>
      <c r="AB920" s="43" t="n">
        <f aca="false">YEAR(B920)</f>
        <v>2011</v>
      </c>
      <c r="AC920" s="33" t="str">
        <f aca="false">TEXT(B920, "mmmm")</f>
        <v>February</v>
      </c>
      <c r="AD920" s="43" t="n">
        <f aca="false">LEN(TEXT(B920, "YYYY-MM-DD"))</f>
        <v>10</v>
      </c>
      <c r="AE920" s="45" t="str">
        <f aca="false">LEFT(TEXT(B920, "YYYY-MM-DD"), 4)</f>
        <v>2011</v>
      </c>
      <c r="AF920" s="45" t="str">
        <f aca="false">RIGHT(TEXT(B920, "YYYY-MM-DD"), 2)</f>
        <v>10</v>
      </c>
    </row>
    <row r="921" customFormat="false" ht="15" hidden="false" customHeight="false" outlineLevel="0" collapsed="false">
      <c r="A921" s="37" t="n">
        <v>917</v>
      </c>
      <c r="B921" s="38" t="s">
        <v>124</v>
      </c>
      <c r="C921" s="37" t="n">
        <v>1</v>
      </c>
      <c r="D921" s="35" t="str">
        <f aca="false">VLOOKUP(C921, Lookups_Metadata!$A$4:$B$7, 2, FALSE())</f>
        <v>Spring</v>
      </c>
      <c r="E921" s="37" t="n">
        <v>0</v>
      </c>
      <c r="F921" s="37" t="n">
        <v>2</v>
      </c>
      <c r="G921" s="37" t="n">
        <v>17</v>
      </c>
      <c r="H921" s="39" t="b">
        <f aca="false">FALSE()</f>
        <v>0</v>
      </c>
      <c r="I921" s="37" t="n">
        <v>4</v>
      </c>
      <c r="J921" s="35" t="str">
        <f aca="false">INDEX(Lookups_Metadata!$E$4:$E$10, MATCH(I921, Lookups_Metadata!$D$4:$D$10, 0))</f>
        <v>Thursday</v>
      </c>
      <c r="K921" s="35" t="str">
        <f aca="false">IF(H921=TRUE(), "Holiday", IF(OR(I921=0, I921=6), "Weekend", "Weekday"))</f>
        <v>Weekday</v>
      </c>
      <c r="L921" s="35" t="str">
        <f aca="false">IF(AND(K921="Weekday", OR(AND(G921&gt;=7, G921&lt;=9), AND(G921&gt;=17, G921&lt;=19))), "Peak Commute", "Off-Peak")</f>
        <v>Peak Commute</v>
      </c>
      <c r="M921" s="37" t="n">
        <v>1</v>
      </c>
      <c r="N921" s="35" t="str">
        <f aca="false">VLOOKUP(M921, Lookups_Metadata!$G$4:$H$7, 2, FALSE())</f>
        <v>Clear / Few Clouds</v>
      </c>
      <c r="O921" s="40" t="n">
        <v>0.18</v>
      </c>
      <c r="P921" s="40" t="n">
        <v>0.1818</v>
      </c>
      <c r="Q921" s="40" t="n">
        <f aca="false">IF(OR(P921="", ISBLANK(P921)), ROUND(0.9367*O921+0.0175, 4), P921)</f>
        <v>0.1818</v>
      </c>
      <c r="R921" s="35" t="str">
        <f aca="false">IF(OR(P921="", ISBLANK(P921)), "Imputed (Regression/Trend)", "Original")</f>
        <v>Original</v>
      </c>
      <c r="S921" s="40" t="n">
        <v>0.26</v>
      </c>
      <c r="T921" s="40" t="n">
        <v>0.194</v>
      </c>
      <c r="U921" s="41" t="n">
        <v>6</v>
      </c>
      <c r="V921" s="41" t="n">
        <v>159</v>
      </c>
      <c r="W921" s="41" t="n">
        <f aca="false">U921+V921</f>
        <v>165</v>
      </c>
      <c r="X921" s="42" t="n">
        <f aca="false">U921/W921</f>
        <v>0.0363636363636364</v>
      </c>
      <c r="Y921" s="42" t="n">
        <f aca="false">V921/W921</f>
        <v>0.963636363636364</v>
      </c>
      <c r="Z921" s="35" t="str">
        <f aca="false">IF(W921&gt;=150, "High Demand", IF(W921&gt;=50, "Moderate Demand", "Low Demand"))</f>
        <v>High Demand</v>
      </c>
      <c r="AA921" s="39" t="str">
        <f aca="false">TEXT(G921, "00") &amp; ":00"</f>
        <v>17:00</v>
      </c>
      <c r="AB921" s="37" t="n">
        <f aca="false">YEAR(B921)</f>
        <v>2011</v>
      </c>
      <c r="AC921" s="35" t="str">
        <f aca="false">TEXT(B921, "mmmm")</f>
        <v>February</v>
      </c>
      <c r="AD921" s="37" t="n">
        <f aca="false">LEN(TEXT(B921, "YYYY-MM-DD"))</f>
        <v>10</v>
      </c>
      <c r="AE921" s="39" t="str">
        <f aca="false">LEFT(TEXT(B921, "YYYY-MM-DD"), 4)</f>
        <v>2011</v>
      </c>
      <c r="AF921" s="39" t="str">
        <f aca="false">RIGHT(TEXT(B921, "YYYY-MM-DD"), 2)</f>
        <v>10</v>
      </c>
    </row>
    <row r="922" customFormat="false" ht="15" hidden="false" customHeight="false" outlineLevel="0" collapsed="false">
      <c r="A922" s="43" t="n">
        <v>918</v>
      </c>
      <c r="B922" s="44" t="s">
        <v>124</v>
      </c>
      <c r="C922" s="43" t="n">
        <v>1</v>
      </c>
      <c r="D922" s="33" t="str">
        <f aca="false">VLOOKUP(C922, Lookups_Metadata!$A$4:$B$7, 2, FALSE())</f>
        <v>Spring</v>
      </c>
      <c r="E922" s="43" t="n">
        <v>0</v>
      </c>
      <c r="F922" s="43" t="n">
        <v>2</v>
      </c>
      <c r="G922" s="43" t="n">
        <v>18</v>
      </c>
      <c r="H922" s="45" t="b">
        <f aca="false">FALSE()</f>
        <v>0</v>
      </c>
      <c r="I922" s="43" t="n">
        <v>4</v>
      </c>
      <c r="J922" s="33" t="str">
        <f aca="false">INDEX(Lookups_Metadata!$E$4:$E$10, MATCH(I922, Lookups_Metadata!$D$4:$D$10, 0))</f>
        <v>Thursday</v>
      </c>
      <c r="K922" s="33" t="str">
        <f aca="false">IF(H922=TRUE(), "Holiday", IF(OR(I922=0, I922=6), "Weekend", "Weekday"))</f>
        <v>Weekday</v>
      </c>
      <c r="L922" s="33" t="str">
        <f aca="false">IF(AND(K922="Weekday", OR(AND(G922&gt;=7, G922&lt;=9), AND(G922&gt;=17, G922&lt;=19))), "Peak Commute", "Off-Peak")</f>
        <v>Peak Commute</v>
      </c>
      <c r="M922" s="43" t="n">
        <v>1</v>
      </c>
      <c r="N922" s="33" t="str">
        <f aca="false">VLOOKUP(M922, Lookups_Metadata!$G$4:$H$7, 2, FALSE())</f>
        <v>Clear / Few Clouds</v>
      </c>
      <c r="O922" s="46" t="n">
        <v>0.16</v>
      </c>
      <c r="P922" s="46" t="n">
        <v>0.1818</v>
      </c>
      <c r="Q922" s="46" t="n">
        <f aca="false">IF(OR(P922="", ISBLANK(P922)), ROUND(0.9367*O922+0.0175, 4), P922)</f>
        <v>0.1818</v>
      </c>
      <c r="R922" s="33" t="str">
        <f aca="false">IF(OR(P922="", ISBLANK(P922)), "Imputed (Regression/Trend)", "Original")</f>
        <v>Original</v>
      </c>
      <c r="S922" s="46" t="n">
        <v>0.28</v>
      </c>
      <c r="T922" s="46" t="n">
        <v>0.1343</v>
      </c>
      <c r="U922" s="18" t="n">
        <v>3</v>
      </c>
      <c r="V922" s="18" t="n">
        <v>157</v>
      </c>
      <c r="W922" s="18" t="n">
        <f aca="false">U922+V922</f>
        <v>160</v>
      </c>
      <c r="X922" s="47" t="n">
        <f aca="false">U922/W922</f>
        <v>0.01875</v>
      </c>
      <c r="Y922" s="47" t="n">
        <f aca="false">V922/W922</f>
        <v>0.98125</v>
      </c>
      <c r="Z922" s="33" t="str">
        <f aca="false">IF(W922&gt;=150, "High Demand", IF(W922&gt;=50, "Moderate Demand", "Low Demand"))</f>
        <v>High Demand</v>
      </c>
      <c r="AA922" s="45" t="str">
        <f aca="false">TEXT(G922, "00") &amp; ":00"</f>
        <v>18:00</v>
      </c>
      <c r="AB922" s="43" t="n">
        <f aca="false">YEAR(B922)</f>
        <v>2011</v>
      </c>
      <c r="AC922" s="33" t="str">
        <f aca="false">TEXT(B922, "mmmm")</f>
        <v>February</v>
      </c>
      <c r="AD922" s="43" t="n">
        <f aca="false">LEN(TEXT(B922, "YYYY-MM-DD"))</f>
        <v>10</v>
      </c>
      <c r="AE922" s="45" t="str">
        <f aca="false">LEFT(TEXT(B922, "YYYY-MM-DD"), 4)</f>
        <v>2011</v>
      </c>
      <c r="AF922" s="45" t="str">
        <f aca="false">RIGHT(TEXT(B922, "YYYY-MM-DD"), 2)</f>
        <v>10</v>
      </c>
    </row>
    <row r="923" customFormat="false" ht="15" hidden="false" customHeight="false" outlineLevel="0" collapsed="false">
      <c r="A923" s="37" t="n">
        <v>919</v>
      </c>
      <c r="B923" s="38" t="s">
        <v>124</v>
      </c>
      <c r="C923" s="37" t="n">
        <v>1</v>
      </c>
      <c r="D923" s="35" t="str">
        <f aca="false">VLOOKUP(C923, Lookups_Metadata!$A$4:$B$7, 2, FALSE())</f>
        <v>Spring</v>
      </c>
      <c r="E923" s="37" t="n">
        <v>0</v>
      </c>
      <c r="F923" s="37" t="n">
        <v>2</v>
      </c>
      <c r="G923" s="37" t="n">
        <v>19</v>
      </c>
      <c r="H923" s="39" t="b">
        <f aca="false">FALSE()</f>
        <v>0</v>
      </c>
      <c r="I923" s="37" t="n">
        <v>4</v>
      </c>
      <c r="J923" s="35" t="str">
        <f aca="false">INDEX(Lookups_Metadata!$E$4:$E$10, MATCH(I923, Lookups_Metadata!$D$4:$D$10, 0))</f>
        <v>Thursday</v>
      </c>
      <c r="K923" s="35" t="str">
        <f aca="false">IF(H923=TRUE(), "Holiday", IF(OR(I923=0, I923=6), "Weekend", "Weekday"))</f>
        <v>Weekday</v>
      </c>
      <c r="L923" s="35" t="str">
        <f aca="false">IF(AND(K923="Weekday", OR(AND(G923&gt;=7, G923&lt;=9), AND(G923&gt;=17, G923&lt;=19))), "Peak Commute", "Off-Peak")</f>
        <v>Peak Commute</v>
      </c>
      <c r="M923" s="37" t="n">
        <v>1</v>
      </c>
      <c r="N923" s="35" t="str">
        <f aca="false">VLOOKUP(M923, Lookups_Metadata!$G$4:$H$7, 2, FALSE())</f>
        <v>Clear / Few Clouds</v>
      </c>
      <c r="O923" s="40" t="n">
        <v>0.14</v>
      </c>
      <c r="P923" s="40" t="n">
        <v>0.1667</v>
      </c>
      <c r="Q923" s="40" t="n">
        <f aca="false">IF(OR(P923="", ISBLANK(P923)), ROUND(0.9367*O923+0.0175, 4), P923)</f>
        <v>0.1667</v>
      </c>
      <c r="R923" s="35" t="str">
        <f aca="false">IF(OR(P923="", ISBLANK(P923)), "Imputed (Regression/Trend)", "Original")</f>
        <v>Original</v>
      </c>
      <c r="S923" s="40" t="n">
        <v>0.28</v>
      </c>
      <c r="T923" s="40" t="n">
        <v>0.1045</v>
      </c>
      <c r="U923" s="41" t="n">
        <v>2</v>
      </c>
      <c r="V923" s="41" t="n">
        <v>110</v>
      </c>
      <c r="W923" s="41" t="n">
        <f aca="false">U923+V923</f>
        <v>112</v>
      </c>
      <c r="X923" s="42" t="n">
        <f aca="false">U923/W923</f>
        <v>0.0178571428571429</v>
      </c>
      <c r="Y923" s="42" t="n">
        <f aca="false">V923/W923</f>
        <v>0.982142857142857</v>
      </c>
      <c r="Z923" s="35" t="str">
        <f aca="false">IF(W923&gt;=150, "High Demand", IF(W923&gt;=50, "Moderate Demand", "Low Demand"))</f>
        <v>Moderate Demand</v>
      </c>
      <c r="AA923" s="39" t="str">
        <f aca="false">TEXT(G923, "00") &amp; ":00"</f>
        <v>19:00</v>
      </c>
      <c r="AB923" s="37" t="n">
        <f aca="false">YEAR(B923)</f>
        <v>2011</v>
      </c>
      <c r="AC923" s="35" t="str">
        <f aca="false">TEXT(B923, "mmmm")</f>
        <v>February</v>
      </c>
      <c r="AD923" s="37" t="n">
        <f aca="false">LEN(TEXT(B923, "YYYY-MM-DD"))</f>
        <v>10</v>
      </c>
      <c r="AE923" s="39" t="str">
        <f aca="false">LEFT(TEXT(B923, "YYYY-MM-DD"), 4)</f>
        <v>2011</v>
      </c>
      <c r="AF923" s="39" t="str">
        <f aca="false">RIGHT(TEXT(B923, "YYYY-MM-DD"), 2)</f>
        <v>10</v>
      </c>
    </row>
    <row r="924" customFormat="false" ht="15" hidden="false" customHeight="false" outlineLevel="0" collapsed="false">
      <c r="A924" s="43" t="n">
        <v>920</v>
      </c>
      <c r="B924" s="44" t="s">
        <v>124</v>
      </c>
      <c r="C924" s="43" t="n">
        <v>1</v>
      </c>
      <c r="D924" s="33" t="str">
        <f aca="false">VLOOKUP(C924, Lookups_Metadata!$A$4:$B$7, 2, FALSE())</f>
        <v>Spring</v>
      </c>
      <c r="E924" s="43" t="n">
        <v>0</v>
      </c>
      <c r="F924" s="43" t="n">
        <v>2</v>
      </c>
      <c r="G924" s="43" t="n">
        <v>20</v>
      </c>
      <c r="H924" s="45" t="b">
        <f aca="false">FALSE()</f>
        <v>0</v>
      </c>
      <c r="I924" s="43" t="n">
        <v>4</v>
      </c>
      <c r="J924" s="33" t="str">
        <f aca="false">INDEX(Lookups_Metadata!$E$4:$E$10, MATCH(I924, Lookups_Metadata!$D$4:$D$10, 0))</f>
        <v>Thursday</v>
      </c>
      <c r="K924" s="33" t="str">
        <f aca="false">IF(H924=TRUE(), "Holiday", IF(OR(I924=0, I924=6), "Weekend", "Weekday"))</f>
        <v>Weekday</v>
      </c>
      <c r="L924" s="33" t="str">
        <f aca="false">IF(AND(K924="Weekday", OR(AND(G924&gt;=7, G924&lt;=9), AND(G924&gt;=17, G924&lt;=19))), "Peak Commute", "Off-Peak")</f>
        <v>Off-Peak</v>
      </c>
      <c r="M924" s="43" t="n">
        <v>1</v>
      </c>
      <c r="N924" s="33" t="str">
        <f aca="false">VLOOKUP(M924, Lookups_Metadata!$G$4:$H$7, 2, FALSE())</f>
        <v>Clear / Few Clouds</v>
      </c>
      <c r="O924" s="46" t="n">
        <v>0.14</v>
      </c>
      <c r="P924" s="46" t="n">
        <v>0.1818</v>
      </c>
      <c r="Q924" s="46" t="n">
        <f aca="false">IF(OR(P924="", ISBLANK(P924)), ROUND(0.9367*O924+0.0175, 4), P924)</f>
        <v>0.1818</v>
      </c>
      <c r="R924" s="33" t="str">
        <f aca="false">IF(OR(P924="", ISBLANK(P924)), "Imputed (Regression/Trend)", "Original")</f>
        <v>Original</v>
      </c>
      <c r="S924" s="46" t="n">
        <v>0.31</v>
      </c>
      <c r="T924" s="46" t="n">
        <v>0.0896</v>
      </c>
      <c r="U924" s="18" t="n">
        <v>4</v>
      </c>
      <c r="V924" s="18" t="n">
        <v>93</v>
      </c>
      <c r="W924" s="18" t="n">
        <f aca="false">U924+V924</f>
        <v>97</v>
      </c>
      <c r="X924" s="47" t="n">
        <f aca="false">U924/W924</f>
        <v>0.0412371134020619</v>
      </c>
      <c r="Y924" s="47" t="n">
        <f aca="false">V924/W924</f>
        <v>0.958762886597938</v>
      </c>
      <c r="Z924" s="33" t="str">
        <f aca="false">IF(W924&gt;=150, "High Demand", IF(W924&gt;=50, "Moderate Demand", "Low Demand"))</f>
        <v>Moderate Demand</v>
      </c>
      <c r="AA924" s="45" t="str">
        <f aca="false">TEXT(G924, "00") &amp; ":00"</f>
        <v>20:00</v>
      </c>
      <c r="AB924" s="43" t="n">
        <f aca="false">YEAR(B924)</f>
        <v>2011</v>
      </c>
      <c r="AC924" s="33" t="str">
        <f aca="false">TEXT(B924, "mmmm")</f>
        <v>February</v>
      </c>
      <c r="AD924" s="43" t="n">
        <f aca="false">LEN(TEXT(B924, "YYYY-MM-DD"))</f>
        <v>10</v>
      </c>
      <c r="AE924" s="45" t="str">
        <f aca="false">LEFT(TEXT(B924, "YYYY-MM-DD"), 4)</f>
        <v>2011</v>
      </c>
      <c r="AF924" s="45" t="str">
        <f aca="false">RIGHT(TEXT(B924, "YYYY-MM-DD"), 2)</f>
        <v>10</v>
      </c>
    </row>
    <row r="925" customFormat="false" ht="15" hidden="false" customHeight="false" outlineLevel="0" collapsed="false">
      <c r="A925" s="37" t="n">
        <v>921</v>
      </c>
      <c r="B925" s="38" t="s">
        <v>124</v>
      </c>
      <c r="C925" s="37" t="n">
        <v>1</v>
      </c>
      <c r="D925" s="35" t="str">
        <f aca="false">VLOOKUP(C925, Lookups_Metadata!$A$4:$B$7, 2, FALSE())</f>
        <v>Spring</v>
      </c>
      <c r="E925" s="37" t="n">
        <v>0</v>
      </c>
      <c r="F925" s="37" t="n">
        <v>2</v>
      </c>
      <c r="G925" s="37" t="n">
        <v>21</v>
      </c>
      <c r="H925" s="39" t="b">
        <f aca="false">FALSE()</f>
        <v>0</v>
      </c>
      <c r="I925" s="37" t="n">
        <v>4</v>
      </c>
      <c r="J925" s="35" t="str">
        <f aca="false">INDEX(Lookups_Metadata!$E$4:$E$10, MATCH(I925, Lookups_Metadata!$D$4:$D$10, 0))</f>
        <v>Thursday</v>
      </c>
      <c r="K925" s="35" t="str">
        <f aca="false">IF(H925=TRUE(), "Holiday", IF(OR(I925=0, I925=6), "Weekend", "Weekday"))</f>
        <v>Weekday</v>
      </c>
      <c r="L925" s="35" t="str">
        <f aca="false">IF(AND(K925="Weekday", OR(AND(G925&gt;=7, G925&lt;=9), AND(G925&gt;=17, G925&lt;=19))), "Peak Commute", "Off-Peak")</f>
        <v>Off-Peak</v>
      </c>
      <c r="M925" s="37" t="n">
        <v>1</v>
      </c>
      <c r="N925" s="35" t="str">
        <f aca="false">VLOOKUP(M925, Lookups_Metadata!$G$4:$H$7, 2, FALSE())</f>
        <v>Clear / Few Clouds</v>
      </c>
      <c r="O925" s="40" t="n">
        <v>0.14</v>
      </c>
      <c r="P925" s="40" t="n">
        <v>0.2121</v>
      </c>
      <c r="Q925" s="40" t="n">
        <f aca="false">IF(OR(P925="", ISBLANK(P925)), ROUND(0.9367*O925+0.0175, 4), P925)</f>
        <v>0.2121</v>
      </c>
      <c r="R925" s="35" t="str">
        <f aca="false">IF(OR(P925="", ISBLANK(P925)), "Imputed (Regression/Trend)", "Original")</f>
        <v>Original</v>
      </c>
      <c r="S925" s="40" t="n">
        <v>0.39</v>
      </c>
      <c r="T925" s="40" t="n">
        <v>0</v>
      </c>
      <c r="U925" s="41" t="n">
        <v>2</v>
      </c>
      <c r="V925" s="41" t="n">
        <v>70</v>
      </c>
      <c r="W925" s="41" t="n">
        <f aca="false">U925+V925</f>
        <v>72</v>
      </c>
      <c r="X925" s="42" t="n">
        <f aca="false">U925/W925</f>
        <v>0.0277777777777778</v>
      </c>
      <c r="Y925" s="42" t="n">
        <f aca="false">V925/W925</f>
        <v>0.972222222222222</v>
      </c>
      <c r="Z925" s="35" t="str">
        <f aca="false">IF(W925&gt;=150, "High Demand", IF(W925&gt;=50, "Moderate Demand", "Low Demand"))</f>
        <v>Moderate Demand</v>
      </c>
      <c r="AA925" s="39" t="str">
        <f aca="false">TEXT(G925, "00") &amp; ":00"</f>
        <v>21:00</v>
      </c>
      <c r="AB925" s="37" t="n">
        <f aca="false">YEAR(B925)</f>
        <v>2011</v>
      </c>
      <c r="AC925" s="35" t="str">
        <f aca="false">TEXT(B925, "mmmm")</f>
        <v>February</v>
      </c>
      <c r="AD925" s="37" t="n">
        <f aca="false">LEN(TEXT(B925, "YYYY-MM-DD"))</f>
        <v>10</v>
      </c>
      <c r="AE925" s="39" t="str">
        <f aca="false">LEFT(TEXT(B925, "YYYY-MM-DD"), 4)</f>
        <v>2011</v>
      </c>
      <c r="AF925" s="39" t="str">
        <f aca="false">RIGHT(TEXT(B925, "YYYY-MM-DD"), 2)</f>
        <v>10</v>
      </c>
    </row>
    <row r="926" customFormat="false" ht="15" hidden="false" customHeight="false" outlineLevel="0" collapsed="false">
      <c r="A926" s="43" t="n">
        <v>922</v>
      </c>
      <c r="B926" s="44" t="s">
        <v>124</v>
      </c>
      <c r="C926" s="43" t="n">
        <v>1</v>
      </c>
      <c r="D926" s="33" t="str">
        <f aca="false">VLOOKUP(C926, Lookups_Metadata!$A$4:$B$7, 2, FALSE())</f>
        <v>Spring</v>
      </c>
      <c r="E926" s="43" t="n">
        <v>0</v>
      </c>
      <c r="F926" s="43" t="n">
        <v>2</v>
      </c>
      <c r="G926" s="43" t="n">
        <v>22</v>
      </c>
      <c r="H926" s="45" t="b">
        <f aca="false">FALSE()</f>
        <v>0</v>
      </c>
      <c r="I926" s="43" t="n">
        <v>4</v>
      </c>
      <c r="J926" s="33" t="str">
        <f aca="false">INDEX(Lookups_Metadata!$E$4:$E$10, MATCH(I926, Lookups_Metadata!$D$4:$D$10, 0))</f>
        <v>Thursday</v>
      </c>
      <c r="K926" s="33" t="str">
        <f aca="false">IF(H926=TRUE(), "Holiday", IF(OR(I926=0, I926=6), "Weekend", "Weekday"))</f>
        <v>Weekday</v>
      </c>
      <c r="L926" s="33" t="str">
        <f aca="false">IF(AND(K926="Weekday", OR(AND(G926&gt;=7, G926&lt;=9), AND(G926&gt;=17, G926&lt;=19))), "Peak Commute", "Off-Peak")</f>
        <v>Off-Peak</v>
      </c>
      <c r="M926" s="43" t="n">
        <v>1</v>
      </c>
      <c r="N926" s="33" t="str">
        <f aca="false">VLOOKUP(M926, Lookups_Metadata!$G$4:$H$7, 2, FALSE())</f>
        <v>Clear / Few Clouds</v>
      </c>
      <c r="O926" s="46" t="n">
        <v>0.12</v>
      </c>
      <c r="P926" s="46" t="n">
        <v>0.197</v>
      </c>
      <c r="Q926" s="46" t="n">
        <f aca="false">IF(OR(P926="", ISBLANK(P926)), ROUND(0.9367*O926+0.0175, 4), P926)</f>
        <v>0.197</v>
      </c>
      <c r="R926" s="33" t="str">
        <f aca="false">IF(OR(P926="", ISBLANK(P926)), "Imputed (Regression/Trend)", "Original")</f>
        <v>Original</v>
      </c>
      <c r="S926" s="46" t="n">
        <v>0.39</v>
      </c>
      <c r="T926" s="46" t="n">
        <v>0</v>
      </c>
      <c r="U926" s="18" t="n">
        <v>4</v>
      </c>
      <c r="V926" s="18" t="n">
        <v>47</v>
      </c>
      <c r="W926" s="18" t="n">
        <f aca="false">U926+V926</f>
        <v>51</v>
      </c>
      <c r="X926" s="47" t="n">
        <f aca="false">U926/W926</f>
        <v>0.0784313725490196</v>
      </c>
      <c r="Y926" s="47" t="n">
        <f aca="false">V926/W926</f>
        <v>0.92156862745098</v>
      </c>
      <c r="Z926" s="33" t="str">
        <f aca="false">IF(W926&gt;=150, "High Demand", IF(W926&gt;=50, "Moderate Demand", "Low Demand"))</f>
        <v>Moderate Demand</v>
      </c>
      <c r="AA926" s="45" t="str">
        <f aca="false">TEXT(G926, "00") &amp; ":00"</f>
        <v>22:00</v>
      </c>
      <c r="AB926" s="43" t="n">
        <f aca="false">YEAR(B926)</f>
        <v>2011</v>
      </c>
      <c r="AC926" s="33" t="str">
        <f aca="false">TEXT(B926, "mmmm")</f>
        <v>February</v>
      </c>
      <c r="AD926" s="43" t="n">
        <f aca="false">LEN(TEXT(B926, "YYYY-MM-DD"))</f>
        <v>10</v>
      </c>
      <c r="AE926" s="45" t="str">
        <f aca="false">LEFT(TEXT(B926, "YYYY-MM-DD"), 4)</f>
        <v>2011</v>
      </c>
      <c r="AF926" s="45" t="str">
        <f aca="false">RIGHT(TEXT(B926, "YYYY-MM-DD"), 2)</f>
        <v>10</v>
      </c>
    </row>
    <row r="927" customFormat="false" ht="15" hidden="false" customHeight="false" outlineLevel="0" collapsed="false">
      <c r="A927" s="37" t="n">
        <v>923</v>
      </c>
      <c r="B927" s="38" t="s">
        <v>124</v>
      </c>
      <c r="C927" s="37" t="n">
        <v>1</v>
      </c>
      <c r="D927" s="35" t="str">
        <f aca="false">VLOOKUP(C927, Lookups_Metadata!$A$4:$B$7, 2, FALSE())</f>
        <v>Spring</v>
      </c>
      <c r="E927" s="37" t="n">
        <v>0</v>
      </c>
      <c r="F927" s="37" t="n">
        <v>2</v>
      </c>
      <c r="G927" s="37" t="n">
        <v>23</v>
      </c>
      <c r="H927" s="39" t="b">
        <f aca="false">FALSE()</f>
        <v>0</v>
      </c>
      <c r="I927" s="37" t="n">
        <v>4</v>
      </c>
      <c r="J927" s="35" t="str">
        <f aca="false">INDEX(Lookups_Metadata!$E$4:$E$10, MATCH(I927, Lookups_Metadata!$D$4:$D$10, 0))</f>
        <v>Thursday</v>
      </c>
      <c r="K927" s="35" t="str">
        <f aca="false">IF(H927=TRUE(), "Holiday", IF(OR(I927=0, I927=6), "Weekend", "Weekday"))</f>
        <v>Weekday</v>
      </c>
      <c r="L927" s="35" t="str">
        <f aca="false">IF(AND(K927="Weekday", OR(AND(G927&gt;=7, G927&lt;=9), AND(G927&gt;=17, G927&lt;=19))), "Peak Commute", "Off-Peak")</f>
        <v>Off-Peak</v>
      </c>
      <c r="M927" s="37" t="n">
        <v>1</v>
      </c>
      <c r="N927" s="35" t="str">
        <f aca="false">VLOOKUP(M927, Lookups_Metadata!$G$4:$H$7, 2, FALSE())</f>
        <v>Clear / Few Clouds</v>
      </c>
      <c r="O927" s="40" t="n">
        <v>0.12</v>
      </c>
      <c r="P927" s="40" t="n">
        <v>0.1515</v>
      </c>
      <c r="Q927" s="40" t="n">
        <f aca="false">IF(OR(P927="", ISBLANK(P927)), ROUND(0.9367*O927+0.0175, 4), P927)</f>
        <v>0.1515</v>
      </c>
      <c r="R927" s="35" t="str">
        <f aca="false">IF(OR(P927="", ISBLANK(P927)), "Imputed (Regression/Trend)", "Original")</f>
        <v>Original</v>
      </c>
      <c r="S927" s="40" t="n">
        <v>0.42</v>
      </c>
      <c r="T927" s="40" t="n">
        <v>0.1045</v>
      </c>
      <c r="U927" s="41" t="n">
        <v>1</v>
      </c>
      <c r="V927" s="41" t="n">
        <v>33</v>
      </c>
      <c r="W927" s="41" t="n">
        <f aca="false">U927+V927</f>
        <v>34</v>
      </c>
      <c r="X927" s="42" t="n">
        <f aca="false">U927/W927</f>
        <v>0.0294117647058824</v>
      </c>
      <c r="Y927" s="42" t="n">
        <f aca="false">V927/W927</f>
        <v>0.970588235294118</v>
      </c>
      <c r="Z927" s="35" t="str">
        <f aca="false">IF(W927&gt;=150, "High Demand", IF(W927&gt;=50, "Moderate Demand", "Low Demand"))</f>
        <v>Low Demand</v>
      </c>
      <c r="AA927" s="39" t="str">
        <f aca="false">TEXT(G927, "00") &amp; ":00"</f>
        <v>23:00</v>
      </c>
      <c r="AB927" s="37" t="n">
        <f aca="false">YEAR(B927)</f>
        <v>2011</v>
      </c>
      <c r="AC927" s="35" t="str">
        <f aca="false">TEXT(B927, "mmmm")</f>
        <v>February</v>
      </c>
      <c r="AD927" s="37" t="n">
        <f aca="false">LEN(TEXT(B927, "YYYY-MM-DD"))</f>
        <v>10</v>
      </c>
      <c r="AE927" s="39" t="str">
        <f aca="false">LEFT(TEXT(B927, "YYYY-MM-DD"), 4)</f>
        <v>2011</v>
      </c>
      <c r="AF927" s="39" t="str">
        <f aca="false">RIGHT(TEXT(B927, "YYYY-MM-DD"), 2)</f>
        <v>10</v>
      </c>
    </row>
    <row r="928" customFormat="false" ht="15" hidden="false" customHeight="false" outlineLevel="0" collapsed="false">
      <c r="A928" s="43" t="n">
        <v>924</v>
      </c>
      <c r="B928" s="44" t="s">
        <v>125</v>
      </c>
      <c r="C928" s="43" t="n">
        <v>1</v>
      </c>
      <c r="D928" s="33" t="str">
        <f aca="false">VLOOKUP(C928, Lookups_Metadata!$A$4:$B$7, 2, FALSE())</f>
        <v>Spring</v>
      </c>
      <c r="E928" s="43" t="n">
        <v>0</v>
      </c>
      <c r="F928" s="43" t="n">
        <v>2</v>
      </c>
      <c r="G928" s="43" t="n">
        <v>0</v>
      </c>
      <c r="H928" s="45" t="b">
        <f aca="false">FALSE()</f>
        <v>0</v>
      </c>
      <c r="I928" s="43" t="n">
        <v>5</v>
      </c>
      <c r="J928" s="33" t="str">
        <f aca="false">INDEX(Lookups_Metadata!$E$4:$E$10, MATCH(I928, Lookups_Metadata!$D$4:$D$10, 0))</f>
        <v>Friday</v>
      </c>
      <c r="K928" s="33" t="str">
        <f aca="false">IF(H928=TRUE(), "Holiday", IF(OR(I928=0, I928=6), "Weekend", "Weekday"))</f>
        <v>Weekday</v>
      </c>
      <c r="L928" s="33" t="str">
        <f aca="false">IF(AND(K928="Weekday", OR(AND(G928&gt;=7, G928&lt;=9), AND(G928&gt;=17, G928&lt;=19))), "Peak Commute", "Off-Peak")</f>
        <v>Off-Peak</v>
      </c>
      <c r="M928" s="43" t="n">
        <v>1</v>
      </c>
      <c r="N928" s="33" t="str">
        <f aca="false">VLOOKUP(M928, Lookups_Metadata!$G$4:$H$7, 2, FALSE())</f>
        <v>Clear / Few Clouds</v>
      </c>
      <c r="O928" s="46" t="n">
        <v>0.1</v>
      </c>
      <c r="P928" s="46" t="n">
        <v>0.1364</v>
      </c>
      <c r="Q928" s="46" t="n">
        <f aca="false">IF(OR(P928="", ISBLANK(P928)), ROUND(0.9367*O928+0.0175, 4), P928)</f>
        <v>0.1364</v>
      </c>
      <c r="R928" s="33" t="str">
        <f aca="false">IF(OR(P928="", ISBLANK(P928)), "Imputed (Regression/Trend)", "Original")</f>
        <v>Original</v>
      </c>
      <c r="S928" s="46" t="n">
        <v>0.49</v>
      </c>
      <c r="T928" s="46" t="n">
        <v>0.1045</v>
      </c>
      <c r="U928" s="18" t="n">
        <v>2</v>
      </c>
      <c r="V928" s="18" t="n">
        <v>12</v>
      </c>
      <c r="W928" s="18" t="n">
        <f aca="false">U928+V928</f>
        <v>14</v>
      </c>
      <c r="X928" s="47" t="n">
        <f aca="false">U928/W928</f>
        <v>0.142857142857143</v>
      </c>
      <c r="Y928" s="47" t="n">
        <f aca="false">V928/W928</f>
        <v>0.857142857142857</v>
      </c>
      <c r="Z928" s="33" t="str">
        <f aca="false">IF(W928&gt;=150, "High Demand", IF(W928&gt;=50, "Moderate Demand", "Low Demand"))</f>
        <v>Low Demand</v>
      </c>
      <c r="AA928" s="45" t="str">
        <f aca="false">TEXT(G928, "00") &amp; ":00"</f>
        <v>00:00</v>
      </c>
      <c r="AB928" s="43" t="n">
        <f aca="false">YEAR(B928)</f>
        <v>2011</v>
      </c>
      <c r="AC928" s="33" t="str">
        <f aca="false">TEXT(B928, "mmmm")</f>
        <v>February</v>
      </c>
      <c r="AD928" s="43" t="n">
        <f aca="false">LEN(TEXT(B928, "YYYY-MM-DD"))</f>
        <v>10</v>
      </c>
      <c r="AE928" s="45" t="str">
        <f aca="false">LEFT(TEXT(B928, "YYYY-MM-DD"), 4)</f>
        <v>2011</v>
      </c>
      <c r="AF928" s="45" t="str">
        <f aca="false">RIGHT(TEXT(B928, "YYYY-MM-DD"), 2)</f>
        <v>11</v>
      </c>
    </row>
    <row r="929" customFormat="false" ht="15" hidden="false" customHeight="false" outlineLevel="0" collapsed="false">
      <c r="A929" s="37" t="n">
        <v>925</v>
      </c>
      <c r="B929" s="38" t="s">
        <v>125</v>
      </c>
      <c r="C929" s="37" t="n">
        <v>1</v>
      </c>
      <c r="D929" s="35" t="str">
        <f aca="false">VLOOKUP(C929, Lookups_Metadata!$A$4:$B$7, 2, FALSE())</f>
        <v>Spring</v>
      </c>
      <c r="E929" s="37" t="n">
        <v>0</v>
      </c>
      <c r="F929" s="37" t="n">
        <v>2</v>
      </c>
      <c r="G929" s="37" t="n">
        <v>1</v>
      </c>
      <c r="H929" s="39" t="b">
        <f aca="false">FALSE()</f>
        <v>0</v>
      </c>
      <c r="I929" s="37" t="n">
        <v>5</v>
      </c>
      <c r="J929" s="35" t="str">
        <f aca="false">INDEX(Lookups_Metadata!$E$4:$E$10, MATCH(I929, Lookups_Metadata!$D$4:$D$10, 0))</f>
        <v>Friday</v>
      </c>
      <c r="K929" s="35" t="str">
        <f aca="false">IF(H929=TRUE(), "Holiday", IF(OR(I929=0, I929=6), "Weekend", "Weekday"))</f>
        <v>Weekday</v>
      </c>
      <c r="L929" s="35" t="str">
        <f aca="false">IF(AND(K929="Weekday", OR(AND(G929&gt;=7, G929&lt;=9), AND(G929&gt;=17, G929&lt;=19))), "Peak Commute", "Off-Peak")</f>
        <v>Off-Peak</v>
      </c>
      <c r="M929" s="37" t="n">
        <v>1</v>
      </c>
      <c r="N929" s="35" t="str">
        <f aca="false">VLOOKUP(M929, Lookups_Metadata!$G$4:$H$7, 2, FALSE())</f>
        <v>Clear / Few Clouds</v>
      </c>
      <c r="O929" s="40" t="n">
        <v>0.1</v>
      </c>
      <c r="P929" s="40" t="n">
        <v>0.1364</v>
      </c>
      <c r="Q929" s="40" t="n">
        <f aca="false">IF(OR(P929="", ISBLANK(P929)), ROUND(0.9367*O929+0.0175, 4), P929)</f>
        <v>0.1364</v>
      </c>
      <c r="R929" s="35" t="str">
        <f aca="false">IF(OR(P929="", ISBLANK(P929)), "Imputed (Regression/Trend)", "Original")</f>
        <v>Original</v>
      </c>
      <c r="S929" s="40" t="n">
        <v>0.54</v>
      </c>
      <c r="T929" s="40" t="n">
        <v>0.0896</v>
      </c>
      <c r="U929" s="41" t="n">
        <v>1</v>
      </c>
      <c r="V929" s="41" t="n">
        <v>6</v>
      </c>
      <c r="W929" s="41" t="n">
        <f aca="false">U929+V929</f>
        <v>7</v>
      </c>
      <c r="X929" s="42" t="n">
        <f aca="false">U929/W929</f>
        <v>0.142857142857143</v>
      </c>
      <c r="Y929" s="42" t="n">
        <f aca="false">V929/W929</f>
        <v>0.857142857142857</v>
      </c>
      <c r="Z929" s="35" t="str">
        <f aca="false">IF(W929&gt;=150, "High Demand", IF(W929&gt;=50, "Moderate Demand", "Low Demand"))</f>
        <v>Low Demand</v>
      </c>
      <c r="AA929" s="39" t="str">
        <f aca="false">TEXT(G929, "00") &amp; ":00"</f>
        <v>01:00</v>
      </c>
      <c r="AB929" s="37" t="n">
        <f aca="false">YEAR(B929)</f>
        <v>2011</v>
      </c>
      <c r="AC929" s="35" t="str">
        <f aca="false">TEXT(B929, "mmmm")</f>
        <v>February</v>
      </c>
      <c r="AD929" s="37" t="n">
        <f aca="false">LEN(TEXT(B929, "YYYY-MM-DD"))</f>
        <v>10</v>
      </c>
      <c r="AE929" s="39" t="str">
        <f aca="false">LEFT(TEXT(B929, "YYYY-MM-DD"), 4)</f>
        <v>2011</v>
      </c>
      <c r="AF929" s="39" t="str">
        <f aca="false">RIGHT(TEXT(B929, "YYYY-MM-DD"), 2)</f>
        <v>11</v>
      </c>
    </row>
    <row r="930" customFormat="false" ht="15" hidden="false" customHeight="false" outlineLevel="0" collapsed="false">
      <c r="A930" s="43" t="n">
        <v>926</v>
      </c>
      <c r="B930" s="44" t="s">
        <v>125</v>
      </c>
      <c r="C930" s="43" t="n">
        <v>1</v>
      </c>
      <c r="D930" s="33" t="str">
        <f aca="false">VLOOKUP(C930, Lookups_Metadata!$A$4:$B$7, 2, FALSE())</f>
        <v>Spring</v>
      </c>
      <c r="E930" s="43" t="n">
        <v>0</v>
      </c>
      <c r="F930" s="43" t="n">
        <v>2</v>
      </c>
      <c r="G930" s="43" t="n">
        <v>2</v>
      </c>
      <c r="H930" s="45" t="b">
        <f aca="false">FALSE()</f>
        <v>0</v>
      </c>
      <c r="I930" s="43" t="n">
        <v>5</v>
      </c>
      <c r="J930" s="33" t="str">
        <f aca="false">INDEX(Lookups_Metadata!$E$4:$E$10, MATCH(I930, Lookups_Metadata!$D$4:$D$10, 0))</f>
        <v>Friday</v>
      </c>
      <c r="K930" s="33" t="str">
        <f aca="false">IF(H930=TRUE(), "Holiday", IF(OR(I930=0, I930=6), "Weekend", "Weekday"))</f>
        <v>Weekday</v>
      </c>
      <c r="L930" s="33" t="str">
        <f aca="false">IF(AND(K930="Weekday", OR(AND(G930&gt;=7, G930&lt;=9), AND(G930&gt;=17, G930&lt;=19))), "Peak Commute", "Off-Peak")</f>
        <v>Off-Peak</v>
      </c>
      <c r="M930" s="43" t="n">
        <v>1</v>
      </c>
      <c r="N930" s="33" t="str">
        <f aca="false">VLOOKUP(M930, Lookups_Metadata!$G$4:$H$7, 2, FALSE())</f>
        <v>Clear / Few Clouds</v>
      </c>
      <c r="O930" s="46" t="n">
        <v>0.1</v>
      </c>
      <c r="P930" s="46" t="n">
        <v>0.1364</v>
      </c>
      <c r="Q930" s="46" t="n">
        <f aca="false">IF(OR(P930="", ISBLANK(P930)), ROUND(0.9367*O930+0.0175, 4), P930)</f>
        <v>0.1364</v>
      </c>
      <c r="R930" s="33" t="str">
        <f aca="false">IF(OR(P930="", ISBLANK(P930)), "Imputed (Regression/Trend)", "Original")</f>
        <v>Original</v>
      </c>
      <c r="S930" s="46" t="n">
        <v>0.54</v>
      </c>
      <c r="T930" s="46" t="n">
        <v>0.0896</v>
      </c>
      <c r="U930" s="18" t="n">
        <v>0</v>
      </c>
      <c r="V930" s="18" t="n">
        <v>3</v>
      </c>
      <c r="W930" s="18" t="n">
        <f aca="false">U930+V930</f>
        <v>3</v>
      </c>
      <c r="X930" s="47" t="n">
        <f aca="false">U930/W930</f>
        <v>0</v>
      </c>
      <c r="Y930" s="47" t="n">
        <f aca="false">V930/W930</f>
        <v>1</v>
      </c>
      <c r="Z930" s="33" t="str">
        <f aca="false">IF(W930&gt;=150, "High Demand", IF(W930&gt;=50, "Moderate Demand", "Low Demand"))</f>
        <v>Low Demand</v>
      </c>
      <c r="AA930" s="45" t="str">
        <f aca="false">TEXT(G930, "00") &amp; ":00"</f>
        <v>02:00</v>
      </c>
      <c r="AB930" s="43" t="n">
        <f aca="false">YEAR(B930)</f>
        <v>2011</v>
      </c>
      <c r="AC930" s="33" t="str">
        <f aca="false">TEXT(B930, "mmmm")</f>
        <v>February</v>
      </c>
      <c r="AD930" s="43" t="n">
        <f aca="false">LEN(TEXT(B930, "YYYY-MM-DD"))</f>
        <v>10</v>
      </c>
      <c r="AE930" s="45" t="str">
        <f aca="false">LEFT(TEXT(B930, "YYYY-MM-DD"), 4)</f>
        <v>2011</v>
      </c>
      <c r="AF930" s="45" t="str">
        <f aca="false">RIGHT(TEXT(B930, "YYYY-MM-DD"), 2)</f>
        <v>11</v>
      </c>
    </row>
    <row r="931" customFormat="false" ht="15" hidden="false" customHeight="false" outlineLevel="0" collapsed="false">
      <c r="A931" s="37" t="n">
        <v>927</v>
      </c>
      <c r="B931" s="38" t="s">
        <v>125</v>
      </c>
      <c r="C931" s="37" t="n">
        <v>1</v>
      </c>
      <c r="D931" s="35" t="str">
        <f aca="false">VLOOKUP(C931, Lookups_Metadata!$A$4:$B$7, 2, FALSE())</f>
        <v>Spring</v>
      </c>
      <c r="E931" s="37" t="n">
        <v>0</v>
      </c>
      <c r="F931" s="37" t="n">
        <v>2</v>
      </c>
      <c r="G931" s="37" t="n">
        <v>5</v>
      </c>
      <c r="H931" s="39" t="b">
        <f aca="false">FALSE()</f>
        <v>0</v>
      </c>
      <c r="I931" s="37" t="n">
        <v>5</v>
      </c>
      <c r="J931" s="35" t="str">
        <f aca="false">INDEX(Lookups_Metadata!$E$4:$E$10, MATCH(I931, Lookups_Metadata!$D$4:$D$10, 0))</f>
        <v>Friday</v>
      </c>
      <c r="K931" s="35" t="str">
        <f aca="false">IF(H931=TRUE(), "Holiday", IF(OR(I931=0, I931=6), "Weekend", "Weekday"))</f>
        <v>Weekday</v>
      </c>
      <c r="L931" s="35" t="str">
        <f aca="false">IF(AND(K931="Weekday", OR(AND(G931&gt;=7, G931&lt;=9), AND(G931&gt;=17, G931&lt;=19))), "Peak Commute", "Off-Peak")</f>
        <v>Off-Peak</v>
      </c>
      <c r="M931" s="37" t="n">
        <v>1</v>
      </c>
      <c r="N931" s="35" t="str">
        <f aca="false">VLOOKUP(M931, Lookups_Metadata!$G$4:$H$7, 2, FALSE())</f>
        <v>Clear / Few Clouds</v>
      </c>
      <c r="O931" s="40" t="n">
        <v>0.08</v>
      </c>
      <c r="P931" s="40" t="n">
        <v>0.1212</v>
      </c>
      <c r="Q931" s="40" t="n">
        <f aca="false">IF(OR(P931="", ISBLANK(P931)), ROUND(0.9367*O931+0.0175, 4), P931)</f>
        <v>0.1212</v>
      </c>
      <c r="R931" s="35" t="str">
        <f aca="false">IF(OR(P931="", ISBLANK(P931)), "Imputed (Regression/Trend)", "Original")</f>
        <v>Original</v>
      </c>
      <c r="S931" s="40" t="n">
        <v>0.63</v>
      </c>
      <c r="T931" s="40" t="n">
        <v>0.0896</v>
      </c>
      <c r="U931" s="41" t="n">
        <v>0</v>
      </c>
      <c r="V931" s="41" t="n">
        <v>4</v>
      </c>
      <c r="W931" s="41" t="n">
        <f aca="false">U931+V931</f>
        <v>4</v>
      </c>
      <c r="X931" s="42" t="n">
        <f aca="false">U931/W931</f>
        <v>0</v>
      </c>
      <c r="Y931" s="42" t="n">
        <f aca="false">V931/W931</f>
        <v>1</v>
      </c>
      <c r="Z931" s="35" t="str">
        <f aca="false">IF(W931&gt;=150, "High Demand", IF(W931&gt;=50, "Moderate Demand", "Low Demand"))</f>
        <v>Low Demand</v>
      </c>
      <c r="AA931" s="39" t="str">
        <f aca="false">TEXT(G931, "00") &amp; ":00"</f>
        <v>05:00</v>
      </c>
      <c r="AB931" s="37" t="n">
        <f aca="false">YEAR(B931)</f>
        <v>2011</v>
      </c>
      <c r="AC931" s="35" t="str">
        <f aca="false">TEXT(B931, "mmmm")</f>
        <v>February</v>
      </c>
      <c r="AD931" s="37" t="n">
        <f aca="false">LEN(TEXT(B931, "YYYY-MM-DD"))</f>
        <v>10</v>
      </c>
      <c r="AE931" s="39" t="str">
        <f aca="false">LEFT(TEXT(B931, "YYYY-MM-DD"), 4)</f>
        <v>2011</v>
      </c>
      <c r="AF931" s="39" t="str">
        <f aca="false">RIGHT(TEXT(B931, "YYYY-MM-DD"), 2)</f>
        <v>11</v>
      </c>
    </row>
    <row r="932" customFormat="false" ht="15" hidden="false" customHeight="false" outlineLevel="0" collapsed="false">
      <c r="A932" s="43" t="n">
        <v>928</v>
      </c>
      <c r="B932" s="44" t="s">
        <v>125</v>
      </c>
      <c r="C932" s="43" t="n">
        <v>1</v>
      </c>
      <c r="D932" s="33" t="str">
        <f aca="false">VLOOKUP(C932, Lookups_Metadata!$A$4:$B$7, 2, FALSE())</f>
        <v>Spring</v>
      </c>
      <c r="E932" s="43" t="n">
        <v>0</v>
      </c>
      <c r="F932" s="43" t="n">
        <v>2</v>
      </c>
      <c r="G932" s="43" t="n">
        <v>6</v>
      </c>
      <c r="H932" s="45" t="b">
        <f aca="false">FALSE()</f>
        <v>0</v>
      </c>
      <c r="I932" s="43" t="n">
        <v>5</v>
      </c>
      <c r="J932" s="33" t="str">
        <f aca="false">INDEX(Lookups_Metadata!$E$4:$E$10, MATCH(I932, Lookups_Metadata!$D$4:$D$10, 0))</f>
        <v>Friday</v>
      </c>
      <c r="K932" s="33" t="str">
        <f aca="false">IF(H932=TRUE(), "Holiday", IF(OR(I932=0, I932=6), "Weekend", "Weekday"))</f>
        <v>Weekday</v>
      </c>
      <c r="L932" s="33" t="str">
        <f aca="false">IF(AND(K932="Weekday", OR(AND(G932&gt;=7, G932&lt;=9), AND(G932&gt;=17, G932&lt;=19))), "Peak Commute", "Off-Peak")</f>
        <v>Off-Peak</v>
      </c>
      <c r="M932" s="43" t="n">
        <v>1</v>
      </c>
      <c r="N932" s="33" t="str">
        <f aca="false">VLOOKUP(M932, Lookups_Metadata!$G$4:$H$7, 2, FALSE())</f>
        <v>Clear / Few Clouds</v>
      </c>
      <c r="O932" s="46" t="n">
        <v>0.1</v>
      </c>
      <c r="P932" s="46" t="n">
        <v>0.1818</v>
      </c>
      <c r="Q932" s="46" t="n">
        <f aca="false">IF(OR(P932="", ISBLANK(P932)), ROUND(0.9367*O932+0.0175, 4), P932)</f>
        <v>0.1818</v>
      </c>
      <c r="R932" s="33" t="str">
        <f aca="false">IF(OR(P932="", ISBLANK(P932)), "Imputed (Regression/Trend)", "Original")</f>
        <v>Original</v>
      </c>
      <c r="S932" s="46" t="n">
        <v>0.68</v>
      </c>
      <c r="T932" s="46" t="n">
        <v>0</v>
      </c>
      <c r="U932" s="18" t="n">
        <v>1</v>
      </c>
      <c r="V932" s="18" t="n">
        <v>23</v>
      </c>
      <c r="W932" s="18" t="n">
        <f aca="false">U932+V932</f>
        <v>24</v>
      </c>
      <c r="X932" s="47" t="n">
        <f aca="false">U932/W932</f>
        <v>0.0416666666666667</v>
      </c>
      <c r="Y932" s="47" t="n">
        <f aca="false">V932/W932</f>
        <v>0.958333333333333</v>
      </c>
      <c r="Z932" s="33" t="str">
        <f aca="false">IF(W932&gt;=150, "High Demand", IF(W932&gt;=50, "Moderate Demand", "Low Demand"))</f>
        <v>Low Demand</v>
      </c>
      <c r="AA932" s="45" t="str">
        <f aca="false">TEXT(G932, "00") &amp; ":00"</f>
        <v>06:00</v>
      </c>
      <c r="AB932" s="43" t="n">
        <f aca="false">YEAR(B932)</f>
        <v>2011</v>
      </c>
      <c r="AC932" s="33" t="str">
        <f aca="false">TEXT(B932, "mmmm")</f>
        <v>February</v>
      </c>
      <c r="AD932" s="43" t="n">
        <f aca="false">LEN(TEXT(B932, "YYYY-MM-DD"))</f>
        <v>10</v>
      </c>
      <c r="AE932" s="45" t="str">
        <f aca="false">LEFT(TEXT(B932, "YYYY-MM-DD"), 4)</f>
        <v>2011</v>
      </c>
      <c r="AF932" s="45" t="str">
        <f aca="false">RIGHT(TEXT(B932, "YYYY-MM-DD"), 2)</f>
        <v>11</v>
      </c>
    </row>
    <row r="933" customFormat="false" ht="15" hidden="false" customHeight="false" outlineLevel="0" collapsed="false">
      <c r="A933" s="37" t="n">
        <v>929</v>
      </c>
      <c r="B933" s="38" t="s">
        <v>125</v>
      </c>
      <c r="C933" s="37" t="n">
        <v>1</v>
      </c>
      <c r="D933" s="35" t="str">
        <f aca="false">VLOOKUP(C933, Lookups_Metadata!$A$4:$B$7, 2, FALSE())</f>
        <v>Spring</v>
      </c>
      <c r="E933" s="37" t="n">
        <v>0</v>
      </c>
      <c r="F933" s="37" t="n">
        <v>2</v>
      </c>
      <c r="G933" s="37" t="n">
        <v>7</v>
      </c>
      <c r="H933" s="39" t="b">
        <f aca="false">FALSE()</f>
        <v>0</v>
      </c>
      <c r="I933" s="37" t="n">
        <v>5</v>
      </c>
      <c r="J933" s="35" t="str">
        <f aca="false">INDEX(Lookups_Metadata!$E$4:$E$10, MATCH(I933, Lookups_Metadata!$D$4:$D$10, 0))</f>
        <v>Friday</v>
      </c>
      <c r="K933" s="35" t="str">
        <f aca="false">IF(H933=TRUE(), "Holiday", IF(OR(I933=0, I933=6), "Weekend", "Weekday"))</f>
        <v>Weekday</v>
      </c>
      <c r="L933" s="35" t="str">
        <f aca="false">IF(AND(K933="Weekday", OR(AND(G933&gt;=7, G933&lt;=9), AND(G933&gt;=17, G933&lt;=19))), "Peak Commute", "Off-Peak")</f>
        <v>Peak Commute</v>
      </c>
      <c r="M933" s="37" t="n">
        <v>1</v>
      </c>
      <c r="N933" s="35" t="str">
        <f aca="false">VLOOKUP(M933, Lookups_Metadata!$G$4:$H$7, 2, FALSE())</f>
        <v>Clear / Few Clouds</v>
      </c>
      <c r="O933" s="40" t="n">
        <v>0.08</v>
      </c>
      <c r="P933" s="40" t="n">
        <v>0.1667</v>
      </c>
      <c r="Q933" s="40" t="n">
        <f aca="false">IF(OR(P933="", ISBLANK(P933)), ROUND(0.9367*O933+0.0175, 4), P933)</f>
        <v>0.1667</v>
      </c>
      <c r="R933" s="35" t="str">
        <f aca="false">IF(OR(P933="", ISBLANK(P933)), "Imputed (Regression/Trend)", "Original")</f>
        <v>Original</v>
      </c>
      <c r="S933" s="40" t="n">
        <v>0.73</v>
      </c>
      <c r="T933" s="40" t="n">
        <v>0</v>
      </c>
      <c r="U933" s="41" t="n">
        <v>1</v>
      </c>
      <c r="V933" s="41" t="n">
        <v>73</v>
      </c>
      <c r="W933" s="41" t="n">
        <f aca="false">U933+V933</f>
        <v>74</v>
      </c>
      <c r="X933" s="42" t="n">
        <f aca="false">U933/W933</f>
        <v>0.0135135135135135</v>
      </c>
      <c r="Y933" s="42" t="n">
        <f aca="false">V933/W933</f>
        <v>0.986486486486487</v>
      </c>
      <c r="Z933" s="35" t="str">
        <f aca="false">IF(W933&gt;=150, "High Demand", IF(W933&gt;=50, "Moderate Demand", "Low Demand"))</f>
        <v>Moderate Demand</v>
      </c>
      <c r="AA933" s="39" t="str">
        <f aca="false">TEXT(G933, "00") &amp; ":00"</f>
        <v>07:00</v>
      </c>
      <c r="AB933" s="37" t="n">
        <f aca="false">YEAR(B933)</f>
        <v>2011</v>
      </c>
      <c r="AC933" s="35" t="str">
        <f aca="false">TEXT(B933, "mmmm")</f>
        <v>February</v>
      </c>
      <c r="AD933" s="37" t="n">
        <f aca="false">LEN(TEXT(B933, "YYYY-MM-DD"))</f>
        <v>10</v>
      </c>
      <c r="AE933" s="39" t="str">
        <f aca="false">LEFT(TEXT(B933, "YYYY-MM-DD"), 4)</f>
        <v>2011</v>
      </c>
      <c r="AF933" s="39" t="str">
        <f aca="false">RIGHT(TEXT(B933, "YYYY-MM-DD"), 2)</f>
        <v>11</v>
      </c>
    </row>
    <row r="934" customFormat="false" ht="15" hidden="false" customHeight="false" outlineLevel="0" collapsed="false">
      <c r="A934" s="43" t="n">
        <v>930</v>
      </c>
      <c r="B934" s="44" t="s">
        <v>125</v>
      </c>
      <c r="C934" s="43" t="n">
        <v>1</v>
      </c>
      <c r="D934" s="33" t="str">
        <f aca="false">VLOOKUP(C934, Lookups_Metadata!$A$4:$B$7, 2, FALSE())</f>
        <v>Spring</v>
      </c>
      <c r="E934" s="43" t="n">
        <v>0</v>
      </c>
      <c r="F934" s="43" t="n">
        <v>2</v>
      </c>
      <c r="G934" s="43" t="n">
        <v>8</v>
      </c>
      <c r="H934" s="45" t="b">
        <f aca="false">FALSE()</f>
        <v>0</v>
      </c>
      <c r="I934" s="43" t="n">
        <v>5</v>
      </c>
      <c r="J934" s="33" t="str">
        <f aca="false">INDEX(Lookups_Metadata!$E$4:$E$10, MATCH(I934, Lookups_Metadata!$D$4:$D$10, 0))</f>
        <v>Friday</v>
      </c>
      <c r="K934" s="33" t="str">
        <f aca="false">IF(H934=TRUE(), "Holiday", IF(OR(I934=0, I934=6), "Weekend", "Weekday"))</f>
        <v>Weekday</v>
      </c>
      <c r="L934" s="33" t="str">
        <f aca="false">IF(AND(K934="Weekday", OR(AND(G934&gt;=7, G934&lt;=9), AND(G934&gt;=17, G934&lt;=19))), "Peak Commute", "Off-Peak")</f>
        <v>Peak Commute</v>
      </c>
      <c r="M934" s="43" t="n">
        <v>1</v>
      </c>
      <c r="N934" s="33" t="str">
        <f aca="false">VLOOKUP(M934, Lookups_Metadata!$G$4:$H$7, 2, FALSE())</f>
        <v>Clear / Few Clouds</v>
      </c>
      <c r="O934" s="46" t="n">
        <v>0.1</v>
      </c>
      <c r="P934" s="46" t="n">
        <v>0.1212</v>
      </c>
      <c r="Q934" s="46" t="n">
        <f aca="false">IF(OR(P934="", ISBLANK(P934)), ROUND(0.9367*O934+0.0175, 4), P934)</f>
        <v>0.1212</v>
      </c>
      <c r="R934" s="33" t="str">
        <f aca="false">IF(OR(P934="", ISBLANK(P934)), "Imputed (Regression/Trend)", "Original")</f>
        <v>Original</v>
      </c>
      <c r="S934" s="46" t="n">
        <v>0.74</v>
      </c>
      <c r="T934" s="46" t="n">
        <v>0.1642</v>
      </c>
      <c r="U934" s="18" t="n">
        <v>4</v>
      </c>
      <c r="V934" s="18" t="n">
        <v>212</v>
      </c>
      <c r="W934" s="18" t="n">
        <f aca="false">U934+V934</f>
        <v>216</v>
      </c>
      <c r="X934" s="47" t="n">
        <f aca="false">U934/W934</f>
        <v>0.0185185185185185</v>
      </c>
      <c r="Y934" s="47" t="n">
        <f aca="false">V934/W934</f>
        <v>0.981481481481482</v>
      </c>
      <c r="Z934" s="33" t="str">
        <f aca="false">IF(W934&gt;=150, "High Demand", IF(W934&gt;=50, "Moderate Demand", "Low Demand"))</f>
        <v>High Demand</v>
      </c>
      <c r="AA934" s="45" t="str">
        <f aca="false">TEXT(G934, "00") &amp; ":00"</f>
        <v>08:00</v>
      </c>
      <c r="AB934" s="43" t="n">
        <f aca="false">YEAR(B934)</f>
        <v>2011</v>
      </c>
      <c r="AC934" s="33" t="str">
        <f aca="false">TEXT(B934, "mmmm")</f>
        <v>February</v>
      </c>
      <c r="AD934" s="43" t="n">
        <f aca="false">LEN(TEXT(B934, "YYYY-MM-DD"))</f>
        <v>10</v>
      </c>
      <c r="AE934" s="45" t="str">
        <f aca="false">LEFT(TEXT(B934, "YYYY-MM-DD"), 4)</f>
        <v>2011</v>
      </c>
      <c r="AF934" s="45" t="str">
        <f aca="false">RIGHT(TEXT(B934, "YYYY-MM-DD"), 2)</f>
        <v>11</v>
      </c>
    </row>
    <row r="935" customFormat="false" ht="15" hidden="false" customHeight="false" outlineLevel="0" collapsed="false">
      <c r="A935" s="37" t="n">
        <v>931</v>
      </c>
      <c r="B935" s="38" t="s">
        <v>125</v>
      </c>
      <c r="C935" s="37" t="n">
        <v>1</v>
      </c>
      <c r="D935" s="35" t="str">
        <f aca="false">VLOOKUP(C935, Lookups_Metadata!$A$4:$B$7, 2, FALSE())</f>
        <v>Spring</v>
      </c>
      <c r="E935" s="37" t="n">
        <v>0</v>
      </c>
      <c r="F935" s="37" t="n">
        <v>2</v>
      </c>
      <c r="G935" s="37" t="n">
        <v>9</v>
      </c>
      <c r="H935" s="39" t="b">
        <f aca="false">FALSE()</f>
        <v>0</v>
      </c>
      <c r="I935" s="37" t="n">
        <v>5</v>
      </c>
      <c r="J935" s="35" t="str">
        <f aca="false">INDEX(Lookups_Metadata!$E$4:$E$10, MATCH(I935, Lookups_Metadata!$D$4:$D$10, 0))</f>
        <v>Friday</v>
      </c>
      <c r="K935" s="35" t="str">
        <f aca="false">IF(H935=TRUE(), "Holiday", IF(OR(I935=0, I935=6), "Weekend", "Weekday"))</f>
        <v>Weekday</v>
      </c>
      <c r="L935" s="35" t="str">
        <f aca="false">IF(AND(K935="Weekday", OR(AND(G935&gt;=7, G935&lt;=9), AND(G935&gt;=17, G935&lt;=19))), "Peak Commute", "Off-Peak")</f>
        <v>Peak Commute</v>
      </c>
      <c r="M935" s="37" t="n">
        <v>1</v>
      </c>
      <c r="N935" s="35" t="str">
        <f aca="false">VLOOKUP(M935, Lookups_Metadata!$G$4:$H$7, 2, FALSE())</f>
        <v>Clear / Few Clouds</v>
      </c>
      <c r="O935" s="40" t="n">
        <v>0.12</v>
      </c>
      <c r="P935" s="40" t="n">
        <v>0.1212</v>
      </c>
      <c r="Q935" s="40" t="n">
        <f aca="false">IF(OR(P935="", ISBLANK(P935)), ROUND(0.9367*O935+0.0175, 4), P935)</f>
        <v>0.1212</v>
      </c>
      <c r="R935" s="35" t="str">
        <f aca="false">IF(OR(P935="", ISBLANK(P935)), "Imputed (Regression/Trend)", "Original")</f>
        <v>Original</v>
      </c>
      <c r="S935" s="40" t="n">
        <v>0.74</v>
      </c>
      <c r="T935" s="40" t="n">
        <v>0.2239</v>
      </c>
      <c r="U935" s="41" t="n">
        <v>8</v>
      </c>
      <c r="V935" s="41" t="n">
        <v>132</v>
      </c>
      <c r="W935" s="41" t="n">
        <f aca="false">U935+V935</f>
        <v>140</v>
      </c>
      <c r="X935" s="42" t="n">
        <f aca="false">U935/W935</f>
        <v>0.0571428571428571</v>
      </c>
      <c r="Y935" s="42" t="n">
        <f aca="false">V935/W935</f>
        <v>0.942857142857143</v>
      </c>
      <c r="Z935" s="35" t="str">
        <f aca="false">IF(W935&gt;=150, "High Demand", IF(W935&gt;=50, "Moderate Demand", "Low Demand"))</f>
        <v>Moderate Demand</v>
      </c>
      <c r="AA935" s="39" t="str">
        <f aca="false">TEXT(G935, "00") &amp; ":00"</f>
        <v>09:00</v>
      </c>
      <c r="AB935" s="37" t="n">
        <f aca="false">YEAR(B935)</f>
        <v>2011</v>
      </c>
      <c r="AC935" s="35" t="str">
        <f aca="false">TEXT(B935, "mmmm")</f>
        <v>February</v>
      </c>
      <c r="AD935" s="37" t="n">
        <f aca="false">LEN(TEXT(B935, "YYYY-MM-DD"))</f>
        <v>10</v>
      </c>
      <c r="AE935" s="39" t="str">
        <f aca="false">LEFT(TEXT(B935, "YYYY-MM-DD"), 4)</f>
        <v>2011</v>
      </c>
      <c r="AF935" s="39" t="str">
        <f aca="false">RIGHT(TEXT(B935, "YYYY-MM-DD"), 2)</f>
        <v>11</v>
      </c>
    </row>
    <row r="936" customFormat="false" ht="15" hidden="false" customHeight="false" outlineLevel="0" collapsed="false">
      <c r="A936" s="43" t="n">
        <v>932</v>
      </c>
      <c r="B936" s="44" t="s">
        <v>125</v>
      </c>
      <c r="C936" s="43" t="n">
        <v>1</v>
      </c>
      <c r="D936" s="33" t="str">
        <f aca="false">VLOOKUP(C936, Lookups_Metadata!$A$4:$B$7, 2, FALSE())</f>
        <v>Spring</v>
      </c>
      <c r="E936" s="43" t="n">
        <v>0</v>
      </c>
      <c r="F936" s="43" t="n">
        <v>2</v>
      </c>
      <c r="G936" s="43" t="n">
        <v>10</v>
      </c>
      <c r="H936" s="45" t="b">
        <f aca="false">FALSE()</f>
        <v>0</v>
      </c>
      <c r="I936" s="43" t="n">
        <v>5</v>
      </c>
      <c r="J936" s="33" t="str">
        <f aca="false">INDEX(Lookups_Metadata!$E$4:$E$10, MATCH(I936, Lookups_Metadata!$D$4:$D$10, 0))</f>
        <v>Friday</v>
      </c>
      <c r="K936" s="33" t="str">
        <f aca="false">IF(H936=TRUE(), "Holiday", IF(OR(I936=0, I936=6), "Weekend", "Weekday"))</f>
        <v>Weekday</v>
      </c>
      <c r="L936" s="33" t="str">
        <f aca="false">IF(AND(K936="Weekday", OR(AND(G936&gt;=7, G936&lt;=9), AND(G936&gt;=17, G936&lt;=19))), "Peak Commute", "Off-Peak")</f>
        <v>Off-Peak</v>
      </c>
      <c r="M936" s="43" t="n">
        <v>1</v>
      </c>
      <c r="N936" s="33" t="str">
        <f aca="false">VLOOKUP(M936, Lookups_Metadata!$G$4:$H$7, 2, FALSE())</f>
        <v>Clear / Few Clouds</v>
      </c>
      <c r="O936" s="46" t="n">
        <v>0.14</v>
      </c>
      <c r="P936" s="46" t="n">
        <v>0.1364</v>
      </c>
      <c r="Q936" s="46" t="n">
        <f aca="false">IF(OR(P936="", ISBLANK(P936)), ROUND(0.9367*O936+0.0175, 4), P936)</f>
        <v>0.1364</v>
      </c>
      <c r="R936" s="33" t="str">
        <f aca="false">IF(OR(P936="", ISBLANK(P936)), "Imputed (Regression/Trend)", "Original")</f>
        <v>Original</v>
      </c>
      <c r="S936" s="46" t="n">
        <v>0.69</v>
      </c>
      <c r="T936" s="46" t="n">
        <v>0.194</v>
      </c>
      <c r="U936" s="18" t="n">
        <v>5</v>
      </c>
      <c r="V936" s="18" t="n">
        <v>39</v>
      </c>
      <c r="W936" s="18" t="n">
        <f aca="false">U936+V936</f>
        <v>44</v>
      </c>
      <c r="X936" s="47" t="n">
        <f aca="false">U936/W936</f>
        <v>0.113636363636364</v>
      </c>
      <c r="Y936" s="47" t="n">
        <f aca="false">V936/W936</f>
        <v>0.886363636363636</v>
      </c>
      <c r="Z936" s="33" t="str">
        <f aca="false">IF(W936&gt;=150, "High Demand", IF(W936&gt;=50, "Moderate Demand", "Low Demand"))</f>
        <v>Low Demand</v>
      </c>
      <c r="AA936" s="45" t="str">
        <f aca="false">TEXT(G936, "00") &amp; ":00"</f>
        <v>10:00</v>
      </c>
      <c r="AB936" s="43" t="n">
        <f aca="false">YEAR(B936)</f>
        <v>2011</v>
      </c>
      <c r="AC936" s="33" t="str">
        <f aca="false">TEXT(B936, "mmmm")</f>
        <v>February</v>
      </c>
      <c r="AD936" s="43" t="n">
        <f aca="false">LEN(TEXT(B936, "YYYY-MM-DD"))</f>
        <v>10</v>
      </c>
      <c r="AE936" s="45" t="str">
        <f aca="false">LEFT(TEXT(B936, "YYYY-MM-DD"), 4)</f>
        <v>2011</v>
      </c>
      <c r="AF936" s="45" t="str">
        <f aca="false">RIGHT(TEXT(B936, "YYYY-MM-DD"), 2)</f>
        <v>11</v>
      </c>
    </row>
    <row r="937" customFormat="false" ht="15" hidden="false" customHeight="false" outlineLevel="0" collapsed="false">
      <c r="A937" s="37" t="n">
        <v>933</v>
      </c>
      <c r="B937" s="38" t="s">
        <v>125</v>
      </c>
      <c r="C937" s="37" t="n">
        <v>1</v>
      </c>
      <c r="D937" s="35" t="str">
        <f aca="false">VLOOKUP(C937, Lookups_Metadata!$A$4:$B$7, 2, FALSE())</f>
        <v>Spring</v>
      </c>
      <c r="E937" s="37" t="n">
        <v>0</v>
      </c>
      <c r="F937" s="37" t="n">
        <v>2</v>
      </c>
      <c r="G937" s="37" t="n">
        <v>11</v>
      </c>
      <c r="H937" s="39" t="b">
        <f aca="false">FALSE()</f>
        <v>0</v>
      </c>
      <c r="I937" s="37" t="n">
        <v>5</v>
      </c>
      <c r="J937" s="35" t="str">
        <f aca="false">INDEX(Lookups_Metadata!$E$4:$E$10, MATCH(I937, Lookups_Metadata!$D$4:$D$10, 0))</f>
        <v>Friday</v>
      </c>
      <c r="K937" s="35" t="str">
        <f aca="false">IF(H937=TRUE(), "Holiday", IF(OR(I937=0, I937=6), "Weekend", "Weekday"))</f>
        <v>Weekday</v>
      </c>
      <c r="L937" s="35" t="str">
        <f aca="false">IF(AND(K937="Weekday", OR(AND(G937&gt;=7, G937&lt;=9), AND(G937&gt;=17, G937&lt;=19))), "Peak Commute", "Off-Peak")</f>
        <v>Off-Peak</v>
      </c>
      <c r="M937" s="37" t="n">
        <v>1</v>
      </c>
      <c r="N937" s="35" t="str">
        <f aca="false">VLOOKUP(M937, Lookups_Metadata!$G$4:$H$7, 2, FALSE())</f>
        <v>Clear / Few Clouds</v>
      </c>
      <c r="O937" s="40" t="n">
        <v>0.22</v>
      </c>
      <c r="P937" s="40" t="n">
        <v>0.2273</v>
      </c>
      <c r="Q937" s="40" t="n">
        <f aca="false">IF(OR(P937="", ISBLANK(P937)), ROUND(0.9367*O937+0.0175, 4), P937)</f>
        <v>0.2273</v>
      </c>
      <c r="R937" s="35" t="str">
        <f aca="false">IF(OR(P937="", ISBLANK(P937)), "Imputed (Regression/Trend)", "Original")</f>
        <v>Original</v>
      </c>
      <c r="S937" s="40" t="n">
        <v>0.47</v>
      </c>
      <c r="T937" s="40" t="n">
        <v>0.1343</v>
      </c>
      <c r="U937" s="41" t="n">
        <v>12</v>
      </c>
      <c r="V937" s="41" t="n">
        <v>52</v>
      </c>
      <c r="W937" s="41" t="n">
        <f aca="false">U937+V937</f>
        <v>64</v>
      </c>
      <c r="X937" s="42" t="n">
        <f aca="false">U937/W937</f>
        <v>0.1875</v>
      </c>
      <c r="Y937" s="42" t="n">
        <f aca="false">V937/W937</f>
        <v>0.8125</v>
      </c>
      <c r="Z937" s="35" t="str">
        <f aca="false">IF(W937&gt;=150, "High Demand", IF(W937&gt;=50, "Moderate Demand", "Low Demand"))</f>
        <v>Moderate Demand</v>
      </c>
      <c r="AA937" s="39" t="str">
        <f aca="false">TEXT(G937, "00") &amp; ":00"</f>
        <v>11:00</v>
      </c>
      <c r="AB937" s="37" t="n">
        <f aca="false">YEAR(B937)</f>
        <v>2011</v>
      </c>
      <c r="AC937" s="35" t="str">
        <f aca="false">TEXT(B937, "mmmm")</f>
        <v>February</v>
      </c>
      <c r="AD937" s="37" t="n">
        <f aca="false">LEN(TEXT(B937, "YYYY-MM-DD"))</f>
        <v>10</v>
      </c>
      <c r="AE937" s="39" t="str">
        <f aca="false">LEFT(TEXT(B937, "YYYY-MM-DD"), 4)</f>
        <v>2011</v>
      </c>
      <c r="AF937" s="39" t="str">
        <f aca="false">RIGHT(TEXT(B937, "YYYY-MM-DD"), 2)</f>
        <v>11</v>
      </c>
    </row>
    <row r="938" customFormat="false" ht="15" hidden="false" customHeight="false" outlineLevel="0" collapsed="false">
      <c r="A938" s="43" t="n">
        <v>934</v>
      </c>
      <c r="B938" s="44" t="s">
        <v>125</v>
      </c>
      <c r="C938" s="43" t="n">
        <v>1</v>
      </c>
      <c r="D938" s="33" t="str">
        <f aca="false">VLOOKUP(C938, Lookups_Metadata!$A$4:$B$7, 2, FALSE())</f>
        <v>Spring</v>
      </c>
      <c r="E938" s="43" t="n">
        <v>0</v>
      </c>
      <c r="F938" s="43" t="n">
        <v>2</v>
      </c>
      <c r="G938" s="43" t="n">
        <v>12</v>
      </c>
      <c r="H938" s="45" t="b">
        <f aca="false">FALSE()</f>
        <v>0</v>
      </c>
      <c r="I938" s="43" t="n">
        <v>5</v>
      </c>
      <c r="J938" s="33" t="str">
        <f aca="false">INDEX(Lookups_Metadata!$E$4:$E$10, MATCH(I938, Lookups_Metadata!$D$4:$D$10, 0))</f>
        <v>Friday</v>
      </c>
      <c r="K938" s="33" t="str">
        <f aca="false">IF(H938=TRUE(), "Holiday", IF(OR(I938=0, I938=6), "Weekend", "Weekday"))</f>
        <v>Weekday</v>
      </c>
      <c r="L938" s="33" t="str">
        <f aca="false">IF(AND(K938="Weekday", OR(AND(G938&gt;=7, G938&lt;=9), AND(G938&gt;=17, G938&lt;=19))), "Peak Commute", "Off-Peak")</f>
        <v>Off-Peak</v>
      </c>
      <c r="M938" s="43" t="n">
        <v>1</v>
      </c>
      <c r="N938" s="33" t="str">
        <f aca="false">VLOOKUP(M938, Lookups_Metadata!$G$4:$H$7, 2, FALSE())</f>
        <v>Clear / Few Clouds</v>
      </c>
      <c r="O938" s="46" t="n">
        <v>0.22</v>
      </c>
      <c r="P938" s="46" t="n">
        <v>0.2273</v>
      </c>
      <c r="Q938" s="46" t="n">
        <f aca="false">IF(OR(P938="", ISBLANK(P938)), ROUND(0.9367*O938+0.0175, 4), P938)</f>
        <v>0.2273</v>
      </c>
      <c r="R938" s="33" t="str">
        <f aca="false">IF(OR(P938="", ISBLANK(P938)), "Imputed (Regression/Trend)", "Original")</f>
        <v>Original</v>
      </c>
      <c r="S938" s="46" t="n">
        <v>0.47</v>
      </c>
      <c r="T938" s="46" t="n">
        <v>0.1343</v>
      </c>
      <c r="U938" s="18" t="n">
        <v>7</v>
      </c>
      <c r="V938" s="18" t="n">
        <v>64</v>
      </c>
      <c r="W938" s="18" t="n">
        <f aca="false">U938+V938</f>
        <v>71</v>
      </c>
      <c r="X938" s="47" t="n">
        <f aca="false">U938/W938</f>
        <v>0.0985915492957746</v>
      </c>
      <c r="Y938" s="47" t="n">
        <f aca="false">V938/W938</f>
        <v>0.901408450704225</v>
      </c>
      <c r="Z938" s="33" t="str">
        <f aca="false">IF(W938&gt;=150, "High Demand", IF(W938&gt;=50, "Moderate Demand", "Low Demand"))</f>
        <v>Moderate Demand</v>
      </c>
      <c r="AA938" s="45" t="str">
        <f aca="false">TEXT(G938, "00") &amp; ":00"</f>
        <v>12:00</v>
      </c>
      <c r="AB938" s="43" t="n">
        <f aca="false">YEAR(B938)</f>
        <v>2011</v>
      </c>
      <c r="AC938" s="33" t="str">
        <f aca="false">TEXT(B938, "mmmm")</f>
        <v>February</v>
      </c>
      <c r="AD938" s="43" t="n">
        <f aca="false">LEN(TEXT(B938, "YYYY-MM-DD"))</f>
        <v>10</v>
      </c>
      <c r="AE938" s="45" t="str">
        <f aca="false">LEFT(TEXT(B938, "YYYY-MM-DD"), 4)</f>
        <v>2011</v>
      </c>
      <c r="AF938" s="45" t="str">
        <f aca="false">RIGHT(TEXT(B938, "YYYY-MM-DD"), 2)</f>
        <v>11</v>
      </c>
    </row>
    <row r="939" customFormat="false" ht="15" hidden="false" customHeight="false" outlineLevel="0" collapsed="false">
      <c r="A939" s="37" t="n">
        <v>935</v>
      </c>
      <c r="B939" s="38" t="s">
        <v>125</v>
      </c>
      <c r="C939" s="37" t="n">
        <v>1</v>
      </c>
      <c r="D939" s="35" t="str">
        <f aca="false">VLOOKUP(C939, Lookups_Metadata!$A$4:$B$7, 2, FALSE())</f>
        <v>Spring</v>
      </c>
      <c r="E939" s="37" t="n">
        <v>0</v>
      </c>
      <c r="F939" s="37" t="n">
        <v>2</v>
      </c>
      <c r="G939" s="37" t="n">
        <v>13</v>
      </c>
      <c r="H939" s="39" t="b">
        <f aca="false">FALSE()</f>
        <v>0</v>
      </c>
      <c r="I939" s="37" t="n">
        <v>5</v>
      </c>
      <c r="J939" s="35" t="str">
        <f aca="false">INDEX(Lookups_Metadata!$E$4:$E$10, MATCH(I939, Lookups_Metadata!$D$4:$D$10, 0))</f>
        <v>Friday</v>
      </c>
      <c r="K939" s="35" t="str">
        <f aca="false">IF(H939=TRUE(), "Holiday", IF(OR(I939=0, I939=6), "Weekend", "Weekday"))</f>
        <v>Weekday</v>
      </c>
      <c r="L939" s="35" t="str">
        <f aca="false">IF(AND(K939="Weekday", OR(AND(G939&gt;=7, G939&lt;=9), AND(G939&gt;=17, G939&lt;=19))), "Peak Commute", "Off-Peak")</f>
        <v>Off-Peak</v>
      </c>
      <c r="M939" s="37" t="n">
        <v>1</v>
      </c>
      <c r="N939" s="35" t="str">
        <f aca="false">VLOOKUP(M939, Lookups_Metadata!$G$4:$H$7, 2, FALSE())</f>
        <v>Clear / Few Clouds</v>
      </c>
      <c r="O939" s="40" t="n">
        <v>0.24</v>
      </c>
      <c r="P939" s="40" t="n">
        <v>0.2273</v>
      </c>
      <c r="Q939" s="40" t="n">
        <f aca="false">IF(OR(P939="", ISBLANK(P939)), ROUND(0.9367*O939+0.0175, 4), P939)</f>
        <v>0.2273</v>
      </c>
      <c r="R939" s="35" t="str">
        <f aca="false">IF(OR(P939="", ISBLANK(P939)), "Imputed (Regression/Trend)", "Original")</f>
        <v>Original</v>
      </c>
      <c r="S939" s="40" t="n">
        <v>0.35</v>
      </c>
      <c r="T939" s="40" t="n">
        <v>0.194</v>
      </c>
      <c r="U939" s="41" t="n">
        <v>21</v>
      </c>
      <c r="V939" s="41" t="n">
        <v>89</v>
      </c>
      <c r="W939" s="41" t="n">
        <f aca="false">U939+V939</f>
        <v>110</v>
      </c>
      <c r="X939" s="42" t="n">
        <f aca="false">U939/W939</f>
        <v>0.190909090909091</v>
      </c>
      <c r="Y939" s="42" t="n">
        <f aca="false">V939/W939</f>
        <v>0.809090909090909</v>
      </c>
      <c r="Z939" s="35" t="str">
        <f aca="false">IF(W939&gt;=150, "High Demand", IF(W939&gt;=50, "Moderate Demand", "Low Demand"))</f>
        <v>Moderate Demand</v>
      </c>
      <c r="AA939" s="39" t="str">
        <f aca="false">TEXT(G939, "00") &amp; ":00"</f>
        <v>13:00</v>
      </c>
      <c r="AB939" s="37" t="n">
        <f aca="false">YEAR(B939)</f>
        <v>2011</v>
      </c>
      <c r="AC939" s="35" t="str">
        <f aca="false">TEXT(B939, "mmmm")</f>
        <v>February</v>
      </c>
      <c r="AD939" s="37" t="n">
        <f aca="false">LEN(TEXT(B939, "YYYY-MM-DD"))</f>
        <v>10</v>
      </c>
      <c r="AE939" s="39" t="str">
        <f aca="false">LEFT(TEXT(B939, "YYYY-MM-DD"), 4)</f>
        <v>2011</v>
      </c>
      <c r="AF939" s="39" t="str">
        <f aca="false">RIGHT(TEXT(B939, "YYYY-MM-DD"), 2)</f>
        <v>11</v>
      </c>
    </row>
    <row r="940" customFormat="false" ht="15" hidden="false" customHeight="false" outlineLevel="0" collapsed="false">
      <c r="A940" s="43" t="n">
        <v>936</v>
      </c>
      <c r="B940" s="44" t="s">
        <v>125</v>
      </c>
      <c r="C940" s="43" t="n">
        <v>1</v>
      </c>
      <c r="D940" s="33" t="str">
        <f aca="false">VLOOKUP(C940, Lookups_Metadata!$A$4:$B$7, 2, FALSE())</f>
        <v>Spring</v>
      </c>
      <c r="E940" s="43" t="n">
        <v>0</v>
      </c>
      <c r="F940" s="43" t="n">
        <v>2</v>
      </c>
      <c r="G940" s="43" t="n">
        <v>14</v>
      </c>
      <c r="H940" s="45" t="b">
        <f aca="false">FALSE()</f>
        <v>0</v>
      </c>
      <c r="I940" s="43" t="n">
        <v>5</v>
      </c>
      <c r="J940" s="33" t="str">
        <f aca="false">INDEX(Lookups_Metadata!$E$4:$E$10, MATCH(I940, Lookups_Metadata!$D$4:$D$10, 0))</f>
        <v>Friday</v>
      </c>
      <c r="K940" s="33" t="str">
        <f aca="false">IF(H940=TRUE(), "Holiday", IF(OR(I940=0, I940=6), "Weekend", "Weekday"))</f>
        <v>Weekday</v>
      </c>
      <c r="L940" s="33" t="str">
        <f aca="false">IF(AND(K940="Weekday", OR(AND(G940&gt;=7, G940&lt;=9), AND(G940&gt;=17, G940&lt;=19))), "Peak Commute", "Off-Peak")</f>
        <v>Off-Peak</v>
      </c>
      <c r="M940" s="43" t="n">
        <v>1</v>
      </c>
      <c r="N940" s="33" t="str">
        <f aca="false">VLOOKUP(M940, Lookups_Metadata!$G$4:$H$7, 2, FALSE())</f>
        <v>Clear / Few Clouds</v>
      </c>
      <c r="O940" s="46" t="n">
        <v>0.3</v>
      </c>
      <c r="P940" s="46" t="n">
        <v>0.2879</v>
      </c>
      <c r="Q940" s="46" t="n">
        <f aca="false">IF(OR(P940="", ISBLANK(P940)), ROUND(0.9367*O940+0.0175, 4), P940)</f>
        <v>0.2879</v>
      </c>
      <c r="R940" s="33" t="str">
        <f aca="false">IF(OR(P940="", ISBLANK(P940)), "Imputed (Regression/Trend)", "Original")</f>
        <v>Original</v>
      </c>
      <c r="S940" s="46" t="n">
        <v>0.26</v>
      </c>
      <c r="T940" s="46" t="n">
        <v>0.2537</v>
      </c>
      <c r="U940" s="18" t="n">
        <v>17</v>
      </c>
      <c r="V940" s="18" t="n">
        <v>67</v>
      </c>
      <c r="W940" s="18" t="n">
        <f aca="false">U940+V940</f>
        <v>84</v>
      </c>
      <c r="X940" s="47" t="n">
        <f aca="false">U940/W940</f>
        <v>0.202380952380952</v>
      </c>
      <c r="Y940" s="47" t="n">
        <f aca="false">V940/W940</f>
        <v>0.797619047619048</v>
      </c>
      <c r="Z940" s="33" t="str">
        <f aca="false">IF(W940&gt;=150, "High Demand", IF(W940&gt;=50, "Moderate Demand", "Low Demand"))</f>
        <v>Moderate Demand</v>
      </c>
      <c r="AA940" s="45" t="str">
        <f aca="false">TEXT(G940, "00") &amp; ":00"</f>
        <v>14:00</v>
      </c>
      <c r="AB940" s="43" t="n">
        <f aca="false">YEAR(B940)</f>
        <v>2011</v>
      </c>
      <c r="AC940" s="33" t="str">
        <f aca="false">TEXT(B940, "mmmm")</f>
        <v>February</v>
      </c>
      <c r="AD940" s="43" t="n">
        <f aca="false">LEN(TEXT(B940, "YYYY-MM-DD"))</f>
        <v>10</v>
      </c>
      <c r="AE940" s="45" t="str">
        <f aca="false">LEFT(TEXT(B940, "YYYY-MM-DD"), 4)</f>
        <v>2011</v>
      </c>
      <c r="AF940" s="45" t="str">
        <f aca="false">RIGHT(TEXT(B940, "YYYY-MM-DD"), 2)</f>
        <v>11</v>
      </c>
    </row>
    <row r="941" customFormat="false" ht="15" hidden="false" customHeight="false" outlineLevel="0" collapsed="false">
      <c r="A941" s="37" t="n">
        <v>937</v>
      </c>
      <c r="B941" s="38" t="s">
        <v>125</v>
      </c>
      <c r="C941" s="37" t="n">
        <v>1</v>
      </c>
      <c r="D941" s="35" t="str">
        <f aca="false">VLOOKUP(C941, Lookups_Metadata!$A$4:$B$7, 2, FALSE())</f>
        <v>Spring</v>
      </c>
      <c r="E941" s="37" t="n">
        <v>0</v>
      </c>
      <c r="F941" s="37" t="n">
        <v>2</v>
      </c>
      <c r="G941" s="37" t="n">
        <v>15</v>
      </c>
      <c r="H941" s="39" t="b">
        <f aca="false">FALSE()</f>
        <v>0</v>
      </c>
      <c r="I941" s="37" t="n">
        <v>5</v>
      </c>
      <c r="J941" s="35" t="str">
        <f aca="false">INDEX(Lookups_Metadata!$E$4:$E$10, MATCH(I941, Lookups_Metadata!$D$4:$D$10, 0))</f>
        <v>Friday</v>
      </c>
      <c r="K941" s="35" t="str">
        <f aca="false">IF(H941=TRUE(), "Holiday", IF(OR(I941=0, I941=6), "Weekend", "Weekday"))</f>
        <v>Weekday</v>
      </c>
      <c r="L941" s="35" t="str">
        <f aca="false">IF(AND(K941="Weekday", OR(AND(G941&gt;=7, G941&lt;=9), AND(G941&gt;=17, G941&lt;=19))), "Peak Commute", "Off-Peak")</f>
        <v>Off-Peak</v>
      </c>
      <c r="M941" s="37" t="n">
        <v>1</v>
      </c>
      <c r="N941" s="35" t="str">
        <f aca="false">VLOOKUP(M941, Lookups_Metadata!$G$4:$H$7, 2, FALSE())</f>
        <v>Clear / Few Clouds</v>
      </c>
      <c r="O941" s="40" t="n">
        <v>0.32</v>
      </c>
      <c r="P941" s="40" t="n">
        <v>0.3182</v>
      </c>
      <c r="Q941" s="40" t="n">
        <f aca="false">IF(OR(P941="", ISBLANK(P941)), ROUND(0.9367*O941+0.0175, 4), P941)</f>
        <v>0.3182</v>
      </c>
      <c r="R941" s="35" t="str">
        <f aca="false">IF(OR(P941="", ISBLANK(P941)), "Imputed (Regression/Trend)", "Original")</f>
        <v>Original</v>
      </c>
      <c r="S941" s="40" t="n">
        <v>0.21</v>
      </c>
      <c r="T941" s="40" t="n">
        <v>0.1642</v>
      </c>
      <c r="U941" s="41" t="n">
        <v>12</v>
      </c>
      <c r="V941" s="41" t="n">
        <v>62</v>
      </c>
      <c r="W941" s="41" t="n">
        <f aca="false">U941+V941</f>
        <v>74</v>
      </c>
      <c r="X941" s="42" t="n">
        <f aca="false">U941/W941</f>
        <v>0.162162162162162</v>
      </c>
      <c r="Y941" s="42" t="n">
        <f aca="false">V941/W941</f>
        <v>0.837837837837838</v>
      </c>
      <c r="Z941" s="35" t="str">
        <f aca="false">IF(W941&gt;=150, "High Demand", IF(W941&gt;=50, "Moderate Demand", "Low Demand"))</f>
        <v>Moderate Demand</v>
      </c>
      <c r="AA941" s="39" t="str">
        <f aca="false">TEXT(G941, "00") &amp; ":00"</f>
        <v>15:00</v>
      </c>
      <c r="AB941" s="37" t="n">
        <f aca="false">YEAR(B941)</f>
        <v>2011</v>
      </c>
      <c r="AC941" s="35" t="str">
        <f aca="false">TEXT(B941, "mmmm")</f>
        <v>February</v>
      </c>
      <c r="AD941" s="37" t="n">
        <f aca="false">LEN(TEXT(B941, "YYYY-MM-DD"))</f>
        <v>10</v>
      </c>
      <c r="AE941" s="39" t="str">
        <f aca="false">LEFT(TEXT(B941, "YYYY-MM-DD"), 4)</f>
        <v>2011</v>
      </c>
      <c r="AF941" s="39" t="str">
        <f aca="false">RIGHT(TEXT(B941, "YYYY-MM-DD"), 2)</f>
        <v>11</v>
      </c>
    </row>
    <row r="942" customFormat="false" ht="15" hidden="false" customHeight="false" outlineLevel="0" collapsed="false">
      <c r="A942" s="43" t="n">
        <v>938</v>
      </c>
      <c r="B942" s="44" t="s">
        <v>125</v>
      </c>
      <c r="C942" s="43" t="n">
        <v>1</v>
      </c>
      <c r="D942" s="33" t="str">
        <f aca="false">VLOOKUP(C942, Lookups_Metadata!$A$4:$B$7, 2, FALSE())</f>
        <v>Spring</v>
      </c>
      <c r="E942" s="43" t="n">
        <v>0</v>
      </c>
      <c r="F942" s="43" t="n">
        <v>2</v>
      </c>
      <c r="G942" s="43" t="n">
        <v>16</v>
      </c>
      <c r="H942" s="45" t="b">
        <f aca="false">FALSE()</f>
        <v>0</v>
      </c>
      <c r="I942" s="43" t="n">
        <v>5</v>
      </c>
      <c r="J942" s="33" t="str">
        <f aca="false">INDEX(Lookups_Metadata!$E$4:$E$10, MATCH(I942, Lookups_Metadata!$D$4:$D$10, 0))</f>
        <v>Friday</v>
      </c>
      <c r="K942" s="33" t="str">
        <f aca="false">IF(H942=TRUE(), "Holiday", IF(OR(I942=0, I942=6), "Weekend", "Weekday"))</f>
        <v>Weekday</v>
      </c>
      <c r="L942" s="33" t="str">
        <f aca="false">IF(AND(K942="Weekday", OR(AND(G942&gt;=7, G942&lt;=9), AND(G942&gt;=17, G942&lt;=19))), "Peak Commute", "Off-Peak")</f>
        <v>Off-Peak</v>
      </c>
      <c r="M942" s="43" t="n">
        <v>1</v>
      </c>
      <c r="N942" s="33" t="str">
        <f aca="false">VLOOKUP(M942, Lookups_Metadata!$G$4:$H$7, 2, FALSE())</f>
        <v>Clear / Few Clouds</v>
      </c>
      <c r="O942" s="46" t="n">
        <v>0.3</v>
      </c>
      <c r="P942" s="46" t="n">
        <v>0.2879</v>
      </c>
      <c r="Q942" s="46" t="n">
        <f aca="false">IF(OR(P942="", ISBLANK(P942)), ROUND(0.9367*O942+0.0175, 4), P942)</f>
        <v>0.2879</v>
      </c>
      <c r="R942" s="33" t="str">
        <f aca="false">IF(OR(P942="", ISBLANK(P942)), "Imputed (Regression/Trend)", "Original")</f>
        <v>Original</v>
      </c>
      <c r="S942" s="46" t="n">
        <v>0.28</v>
      </c>
      <c r="T942" s="46" t="n">
        <v>0.194</v>
      </c>
      <c r="U942" s="18" t="n">
        <v>14</v>
      </c>
      <c r="V942" s="18" t="n">
        <v>111</v>
      </c>
      <c r="W942" s="18" t="n">
        <f aca="false">U942+V942</f>
        <v>125</v>
      </c>
      <c r="X942" s="47" t="n">
        <f aca="false">U942/W942</f>
        <v>0.112</v>
      </c>
      <c r="Y942" s="47" t="n">
        <f aca="false">V942/W942</f>
        <v>0.888</v>
      </c>
      <c r="Z942" s="33" t="str">
        <f aca="false">IF(W942&gt;=150, "High Demand", IF(W942&gt;=50, "Moderate Demand", "Low Demand"))</f>
        <v>Moderate Demand</v>
      </c>
      <c r="AA942" s="45" t="str">
        <f aca="false">TEXT(G942, "00") &amp; ":00"</f>
        <v>16:00</v>
      </c>
      <c r="AB942" s="43" t="n">
        <f aca="false">YEAR(B942)</f>
        <v>2011</v>
      </c>
      <c r="AC942" s="33" t="str">
        <f aca="false">TEXT(B942, "mmmm")</f>
        <v>February</v>
      </c>
      <c r="AD942" s="43" t="n">
        <f aca="false">LEN(TEXT(B942, "YYYY-MM-DD"))</f>
        <v>10</v>
      </c>
      <c r="AE942" s="45" t="str">
        <f aca="false">LEFT(TEXT(B942, "YYYY-MM-DD"), 4)</f>
        <v>2011</v>
      </c>
      <c r="AF942" s="45" t="str">
        <f aca="false">RIGHT(TEXT(B942, "YYYY-MM-DD"), 2)</f>
        <v>11</v>
      </c>
    </row>
    <row r="943" customFormat="false" ht="15" hidden="false" customHeight="false" outlineLevel="0" collapsed="false">
      <c r="A943" s="37" t="n">
        <v>939</v>
      </c>
      <c r="B943" s="38" t="s">
        <v>125</v>
      </c>
      <c r="C943" s="37" t="n">
        <v>1</v>
      </c>
      <c r="D943" s="35" t="str">
        <f aca="false">VLOOKUP(C943, Lookups_Metadata!$A$4:$B$7, 2, FALSE())</f>
        <v>Spring</v>
      </c>
      <c r="E943" s="37" t="n">
        <v>0</v>
      </c>
      <c r="F943" s="37" t="n">
        <v>2</v>
      </c>
      <c r="G943" s="37" t="n">
        <v>17</v>
      </c>
      <c r="H943" s="39" t="b">
        <f aca="false">FALSE()</f>
        <v>0</v>
      </c>
      <c r="I943" s="37" t="n">
        <v>5</v>
      </c>
      <c r="J943" s="35" t="str">
        <f aca="false">INDEX(Lookups_Metadata!$E$4:$E$10, MATCH(I943, Lookups_Metadata!$D$4:$D$10, 0))</f>
        <v>Friday</v>
      </c>
      <c r="K943" s="35" t="str">
        <f aca="false">IF(H943=TRUE(), "Holiday", IF(OR(I943=0, I943=6), "Weekend", "Weekday"))</f>
        <v>Weekday</v>
      </c>
      <c r="L943" s="35" t="str">
        <f aca="false">IF(AND(K943="Weekday", OR(AND(G943&gt;=7, G943&lt;=9), AND(G943&gt;=17, G943&lt;=19))), "Peak Commute", "Off-Peak")</f>
        <v>Peak Commute</v>
      </c>
      <c r="M943" s="37" t="n">
        <v>1</v>
      </c>
      <c r="N943" s="35" t="str">
        <f aca="false">VLOOKUP(M943, Lookups_Metadata!$G$4:$H$7, 2, FALSE())</f>
        <v>Clear / Few Clouds</v>
      </c>
      <c r="O943" s="40" t="n">
        <v>0.3</v>
      </c>
      <c r="P943" s="40" t="n">
        <v>0.3333</v>
      </c>
      <c r="Q943" s="40" t="n">
        <f aca="false">IF(OR(P943="", ISBLANK(P943)), ROUND(0.9367*O943+0.0175, 4), P943)</f>
        <v>0.3333</v>
      </c>
      <c r="R943" s="35" t="str">
        <f aca="false">IF(OR(P943="", ISBLANK(P943)), "Imputed (Regression/Trend)", "Original")</f>
        <v>Original</v>
      </c>
      <c r="S943" s="40" t="n">
        <v>0.24</v>
      </c>
      <c r="T943" s="40" t="n">
        <v>0</v>
      </c>
      <c r="U943" s="41" t="n">
        <v>18</v>
      </c>
      <c r="V943" s="41" t="n">
        <v>193</v>
      </c>
      <c r="W943" s="41" t="n">
        <f aca="false">U943+V943</f>
        <v>211</v>
      </c>
      <c r="X943" s="42" t="n">
        <f aca="false">U943/W943</f>
        <v>0.0853080568720379</v>
      </c>
      <c r="Y943" s="42" t="n">
        <f aca="false">V943/W943</f>
        <v>0.914691943127962</v>
      </c>
      <c r="Z943" s="35" t="str">
        <f aca="false">IF(W943&gt;=150, "High Demand", IF(W943&gt;=50, "Moderate Demand", "Low Demand"))</f>
        <v>High Demand</v>
      </c>
      <c r="AA943" s="39" t="str">
        <f aca="false">TEXT(G943, "00") &amp; ":00"</f>
        <v>17:00</v>
      </c>
      <c r="AB943" s="37" t="n">
        <f aca="false">YEAR(B943)</f>
        <v>2011</v>
      </c>
      <c r="AC943" s="35" t="str">
        <f aca="false">TEXT(B943, "mmmm")</f>
        <v>February</v>
      </c>
      <c r="AD943" s="37" t="n">
        <f aca="false">LEN(TEXT(B943, "YYYY-MM-DD"))</f>
        <v>10</v>
      </c>
      <c r="AE943" s="39" t="str">
        <f aca="false">LEFT(TEXT(B943, "YYYY-MM-DD"), 4)</f>
        <v>2011</v>
      </c>
      <c r="AF943" s="39" t="str">
        <f aca="false">RIGHT(TEXT(B943, "YYYY-MM-DD"), 2)</f>
        <v>11</v>
      </c>
    </row>
    <row r="944" customFormat="false" ht="15" hidden="false" customHeight="false" outlineLevel="0" collapsed="false">
      <c r="A944" s="43" t="n">
        <v>940</v>
      </c>
      <c r="B944" s="44" t="s">
        <v>125</v>
      </c>
      <c r="C944" s="43" t="n">
        <v>1</v>
      </c>
      <c r="D944" s="33" t="str">
        <f aca="false">VLOOKUP(C944, Lookups_Metadata!$A$4:$B$7, 2, FALSE())</f>
        <v>Spring</v>
      </c>
      <c r="E944" s="43" t="n">
        <v>0</v>
      </c>
      <c r="F944" s="43" t="n">
        <v>2</v>
      </c>
      <c r="G944" s="43" t="n">
        <v>18</v>
      </c>
      <c r="H944" s="45" t="b">
        <f aca="false">FALSE()</f>
        <v>0</v>
      </c>
      <c r="I944" s="43" t="n">
        <v>5</v>
      </c>
      <c r="J944" s="33" t="str">
        <f aca="false">INDEX(Lookups_Metadata!$E$4:$E$10, MATCH(I944, Lookups_Metadata!$D$4:$D$10, 0))</f>
        <v>Friday</v>
      </c>
      <c r="K944" s="33" t="str">
        <f aca="false">IF(H944=TRUE(), "Holiday", IF(OR(I944=0, I944=6), "Weekend", "Weekday"))</f>
        <v>Weekday</v>
      </c>
      <c r="L944" s="33" t="str">
        <f aca="false">IF(AND(K944="Weekday", OR(AND(G944&gt;=7, G944&lt;=9), AND(G944&gt;=17, G944&lt;=19))), "Peak Commute", "Off-Peak")</f>
        <v>Peak Commute</v>
      </c>
      <c r="M944" s="43" t="n">
        <v>1</v>
      </c>
      <c r="N944" s="33" t="str">
        <f aca="false">VLOOKUP(M944, Lookups_Metadata!$G$4:$H$7, 2, FALSE())</f>
        <v>Clear / Few Clouds</v>
      </c>
      <c r="O944" s="46" t="n">
        <v>0.28</v>
      </c>
      <c r="P944" s="46" t="n">
        <v>0.3182</v>
      </c>
      <c r="Q944" s="46" t="n">
        <f aca="false">IF(OR(P944="", ISBLANK(P944)), ROUND(0.9367*O944+0.0175, 4), P944)</f>
        <v>0.3182</v>
      </c>
      <c r="R944" s="33" t="str">
        <f aca="false">IF(OR(P944="", ISBLANK(P944)), "Imputed (Regression/Trend)", "Original")</f>
        <v>Original</v>
      </c>
      <c r="S944" s="46" t="n">
        <v>0.28</v>
      </c>
      <c r="T944" s="46" t="n">
        <v>0</v>
      </c>
      <c r="U944" s="18" t="n">
        <v>9</v>
      </c>
      <c r="V944" s="18" t="n">
        <v>165</v>
      </c>
      <c r="W944" s="18" t="n">
        <f aca="false">U944+V944</f>
        <v>174</v>
      </c>
      <c r="X944" s="47" t="n">
        <f aca="false">U944/W944</f>
        <v>0.0517241379310345</v>
      </c>
      <c r="Y944" s="47" t="n">
        <f aca="false">V944/W944</f>
        <v>0.948275862068966</v>
      </c>
      <c r="Z944" s="33" t="str">
        <f aca="false">IF(W944&gt;=150, "High Demand", IF(W944&gt;=50, "Moderate Demand", "Low Demand"))</f>
        <v>High Demand</v>
      </c>
      <c r="AA944" s="45" t="str">
        <f aca="false">TEXT(G944, "00") &amp; ":00"</f>
        <v>18:00</v>
      </c>
      <c r="AB944" s="43" t="n">
        <f aca="false">YEAR(B944)</f>
        <v>2011</v>
      </c>
      <c r="AC944" s="33" t="str">
        <f aca="false">TEXT(B944, "mmmm")</f>
        <v>February</v>
      </c>
      <c r="AD944" s="43" t="n">
        <f aca="false">LEN(TEXT(B944, "YYYY-MM-DD"))</f>
        <v>10</v>
      </c>
      <c r="AE944" s="45" t="str">
        <f aca="false">LEFT(TEXT(B944, "YYYY-MM-DD"), 4)</f>
        <v>2011</v>
      </c>
      <c r="AF944" s="45" t="str">
        <f aca="false">RIGHT(TEXT(B944, "YYYY-MM-DD"), 2)</f>
        <v>11</v>
      </c>
    </row>
    <row r="945" customFormat="false" ht="15" hidden="false" customHeight="false" outlineLevel="0" collapsed="false">
      <c r="A945" s="37" t="n">
        <v>941</v>
      </c>
      <c r="B945" s="38" t="s">
        <v>125</v>
      </c>
      <c r="C945" s="37" t="n">
        <v>1</v>
      </c>
      <c r="D945" s="35" t="str">
        <f aca="false">VLOOKUP(C945, Lookups_Metadata!$A$4:$B$7, 2, FALSE())</f>
        <v>Spring</v>
      </c>
      <c r="E945" s="37" t="n">
        <v>0</v>
      </c>
      <c r="F945" s="37" t="n">
        <v>2</v>
      </c>
      <c r="G945" s="37" t="n">
        <v>19</v>
      </c>
      <c r="H945" s="39" t="b">
        <f aca="false">FALSE()</f>
        <v>0</v>
      </c>
      <c r="I945" s="37" t="n">
        <v>5</v>
      </c>
      <c r="J945" s="35" t="str">
        <f aca="false">INDEX(Lookups_Metadata!$E$4:$E$10, MATCH(I945, Lookups_Metadata!$D$4:$D$10, 0))</f>
        <v>Friday</v>
      </c>
      <c r="K945" s="35" t="str">
        <f aca="false">IF(H945=TRUE(), "Holiday", IF(OR(I945=0, I945=6), "Weekend", "Weekday"))</f>
        <v>Weekday</v>
      </c>
      <c r="L945" s="35" t="str">
        <f aca="false">IF(AND(K945="Weekday", OR(AND(G945&gt;=7, G945&lt;=9), AND(G945&gt;=17, G945&lt;=19))), "Peak Commute", "Off-Peak")</f>
        <v>Peak Commute</v>
      </c>
      <c r="M945" s="37" t="n">
        <v>1</v>
      </c>
      <c r="N945" s="35" t="str">
        <f aca="false">VLOOKUP(M945, Lookups_Metadata!$G$4:$H$7, 2, FALSE())</f>
        <v>Clear / Few Clouds</v>
      </c>
      <c r="O945" s="40" t="n">
        <v>0.26</v>
      </c>
      <c r="P945" s="40" t="n">
        <v>0.303</v>
      </c>
      <c r="Q945" s="40" t="n">
        <f aca="false">IF(OR(P945="", ISBLANK(P945)), ROUND(0.9367*O945+0.0175, 4), P945)</f>
        <v>0.303</v>
      </c>
      <c r="R945" s="35" t="str">
        <f aca="false">IF(OR(P945="", ISBLANK(P945)), "Imputed (Regression/Trend)", "Original")</f>
        <v>Original</v>
      </c>
      <c r="S945" s="40" t="n">
        <v>0.33</v>
      </c>
      <c r="T945" s="40" t="n">
        <v>0</v>
      </c>
      <c r="U945" s="41" t="n">
        <v>7</v>
      </c>
      <c r="V945" s="41" t="n">
        <v>94</v>
      </c>
      <c r="W945" s="41" t="n">
        <f aca="false">U945+V945</f>
        <v>101</v>
      </c>
      <c r="X945" s="42" t="n">
        <f aca="false">U945/W945</f>
        <v>0.0693069306930693</v>
      </c>
      <c r="Y945" s="42" t="n">
        <f aca="false">V945/W945</f>
        <v>0.930693069306931</v>
      </c>
      <c r="Z945" s="35" t="str">
        <f aca="false">IF(W945&gt;=150, "High Demand", IF(W945&gt;=50, "Moderate Demand", "Low Demand"))</f>
        <v>Moderate Demand</v>
      </c>
      <c r="AA945" s="39" t="str">
        <f aca="false">TEXT(G945, "00") &amp; ":00"</f>
        <v>19:00</v>
      </c>
      <c r="AB945" s="37" t="n">
        <f aca="false">YEAR(B945)</f>
        <v>2011</v>
      </c>
      <c r="AC945" s="35" t="str">
        <f aca="false">TEXT(B945, "mmmm")</f>
        <v>February</v>
      </c>
      <c r="AD945" s="37" t="n">
        <f aca="false">LEN(TEXT(B945, "YYYY-MM-DD"))</f>
        <v>10</v>
      </c>
      <c r="AE945" s="39" t="str">
        <f aca="false">LEFT(TEXT(B945, "YYYY-MM-DD"), 4)</f>
        <v>2011</v>
      </c>
      <c r="AF945" s="39" t="str">
        <f aca="false">RIGHT(TEXT(B945, "YYYY-MM-DD"), 2)</f>
        <v>11</v>
      </c>
    </row>
    <row r="946" customFormat="false" ht="15" hidden="false" customHeight="false" outlineLevel="0" collapsed="false">
      <c r="A946" s="43" t="n">
        <v>942</v>
      </c>
      <c r="B946" s="44" t="s">
        <v>125</v>
      </c>
      <c r="C946" s="43" t="n">
        <v>1</v>
      </c>
      <c r="D946" s="33" t="str">
        <f aca="false">VLOOKUP(C946, Lookups_Metadata!$A$4:$B$7, 2, FALSE())</f>
        <v>Spring</v>
      </c>
      <c r="E946" s="43" t="n">
        <v>0</v>
      </c>
      <c r="F946" s="43" t="n">
        <v>2</v>
      </c>
      <c r="G946" s="43" t="n">
        <v>20</v>
      </c>
      <c r="H946" s="45" t="b">
        <f aca="false">FALSE()</f>
        <v>0</v>
      </c>
      <c r="I946" s="43" t="n">
        <v>5</v>
      </c>
      <c r="J946" s="33" t="str">
        <f aca="false">INDEX(Lookups_Metadata!$E$4:$E$10, MATCH(I946, Lookups_Metadata!$D$4:$D$10, 0))</f>
        <v>Friday</v>
      </c>
      <c r="K946" s="33" t="str">
        <f aca="false">IF(H946=TRUE(), "Holiday", IF(OR(I946=0, I946=6), "Weekend", "Weekday"))</f>
        <v>Weekday</v>
      </c>
      <c r="L946" s="33" t="str">
        <f aca="false">IF(AND(K946="Weekday", OR(AND(G946&gt;=7, G946&lt;=9), AND(G946&gt;=17, G946&lt;=19))), "Peak Commute", "Off-Peak")</f>
        <v>Off-Peak</v>
      </c>
      <c r="M946" s="43" t="n">
        <v>1</v>
      </c>
      <c r="N946" s="33" t="str">
        <f aca="false">VLOOKUP(M946, Lookups_Metadata!$G$4:$H$7, 2, FALSE())</f>
        <v>Clear / Few Clouds</v>
      </c>
      <c r="O946" s="46" t="n">
        <v>0.22</v>
      </c>
      <c r="P946" s="46" t="n">
        <v>0.2273</v>
      </c>
      <c r="Q946" s="46" t="n">
        <f aca="false">IF(OR(P946="", ISBLANK(P946)), ROUND(0.9367*O946+0.0175, 4), P946)</f>
        <v>0.2273</v>
      </c>
      <c r="R946" s="33" t="str">
        <f aca="false">IF(OR(P946="", ISBLANK(P946)), "Imputed (Regression/Trend)", "Original")</f>
        <v>Original</v>
      </c>
      <c r="S946" s="46" t="n">
        <v>0.55</v>
      </c>
      <c r="T946" s="46" t="n">
        <v>0.1343</v>
      </c>
      <c r="U946" s="18" t="n">
        <v>2</v>
      </c>
      <c r="V946" s="18" t="n">
        <v>61</v>
      </c>
      <c r="W946" s="18" t="n">
        <f aca="false">U946+V946</f>
        <v>63</v>
      </c>
      <c r="X946" s="47" t="n">
        <f aca="false">U946/W946</f>
        <v>0.0317460317460317</v>
      </c>
      <c r="Y946" s="47" t="n">
        <f aca="false">V946/W946</f>
        <v>0.968253968253968</v>
      </c>
      <c r="Z946" s="33" t="str">
        <f aca="false">IF(W946&gt;=150, "High Demand", IF(W946&gt;=50, "Moderate Demand", "Low Demand"))</f>
        <v>Moderate Demand</v>
      </c>
      <c r="AA946" s="45" t="str">
        <f aca="false">TEXT(G946, "00") &amp; ":00"</f>
        <v>20:00</v>
      </c>
      <c r="AB946" s="43" t="n">
        <f aca="false">YEAR(B946)</f>
        <v>2011</v>
      </c>
      <c r="AC946" s="33" t="str">
        <f aca="false">TEXT(B946, "mmmm")</f>
        <v>February</v>
      </c>
      <c r="AD946" s="43" t="n">
        <f aca="false">LEN(TEXT(B946, "YYYY-MM-DD"))</f>
        <v>10</v>
      </c>
      <c r="AE946" s="45" t="str">
        <f aca="false">LEFT(TEXT(B946, "YYYY-MM-DD"), 4)</f>
        <v>2011</v>
      </c>
      <c r="AF946" s="45" t="str">
        <f aca="false">RIGHT(TEXT(B946, "YYYY-MM-DD"), 2)</f>
        <v>11</v>
      </c>
    </row>
    <row r="947" customFormat="false" ht="15" hidden="false" customHeight="false" outlineLevel="0" collapsed="false">
      <c r="A947" s="37" t="n">
        <v>943</v>
      </c>
      <c r="B947" s="38" t="s">
        <v>125</v>
      </c>
      <c r="C947" s="37" t="n">
        <v>1</v>
      </c>
      <c r="D947" s="35" t="str">
        <f aca="false">VLOOKUP(C947, Lookups_Metadata!$A$4:$B$7, 2, FALSE())</f>
        <v>Spring</v>
      </c>
      <c r="E947" s="37" t="n">
        <v>0</v>
      </c>
      <c r="F947" s="37" t="n">
        <v>2</v>
      </c>
      <c r="G947" s="37" t="n">
        <v>21</v>
      </c>
      <c r="H947" s="39" t="b">
        <f aca="false">FALSE()</f>
        <v>0</v>
      </c>
      <c r="I947" s="37" t="n">
        <v>5</v>
      </c>
      <c r="J947" s="35" t="str">
        <f aca="false">INDEX(Lookups_Metadata!$E$4:$E$10, MATCH(I947, Lookups_Metadata!$D$4:$D$10, 0))</f>
        <v>Friday</v>
      </c>
      <c r="K947" s="35" t="str">
        <f aca="false">IF(H947=TRUE(), "Holiday", IF(OR(I947=0, I947=6), "Weekend", "Weekday"))</f>
        <v>Weekday</v>
      </c>
      <c r="L947" s="35" t="str">
        <f aca="false">IF(AND(K947="Weekday", OR(AND(G947&gt;=7, G947&lt;=9), AND(G947&gt;=17, G947&lt;=19))), "Peak Commute", "Off-Peak")</f>
        <v>Off-Peak</v>
      </c>
      <c r="M947" s="37" t="n">
        <v>1</v>
      </c>
      <c r="N947" s="35" t="str">
        <f aca="false">VLOOKUP(M947, Lookups_Metadata!$G$4:$H$7, 2, FALSE())</f>
        <v>Clear / Few Clouds</v>
      </c>
      <c r="O947" s="40" t="n">
        <v>0.2</v>
      </c>
      <c r="P947" s="40" t="n">
        <v>0.2121</v>
      </c>
      <c r="Q947" s="40" t="n">
        <f aca="false">IF(OR(P947="", ISBLANK(P947)), ROUND(0.9367*O947+0.0175, 4), P947)</f>
        <v>0.2121</v>
      </c>
      <c r="R947" s="35" t="str">
        <f aca="false">IF(OR(P947="", ISBLANK(P947)), "Imputed (Regression/Trend)", "Original")</f>
        <v>Original</v>
      </c>
      <c r="S947" s="40" t="n">
        <v>0.59</v>
      </c>
      <c r="T947" s="40" t="n">
        <v>0.1343</v>
      </c>
      <c r="U947" s="41" t="n">
        <v>1</v>
      </c>
      <c r="V947" s="41" t="n">
        <v>46</v>
      </c>
      <c r="W947" s="41" t="n">
        <f aca="false">U947+V947</f>
        <v>47</v>
      </c>
      <c r="X947" s="42" t="n">
        <f aca="false">U947/W947</f>
        <v>0.0212765957446809</v>
      </c>
      <c r="Y947" s="42" t="n">
        <f aca="false">V947/W947</f>
        <v>0.978723404255319</v>
      </c>
      <c r="Z947" s="35" t="str">
        <f aca="false">IF(W947&gt;=150, "High Demand", IF(W947&gt;=50, "Moderate Demand", "Low Demand"))</f>
        <v>Low Demand</v>
      </c>
      <c r="AA947" s="39" t="str">
        <f aca="false">TEXT(G947, "00") &amp; ":00"</f>
        <v>21:00</v>
      </c>
      <c r="AB947" s="37" t="n">
        <f aca="false">YEAR(B947)</f>
        <v>2011</v>
      </c>
      <c r="AC947" s="35" t="str">
        <f aca="false">TEXT(B947, "mmmm")</f>
        <v>February</v>
      </c>
      <c r="AD947" s="37" t="n">
        <f aca="false">LEN(TEXT(B947, "YYYY-MM-DD"))</f>
        <v>10</v>
      </c>
      <c r="AE947" s="39" t="str">
        <f aca="false">LEFT(TEXT(B947, "YYYY-MM-DD"), 4)</f>
        <v>2011</v>
      </c>
      <c r="AF947" s="39" t="str">
        <f aca="false">RIGHT(TEXT(B947, "YYYY-MM-DD"), 2)</f>
        <v>11</v>
      </c>
    </row>
    <row r="948" customFormat="false" ht="15" hidden="false" customHeight="false" outlineLevel="0" collapsed="false">
      <c r="A948" s="43" t="n">
        <v>944</v>
      </c>
      <c r="B948" s="44" t="s">
        <v>125</v>
      </c>
      <c r="C948" s="43" t="n">
        <v>1</v>
      </c>
      <c r="D948" s="33" t="str">
        <f aca="false">VLOOKUP(C948, Lookups_Metadata!$A$4:$B$7, 2, FALSE())</f>
        <v>Spring</v>
      </c>
      <c r="E948" s="43" t="n">
        <v>0</v>
      </c>
      <c r="F948" s="43" t="n">
        <v>2</v>
      </c>
      <c r="G948" s="43" t="n">
        <v>22</v>
      </c>
      <c r="H948" s="45" t="b">
        <f aca="false">FALSE()</f>
        <v>0</v>
      </c>
      <c r="I948" s="43" t="n">
        <v>5</v>
      </c>
      <c r="J948" s="33" t="str">
        <f aca="false">INDEX(Lookups_Metadata!$E$4:$E$10, MATCH(I948, Lookups_Metadata!$D$4:$D$10, 0))</f>
        <v>Friday</v>
      </c>
      <c r="K948" s="33" t="str">
        <f aca="false">IF(H948=TRUE(), "Holiday", IF(OR(I948=0, I948=6), "Weekend", "Weekday"))</f>
        <v>Weekday</v>
      </c>
      <c r="L948" s="33" t="str">
        <f aca="false">IF(AND(K948="Weekday", OR(AND(G948&gt;=7, G948&lt;=9), AND(G948&gt;=17, G948&lt;=19))), "Peak Commute", "Off-Peak")</f>
        <v>Off-Peak</v>
      </c>
      <c r="M948" s="43" t="n">
        <v>1</v>
      </c>
      <c r="N948" s="33" t="str">
        <f aca="false">VLOOKUP(M948, Lookups_Metadata!$G$4:$H$7, 2, FALSE())</f>
        <v>Clear / Few Clouds</v>
      </c>
      <c r="O948" s="46" t="n">
        <v>0.2</v>
      </c>
      <c r="P948" s="46" t="n">
        <v>0.2273</v>
      </c>
      <c r="Q948" s="46" t="n">
        <f aca="false">IF(OR(P948="", ISBLANK(P948)), ROUND(0.9367*O948+0.0175, 4), P948)</f>
        <v>0.2273</v>
      </c>
      <c r="R948" s="33" t="str">
        <f aca="false">IF(OR(P948="", ISBLANK(P948)), "Imputed (Regression/Trend)", "Original")</f>
        <v>Original</v>
      </c>
      <c r="S948" s="46" t="n">
        <v>0.64</v>
      </c>
      <c r="T948" s="46" t="n">
        <v>0.0896</v>
      </c>
      <c r="U948" s="18" t="n">
        <v>2</v>
      </c>
      <c r="V948" s="18" t="n">
        <v>41</v>
      </c>
      <c r="W948" s="18" t="n">
        <f aca="false">U948+V948</f>
        <v>43</v>
      </c>
      <c r="X948" s="47" t="n">
        <f aca="false">U948/W948</f>
        <v>0.0465116279069767</v>
      </c>
      <c r="Y948" s="47" t="n">
        <f aca="false">V948/W948</f>
        <v>0.953488372093023</v>
      </c>
      <c r="Z948" s="33" t="str">
        <f aca="false">IF(W948&gt;=150, "High Demand", IF(W948&gt;=50, "Moderate Demand", "Low Demand"))</f>
        <v>Low Demand</v>
      </c>
      <c r="AA948" s="45" t="str">
        <f aca="false">TEXT(G948, "00") &amp; ":00"</f>
        <v>22:00</v>
      </c>
      <c r="AB948" s="43" t="n">
        <f aca="false">YEAR(B948)</f>
        <v>2011</v>
      </c>
      <c r="AC948" s="33" t="str">
        <f aca="false">TEXT(B948, "mmmm")</f>
        <v>February</v>
      </c>
      <c r="AD948" s="43" t="n">
        <f aca="false">LEN(TEXT(B948, "YYYY-MM-DD"))</f>
        <v>10</v>
      </c>
      <c r="AE948" s="45" t="str">
        <f aca="false">LEFT(TEXT(B948, "YYYY-MM-DD"), 4)</f>
        <v>2011</v>
      </c>
      <c r="AF948" s="45" t="str">
        <f aca="false">RIGHT(TEXT(B948, "YYYY-MM-DD"), 2)</f>
        <v>11</v>
      </c>
    </row>
    <row r="949" customFormat="false" ht="15" hidden="false" customHeight="false" outlineLevel="0" collapsed="false">
      <c r="A949" s="37" t="n">
        <v>945</v>
      </c>
      <c r="B949" s="38" t="s">
        <v>125</v>
      </c>
      <c r="C949" s="37" t="n">
        <v>1</v>
      </c>
      <c r="D949" s="35" t="str">
        <f aca="false">VLOOKUP(C949, Lookups_Metadata!$A$4:$B$7, 2, FALSE())</f>
        <v>Spring</v>
      </c>
      <c r="E949" s="37" t="n">
        <v>0</v>
      </c>
      <c r="F949" s="37" t="n">
        <v>2</v>
      </c>
      <c r="G949" s="37" t="n">
        <v>23</v>
      </c>
      <c r="H949" s="39" t="b">
        <f aca="false">FALSE()</f>
        <v>0</v>
      </c>
      <c r="I949" s="37" t="n">
        <v>5</v>
      </c>
      <c r="J949" s="35" t="str">
        <f aca="false">INDEX(Lookups_Metadata!$E$4:$E$10, MATCH(I949, Lookups_Metadata!$D$4:$D$10, 0))</f>
        <v>Friday</v>
      </c>
      <c r="K949" s="35" t="str">
        <f aca="false">IF(H949=TRUE(), "Holiday", IF(OR(I949=0, I949=6), "Weekend", "Weekday"))</f>
        <v>Weekday</v>
      </c>
      <c r="L949" s="35" t="str">
        <f aca="false">IF(AND(K949="Weekday", OR(AND(G949&gt;=7, G949&lt;=9), AND(G949&gt;=17, G949&lt;=19))), "Peak Commute", "Off-Peak")</f>
        <v>Off-Peak</v>
      </c>
      <c r="M949" s="37" t="n">
        <v>1</v>
      </c>
      <c r="N949" s="35" t="str">
        <f aca="false">VLOOKUP(M949, Lookups_Metadata!$G$4:$H$7, 2, FALSE())</f>
        <v>Clear / Few Clouds</v>
      </c>
      <c r="O949" s="40" t="n">
        <v>0.18</v>
      </c>
      <c r="P949" s="40" t="n">
        <v>0.2424</v>
      </c>
      <c r="Q949" s="40" t="n">
        <f aca="false">IF(OR(P949="", ISBLANK(P949)), ROUND(0.9367*O949+0.0175, 4), P949)</f>
        <v>0.2424</v>
      </c>
      <c r="R949" s="35" t="str">
        <f aca="false">IF(OR(P949="", ISBLANK(P949)), "Imputed (Regression/Trend)", "Original")</f>
        <v>Original</v>
      </c>
      <c r="S949" s="40" t="n">
        <v>0.69</v>
      </c>
      <c r="T949" s="40" t="n">
        <v>0</v>
      </c>
      <c r="U949" s="41" t="n">
        <v>5</v>
      </c>
      <c r="V949" s="41" t="n">
        <v>48</v>
      </c>
      <c r="W949" s="41" t="n">
        <f aca="false">U949+V949</f>
        <v>53</v>
      </c>
      <c r="X949" s="42" t="n">
        <f aca="false">U949/W949</f>
        <v>0.0943396226415094</v>
      </c>
      <c r="Y949" s="42" t="n">
        <f aca="false">V949/W949</f>
        <v>0.905660377358491</v>
      </c>
      <c r="Z949" s="35" t="str">
        <f aca="false">IF(W949&gt;=150, "High Demand", IF(W949&gt;=50, "Moderate Demand", "Low Demand"))</f>
        <v>Moderate Demand</v>
      </c>
      <c r="AA949" s="39" t="str">
        <f aca="false">TEXT(G949, "00") &amp; ":00"</f>
        <v>23:00</v>
      </c>
      <c r="AB949" s="37" t="n">
        <f aca="false">YEAR(B949)</f>
        <v>2011</v>
      </c>
      <c r="AC949" s="35" t="str">
        <f aca="false">TEXT(B949, "mmmm")</f>
        <v>February</v>
      </c>
      <c r="AD949" s="37" t="n">
        <f aca="false">LEN(TEXT(B949, "YYYY-MM-DD"))</f>
        <v>10</v>
      </c>
      <c r="AE949" s="39" t="str">
        <f aca="false">LEFT(TEXT(B949, "YYYY-MM-DD"), 4)</f>
        <v>2011</v>
      </c>
      <c r="AF949" s="39" t="str">
        <f aca="false">RIGHT(TEXT(B949, "YYYY-MM-DD"), 2)</f>
        <v>11</v>
      </c>
    </row>
    <row r="950" customFormat="false" ht="15" hidden="false" customHeight="false" outlineLevel="0" collapsed="false">
      <c r="A950" s="43" t="n">
        <v>946</v>
      </c>
      <c r="B950" s="44" t="s">
        <v>126</v>
      </c>
      <c r="C950" s="43" t="n">
        <v>1</v>
      </c>
      <c r="D950" s="33" t="str">
        <f aca="false">VLOOKUP(C950, Lookups_Metadata!$A$4:$B$7, 2, FALSE())</f>
        <v>Spring</v>
      </c>
      <c r="E950" s="43" t="n">
        <v>0</v>
      </c>
      <c r="F950" s="43" t="n">
        <v>2</v>
      </c>
      <c r="G950" s="43" t="n">
        <v>0</v>
      </c>
      <c r="H950" s="45" t="b">
        <f aca="false">FALSE()</f>
        <v>0</v>
      </c>
      <c r="I950" s="43" t="n">
        <v>6</v>
      </c>
      <c r="J950" s="33" t="str">
        <f aca="false">INDEX(Lookups_Metadata!$E$4:$E$10, MATCH(I950, Lookups_Metadata!$D$4:$D$10, 0))</f>
        <v>Saturday</v>
      </c>
      <c r="K950" s="33" t="str">
        <f aca="false">IF(H950=TRUE(), "Holiday", IF(OR(I950=0, I950=6), "Weekend", "Weekday"))</f>
        <v>Weekend</v>
      </c>
      <c r="L950" s="33" t="str">
        <f aca="false">IF(AND(K950="Weekday", OR(AND(G950&gt;=7, G950&lt;=9), AND(G950&gt;=17, G950&lt;=19))), "Peak Commute", "Off-Peak")</f>
        <v>Off-Peak</v>
      </c>
      <c r="M950" s="43" t="n">
        <v>1</v>
      </c>
      <c r="N950" s="33" t="str">
        <f aca="false">VLOOKUP(M950, Lookups_Metadata!$G$4:$H$7, 2, FALSE())</f>
        <v>Clear / Few Clouds</v>
      </c>
      <c r="O950" s="46" t="n">
        <v>0.16</v>
      </c>
      <c r="P950" s="46" t="n">
        <v>0.197</v>
      </c>
      <c r="Q950" s="46" t="n">
        <f aca="false">IF(OR(P950="", ISBLANK(P950)), ROUND(0.9367*O950+0.0175, 4), P950)</f>
        <v>0.197</v>
      </c>
      <c r="R950" s="33" t="str">
        <f aca="false">IF(OR(P950="", ISBLANK(P950)), "Imputed (Regression/Trend)", "Original")</f>
        <v>Original</v>
      </c>
      <c r="S950" s="46" t="n">
        <v>0.69</v>
      </c>
      <c r="T950" s="46" t="n">
        <v>0.0896</v>
      </c>
      <c r="U950" s="18" t="n">
        <v>3</v>
      </c>
      <c r="V950" s="18" t="n">
        <v>27</v>
      </c>
      <c r="W950" s="18" t="n">
        <f aca="false">U950+V950</f>
        <v>30</v>
      </c>
      <c r="X950" s="47" t="n">
        <f aca="false">U950/W950</f>
        <v>0.1</v>
      </c>
      <c r="Y950" s="47" t="n">
        <f aca="false">V950/W950</f>
        <v>0.9</v>
      </c>
      <c r="Z950" s="33" t="str">
        <f aca="false">IF(W950&gt;=150, "High Demand", IF(W950&gt;=50, "Moderate Demand", "Low Demand"))</f>
        <v>Low Demand</v>
      </c>
      <c r="AA950" s="45" t="str">
        <f aca="false">TEXT(G950, "00") &amp; ":00"</f>
        <v>00:00</v>
      </c>
      <c r="AB950" s="43" t="n">
        <f aca="false">YEAR(B950)</f>
        <v>2011</v>
      </c>
      <c r="AC950" s="33" t="str">
        <f aca="false">TEXT(B950, "mmmm")</f>
        <v>February</v>
      </c>
      <c r="AD950" s="43" t="n">
        <f aca="false">LEN(TEXT(B950, "YYYY-MM-DD"))</f>
        <v>10</v>
      </c>
      <c r="AE950" s="45" t="str">
        <f aca="false">LEFT(TEXT(B950, "YYYY-MM-DD"), 4)</f>
        <v>2011</v>
      </c>
      <c r="AF950" s="45" t="str">
        <f aca="false">RIGHT(TEXT(B950, "YYYY-MM-DD"), 2)</f>
        <v>12</v>
      </c>
    </row>
    <row r="951" customFormat="false" ht="15" hidden="false" customHeight="false" outlineLevel="0" collapsed="false">
      <c r="A951" s="37" t="n">
        <v>947</v>
      </c>
      <c r="B951" s="38" t="s">
        <v>126</v>
      </c>
      <c r="C951" s="37" t="n">
        <v>1</v>
      </c>
      <c r="D951" s="35" t="str">
        <f aca="false">VLOOKUP(C951, Lookups_Metadata!$A$4:$B$7, 2, FALSE())</f>
        <v>Spring</v>
      </c>
      <c r="E951" s="37" t="n">
        <v>0</v>
      </c>
      <c r="F951" s="37" t="n">
        <v>2</v>
      </c>
      <c r="G951" s="37" t="n">
        <v>1</v>
      </c>
      <c r="H951" s="39" t="b">
        <f aca="false">FALSE()</f>
        <v>0</v>
      </c>
      <c r="I951" s="37" t="n">
        <v>6</v>
      </c>
      <c r="J951" s="35" t="str">
        <f aca="false">INDEX(Lookups_Metadata!$E$4:$E$10, MATCH(I951, Lookups_Metadata!$D$4:$D$10, 0))</f>
        <v>Saturday</v>
      </c>
      <c r="K951" s="35" t="str">
        <f aca="false">IF(H951=TRUE(), "Holiday", IF(OR(I951=0, I951=6), "Weekend", "Weekday"))</f>
        <v>Weekend</v>
      </c>
      <c r="L951" s="35" t="str">
        <f aca="false">IF(AND(K951="Weekday", OR(AND(G951&gt;=7, G951&lt;=9), AND(G951&gt;=17, G951&lt;=19))), "Peak Commute", "Off-Peak")</f>
        <v>Off-Peak</v>
      </c>
      <c r="M951" s="37" t="n">
        <v>1</v>
      </c>
      <c r="N951" s="35" t="str">
        <f aca="false">VLOOKUP(M951, Lookups_Metadata!$G$4:$H$7, 2, FALSE())</f>
        <v>Clear / Few Clouds</v>
      </c>
      <c r="O951" s="40" t="n">
        <v>0.14</v>
      </c>
      <c r="P951" s="40" t="n">
        <v>0.2121</v>
      </c>
      <c r="Q951" s="40" t="n">
        <f aca="false">IF(OR(P951="", ISBLANK(P951)), ROUND(0.9367*O951+0.0175, 4), P951)</f>
        <v>0.2121</v>
      </c>
      <c r="R951" s="35" t="str">
        <f aca="false">IF(OR(P951="", ISBLANK(P951)), "Imputed (Regression/Trend)", "Original")</f>
        <v>Original</v>
      </c>
      <c r="S951" s="40" t="n">
        <v>0.86</v>
      </c>
      <c r="T951" s="40" t="n">
        <v>0</v>
      </c>
      <c r="U951" s="41" t="n">
        <v>2</v>
      </c>
      <c r="V951" s="41" t="n">
        <v>22</v>
      </c>
      <c r="W951" s="41" t="n">
        <f aca="false">U951+V951</f>
        <v>24</v>
      </c>
      <c r="X951" s="42" t="n">
        <f aca="false">U951/W951</f>
        <v>0.0833333333333333</v>
      </c>
      <c r="Y951" s="42" t="n">
        <f aca="false">V951/W951</f>
        <v>0.916666666666667</v>
      </c>
      <c r="Z951" s="35" t="str">
        <f aca="false">IF(W951&gt;=150, "High Demand", IF(W951&gt;=50, "Moderate Demand", "Low Demand"))</f>
        <v>Low Demand</v>
      </c>
      <c r="AA951" s="39" t="str">
        <f aca="false">TEXT(G951, "00") &amp; ":00"</f>
        <v>01:00</v>
      </c>
      <c r="AB951" s="37" t="n">
        <f aca="false">YEAR(B951)</f>
        <v>2011</v>
      </c>
      <c r="AC951" s="35" t="str">
        <f aca="false">TEXT(B951, "mmmm")</f>
        <v>February</v>
      </c>
      <c r="AD951" s="37" t="n">
        <f aca="false">LEN(TEXT(B951, "YYYY-MM-DD"))</f>
        <v>10</v>
      </c>
      <c r="AE951" s="39" t="str">
        <f aca="false">LEFT(TEXT(B951, "YYYY-MM-DD"), 4)</f>
        <v>2011</v>
      </c>
      <c r="AF951" s="39" t="str">
        <f aca="false">RIGHT(TEXT(B951, "YYYY-MM-DD"), 2)</f>
        <v>12</v>
      </c>
    </row>
    <row r="952" customFormat="false" ht="15" hidden="false" customHeight="false" outlineLevel="0" collapsed="false">
      <c r="A952" s="43" t="n">
        <v>948</v>
      </c>
      <c r="B952" s="44" t="s">
        <v>126</v>
      </c>
      <c r="C952" s="43" t="n">
        <v>1</v>
      </c>
      <c r="D952" s="33" t="str">
        <f aca="false">VLOOKUP(C952, Lookups_Metadata!$A$4:$B$7, 2, FALSE())</f>
        <v>Spring</v>
      </c>
      <c r="E952" s="43" t="n">
        <v>0</v>
      </c>
      <c r="F952" s="43" t="n">
        <v>2</v>
      </c>
      <c r="G952" s="43" t="n">
        <v>2</v>
      </c>
      <c r="H952" s="45" t="b">
        <f aca="false">FALSE()</f>
        <v>0</v>
      </c>
      <c r="I952" s="43" t="n">
        <v>6</v>
      </c>
      <c r="J952" s="33" t="str">
        <f aca="false">INDEX(Lookups_Metadata!$E$4:$E$10, MATCH(I952, Lookups_Metadata!$D$4:$D$10, 0))</f>
        <v>Saturday</v>
      </c>
      <c r="K952" s="33" t="str">
        <f aca="false">IF(H952=TRUE(), "Holiday", IF(OR(I952=0, I952=6), "Weekend", "Weekday"))</f>
        <v>Weekend</v>
      </c>
      <c r="L952" s="33" t="str">
        <f aca="false">IF(AND(K952="Weekday", OR(AND(G952&gt;=7, G952&lt;=9), AND(G952&gt;=17, G952&lt;=19))), "Peak Commute", "Off-Peak")</f>
        <v>Off-Peak</v>
      </c>
      <c r="M952" s="43" t="n">
        <v>1</v>
      </c>
      <c r="N952" s="33" t="str">
        <f aca="false">VLOOKUP(M952, Lookups_Metadata!$G$4:$H$7, 2, FALSE())</f>
        <v>Clear / Few Clouds</v>
      </c>
      <c r="O952" s="46" t="n">
        <v>0.14</v>
      </c>
      <c r="P952" s="46" t="n">
        <v>0.2121</v>
      </c>
      <c r="Q952" s="46" t="n">
        <f aca="false">IF(OR(P952="", ISBLANK(P952)), ROUND(0.9367*O952+0.0175, 4), P952)</f>
        <v>0.2121</v>
      </c>
      <c r="R952" s="33" t="str">
        <f aca="false">IF(OR(P952="", ISBLANK(P952)), "Imputed (Regression/Trend)", "Original")</f>
        <v>Original</v>
      </c>
      <c r="S952" s="46" t="n">
        <v>0.8</v>
      </c>
      <c r="T952" s="46" t="n">
        <v>0</v>
      </c>
      <c r="U952" s="18" t="n">
        <v>2</v>
      </c>
      <c r="V952" s="18" t="n">
        <v>13</v>
      </c>
      <c r="W952" s="18" t="n">
        <f aca="false">U952+V952</f>
        <v>15</v>
      </c>
      <c r="X952" s="47" t="n">
        <f aca="false">U952/W952</f>
        <v>0.133333333333333</v>
      </c>
      <c r="Y952" s="47" t="n">
        <f aca="false">V952/W952</f>
        <v>0.866666666666667</v>
      </c>
      <c r="Z952" s="33" t="str">
        <f aca="false">IF(W952&gt;=150, "High Demand", IF(W952&gt;=50, "Moderate Demand", "Low Demand"))</f>
        <v>Low Demand</v>
      </c>
      <c r="AA952" s="45" t="str">
        <f aca="false">TEXT(G952, "00") &amp; ":00"</f>
        <v>02:00</v>
      </c>
      <c r="AB952" s="43" t="n">
        <f aca="false">YEAR(B952)</f>
        <v>2011</v>
      </c>
      <c r="AC952" s="33" t="str">
        <f aca="false">TEXT(B952, "mmmm")</f>
        <v>February</v>
      </c>
      <c r="AD952" s="43" t="n">
        <f aca="false">LEN(TEXT(B952, "YYYY-MM-DD"))</f>
        <v>10</v>
      </c>
      <c r="AE952" s="45" t="str">
        <f aca="false">LEFT(TEXT(B952, "YYYY-MM-DD"), 4)</f>
        <v>2011</v>
      </c>
      <c r="AF952" s="45" t="str">
        <f aca="false">RIGHT(TEXT(B952, "YYYY-MM-DD"), 2)</f>
        <v>12</v>
      </c>
    </row>
    <row r="953" customFormat="false" ht="15" hidden="false" customHeight="false" outlineLevel="0" collapsed="false">
      <c r="A953" s="37" t="n">
        <v>949</v>
      </c>
      <c r="B953" s="38" t="s">
        <v>126</v>
      </c>
      <c r="C953" s="37" t="n">
        <v>1</v>
      </c>
      <c r="D953" s="35" t="str">
        <f aca="false">VLOOKUP(C953, Lookups_Metadata!$A$4:$B$7, 2, FALSE())</f>
        <v>Spring</v>
      </c>
      <c r="E953" s="37" t="n">
        <v>0</v>
      </c>
      <c r="F953" s="37" t="n">
        <v>2</v>
      </c>
      <c r="G953" s="37" t="n">
        <v>3</v>
      </c>
      <c r="H953" s="39" t="b">
        <f aca="false">FALSE()</f>
        <v>0</v>
      </c>
      <c r="I953" s="37" t="n">
        <v>6</v>
      </c>
      <c r="J953" s="35" t="str">
        <f aca="false">INDEX(Lookups_Metadata!$E$4:$E$10, MATCH(I953, Lookups_Metadata!$D$4:$D$10, 0))</f>
        <v>Saturday</v>
      </c>
      <c r="K953" s="35" t="str">
        <f aca="false">IF(H953=TRUE(), "Holiday", IF(OR(I953=0, I953=6), "Weekend", "Weekday"))</f>
        <v>Weekend</v>
      </c>
      <c r="L953" s="35" t="str">
        <f aca="false">IF(AND(K953="Weekday", OR(AND(G953&gt;=7, G953&lt;=9), AND(G953&gt;=17, G953&lt;=19))), "Peak Commute", "Off-Peak")</f>
        <v>Off-Peak</v>
      </c>
      <c r="M953" s="37" t="n">
        <v>1</v>
      </c>
      <c r="N953" s="35" t="str">
        <f aca="false">VLOOKUP(M953, Lookups_Metadata!$G$4:$H$7, 2, FALSE())</f>
        <v>Clear / Few Clouds</v>
      </c>
      <c r="O953" s="40" t="n">
        <v>0.12</v>
      </c>
      <c r="P953" s="40" t="n">
        <v>0.197</v>
      </c>
      <c r="Q953" s="40" t="n">
        <f aca="false">IF(OR(P953="", ISBLANK(P953)), ROUND(0.9367*O953+0.0175, 4), P953)</f>
        <v>0.197</v>
      </c>
      <c r="R953" s="35" t="str">
        <f aca="false">IF(OR(P953="", ISBLANK(P953)), "Imputed (Regression/Trend)", "Original")</f>
        <v>Original</v>
      </c>
      <c r="S953" s="40" t="n">
        <v>0.8</v>
      </c>
      <c r="T953" s="40" t="n">
        <v>0</v>
      </c>
      <c r="U953" s="41" t="n">
        <v>3</v>
      </c>
      <c r="V953" s="41" t="n">
        <v>7</v>
      </c>
      <c r="W953" s="41" t="n">
        <f aca="false">U953+V953</f>
        <v>10</v>
      </c>
      <c r="X953" s="42" t="n">
        <f aca="false">U953/W953</f>
        <v>0.3</v>
      </c>
      <c r="Y953" s="42" t="n">
        <f aca="false">V953/W953</f>
        <v>0.7</v>
      </c>
      <c r="Z953" s="35" t="str">
        <f aca="false">IF(W953&gt;=150, "High Demand", IF(W953&gt;=50, "Moderate Demand", "Low Demand"))</f>
        <v>Low Demand</v>
      </c>
      <c r="AA953" s="39" t="str">
        <f aca="false">TEXT(G953, "00") &amp; ":00"</f>
        <v>03:00</v>
      </c>
      <c r="AB953" s="37" t="n">
        <f aca="false">YEAR(B953)</f>
        <v>2011</v>
      </c>
      <c r="AC953" s="35" t="str">
        <f aca="false">TEXT(B953, "mmmm")</f>
        <v>February</v>
      </c>
      <c r="AD953" s="37" t="n">
        <f aca="false">LEN(TEXT(B953, "YYYY-MM-DD"))</f>
        <v>10</v>
      </c>
      <c r="AE953" s="39" t="str">
        <f aca="false">LEFT(TEXT(B953, "YYYY-MM-DD"), 4)</f>
        <v>2011</v>
      </c>
      <c r="AF953" s="39" t="str">
        <f aca="false">RIGHT(TEXT(B953, "YYYY-MM-DD"), 2)</f>
        <v>12</v>
      </c>
    </row>
    <row r="954" customFormat="false" ht="15" hidden="false" customHeight="false" outlineLevel="0" collapsed="false">
      <c r="A954" s="43" t="n">
        <v>950</v>
      </c>
      <c r="B954" s="44" t="s">
        <v>126</v>
      </c>
      <c r="C954" s="43" t="n">
        <v>1</v>
      </c>
      <c r="D954" s="33" t="str">
        <f aca="false">VLOOKUP(C954, Lookups_Metadata!$A$4:$B$7, 2, FALSE())</f>
        <v>Spring</v>
      </c>
      <c r="E954" s="43" t="n">
        <v>0</v>
      </c>
      <c r="F954" s="43" t="n">
        <v>2</v>
      </c>
      <c r="G954" s="43" t="n">
        <v>4</v>
      </c>
      <c r="H954" s="45" t="b">
        <f aca="false">FALSE()</f>
        <v>0</v>
      </c>
      <c r="I954" s="43" t="n">
        <v>6</v>
      </c>
      <c r="J954" s="33" t="str">
        <f aca="false">INDEX(Lookups_Metadata!$E$4:$E$10, MATCH(I954, Lookups_Metadata!$D$4:$D$10, 0))</f>
        <v>Saturday</v>
      </c>
      <c r="K954" s="33" t="str">
        <f aca="false">IF(H954=TRUE(), "Holiday", IF(OR(I954=0, I954=6), "Weekend", "Weekday"))</f>
        <v>Weekend</v>
      </c>
      <c r="L954" s="33" t="str">
        <f aca="false">IF(AND(K954="Weekday", OR(AND(G954&gt;=7, G954&lt;=9), AND(G954&gt;=17, G954&lt;=19))), "Peak Commute", "Off-Peak")</f>
        <v>Off-Peak</v>
      </c>
      <c r="M954" s="43" t="n">
        <v>1</v>
      </c>
      <c r="N954" s="33" t="str">
        <f aca="false">VLOOKUP(M954, Lookups_Metadata!$G$4:$H$7, 2, FALSE())</f>
        <v>Clear / Few Clouds</v>
      </c>
      <c r="O954" s="46" t="n">
        <v>0.12</v>
      </c>
      <c r="P954" s="46" t="n">
        <v>0.1667</v>
      </c>
      <c r="Q954" s="46" t="n">
        <f aca="false">IF(OR(P954="", ISBLANK(P954)), ROUND(0.9367*O954+0.0175, 4), P954)</f>
        <v>0.1667</v>
      </c>
      <c r="R954" s="33" t="str">
        <f aca="false">IF(OR(P954="", ISBLANK(P954)), "Imputed (Regression/Trend)", "Original")</f>
        <v>Original</v>
      </c>
      <c r="S954" s="46" t="n">
        <v>0.74</v>
      </c>
      <c r="T954" s="46" t="n">
        <v>0.0896</v>
      </c>
      <c r="U954" s="18" t="n">
        <v>0</v>
      </c>
      <c r="V954" s="18" t="n">
        <v>4</v>
      </c>
      <c r="W954" s="18" t="n">
        <f aca="false">U954+V954</f>
        <v>4</v>
      </c>
      <c r="X954" s="47" t="n">
        <f aca="false">U954/W954</f>
        <v>0</v>
      </c>
      <c r="Y954" s="47" t="n">
        <f aca="false">V954/W954</f>
        <v>1</v>
      </c>
      <c r="Z954" s="33" t="str">
        <f aca="false">IF(W954&gt;=150, "High Demand", IF(W954&gt;=50, "Moderate Demand", "Low Demand"))</f>
        <v>Low Demand</v>
      </c>
      <c r="AA954" s="45" t="str">
        <f aca="false">TEXT(G954, "00") &amp; ":00"</f>
        <v>04:00</v>
      </c>
      <c r="AB954" s="43" t="n">
        <f aca="false">YEAR(B954)</f>
        <v>2011</v>
      </c>
      <c r="AC954" s="33" t="str">
        <f aca="false">TEXT(B954, "mmmm")</f>
        <v>February</v>
      </c>
      <c r="AD954" s="43" t="n">
        <f aca="false">LEN(TEXT(B954, "YYYY-MM-DD"))</f>
        <v>10</v>
      </c>
      <c r="AE954" s="45" t="str">
        <f aca="false">LEFT(TEXT(B954, "YYYY-MM-DD"), 4)</f>
        <v>2011</v>
      </c>
      <c r="AF954" s="45" t="str">
        <f aca="false">RIGHT(TEXT(B954, "YYYY-MM-DD"), 2)</f>
        <v>12</v>
      </c>
    </row>
    <row r="955" customFormat="false" ht="15" hidden="false" customHeight="false" outlineLevel="0" collapsed="false">
      <c r="A955" s="37" t="n">
        <v>951</v>
      </c>
      <c r="B955" s="38" t="s">
        <v>126</v>
      </c>
      <c r="C955" s="37" t="n">
        <v>1</v>
      </c>
      <c r="D955" s="35" t="str">
        <f aca="false">VLOOKUP(C955, Lookups_Metadata!$A$4:$B$7, 2, FALSE())</f>
        <v>Spring</v>
      </c>
      <c r="E955" s="37" t="n">
        <v>0</v>
      </c>
      <c r="F955" s="37" t="n">
        <v>2</v>
      </c>
      <c r="G955" s="37" t="n">
        <v>5</v>
      </c>
      <c r="H955" s="39" t="b">
        <f aca="false">FALSE()</f>
        <v>0</v>
      </c>
      <c r="I955" s="37" t="n">
        <v>6</v>
      </c>
      <c r="J955" s="35" t="str">
        <f aca="false">INDEX(Lookups_Metadata!$E$4:$E$10, MATCH(I955, Lookups_Metadata!$D$4:$D$10, 0))</f>
        <v>Saturday</v>
      </c>
      <c r="K955" s="35" t="str">
        <f aca="false">IF(H955=TRUE(), "Holiday", IF(OR(I955=0, I955=6), "Weekend", "Weekday"))</f>
        <v>Weekend</v>
      </c>
      <c r="L955" s="35" t="str">
        <f aca="false">IF(AND(K955="Weekday", OR(AND(G955&gt;=7, G955&lt;=9), AND(G955&gt;=17, G955&lt;=19))), "Peak Commute", "Off-Peak")</f>
        <v>Off-Peak</v>
      </c>
      <c r="M955" s="37" t="n">
        <v>1</v>
      </c>
      <c r="N955" s="35" t="str">
        <f aca="false">VLOOKUP(M955, Lookups_Metadata!$G$4:$H$7, 2, FALSE())</f>
        <v>Clear / Few Clouds</v>
      </c>
      <c r="O955" s="40" t="n">
        <v>0.12</v>
      </c>
      <c r="P955" s="40" t="n">
        <v>0.1667</v>
      </c>
      <c r="Q955" s="40" t="n">
        <f aca="false">IF(OR(P955="", ISBLANK(P955)), ROUND(0.9367*O955+0.0175, 4), P955)</f>
        <v>0.1667</v>
      </c>
      <c r="R955" s="35" t="str">
        <f aca="false">IF(OR(P955="", ISBLANK(P955)), "Imputed (Regression/Trend)", "Original")</f>
        <v>Original</v>
      </c>
      <c r="S955" s="40" t="n">
        <v>0.74</v>
      </c>
      <c r="T955" s="40" t="n">
        <v>0.0896</v>
      </c>
      <c r="U955" s="41" t="n">
        <v>0</v>
      </c>
      <c r="V955" s="41" t="n">
        <v>1</v>
      </c>
      <c r="W955" s="41" t="n">
        <f aca="false">U955+V955</f>
        <v>1</v>
      </c>
      <c r="X955" s="42" t="n">
        <f aca="false">U955/W955</f>
        <v>0</v>
      </c>
      <c r="Y955" s="42" t="n">
        <f aca="false">V955/W955</f>
        <v>1</v>
      </c>
      <c r="Z955" s="35" t="str">
        <f aca="false">IF(W955&gt;=150, "High Demand", IF(W955&gt;=50, "Moderate Demand", "Low Demand"))</f>
        <v>Low Demand</v>
      </c>
      <c r="AA955" s="39" t="str">
        <f aca="false">TEXT(G955, "00") &amp; ":00"</f>
        <v>05:00</v>
      </c>
      <c r="AB955" s="37" t="n">
        <f aca="false">YEAR(B955)</f>
        <v>2011</v>
      </c>
      <c r="AC955" s="35" t="str">
        <f aca="false">TEXT(B955, "mmmm")</f>
        <v>February</v>
      </c>
      <c r="AD955" s="37" t="n">
        <f aca="false">LEN(TEXT(B955, "YYYY-MM-DD"))</f>
        <v>10</v>
      </c>
      <c r="AE955" s="39" t="str">
        <f aca="false">LEFT(TEXT(B955, "YYYY-MM-DD"), 4)</f>
        <v>2011</v>
      </c>
      <c r="AF955" s="39" t="str">
        <f aca="false">RIGHT(TEXT(B955, "YYYY-MM-DD"), 2)</f>
        <v>12</v>
      </c>
    </row>
    <row r="956" customFormat="false" ht="15" hidden="false" customHeight="false" outlineLevel="0" collapsed="false">
      <c r="A956" s="43" t="n">
        <v>952</v>
      </c>
      <c r="B956" s="44" t="s">
        <v>126</v>
      </c>
      <c r="C956" s="43" t="n">
        <v>1</v>
      </c>
      <c r="D956" s="33" t="str">
        <f aca="false">VLOOKUP(C956, Lookups_Metadata!$A$4:$B$7, 2, FALSE())</f>
        <v>Spring</v>
      </c>
      <c r="E956" s="43" t="n">
        <v>0</v>
      </c>
      <c r="F956" s="43" t="n">
        <v>2</v>
      </c>
      <c r="G956" s="43" t="n">
        <v>6</v>
      </c>
      <c r="H956" s="45" t="b">
        <f aca="false">FALSE()</f>
        <v>0</v>
      </c>
      <c r="I956" s="43" t="n">
        <v>6</v>
      </c>
      <c r="J956" s="33" t="str">
        <f aca="false">INDEX(Lookups_Metadata!$E$4:$E$10, MATCH(I956, Lookups_Metadata!$D$4:$D$10, 0))</f>
        <v>Saturday</v>
      </c>
      <c r="K956" s="33" t="str">
        <f aca="false">IF(H956=TRUE(), "Holiday", IF(OR(I956=0, I956=6), "Weekend", "Weekday"))</f>
        <v>Weekend</v>
      </c>
      <c r="L956" s="33" t="str">
        <f aca="false">IF(AND(K956="Weekday", OR(AND(G956&gt;=7, G956&lt;=9), AND(G956&gt;=17, G956&lt;=19))), "Peak Commute", "Off-Peak")</f>
        <v>Off-Peak</v>
      </c>
      <c r="M956" s="43" t="n">
        <v>1</v>
      </c>
      <c r="N956" s="33" t="str">
        <f aca="false">VLOOKUP(M956, Lookups_Metadata!$G$4:$H$7, 2, FALSE())</f>
        <v>Clear / Few Clouds</v>
      </c>
      <c r="O956" s="46" t="n">
        <v>0.12</v>
      </c>
      <c r="P956" s="46" t="n">
        <v>0.1364</v>
      </c>
      <c r="Q956" s="46" t="n">
        <f aca="false">IF(OR(P956="", ISBLANK(P956)), ROUND(0.9367*O956+0.0175, 4), P956)</f>
        <v>0.1364</v>
      </c>
      <c r="R956" s="33" t="str">
        <f aca="false">IF(OR(P956="", ISBLANK(P956)), "Imputed (Regression/Trend)", "Original")</f>
        <v>Original</v>
      </c>
      <c r="S956" s="46" t="n">
        <v>0.93</v>
      </c>
      <c r="T956" s="46" t="n">
        <v>0.194</v>
      </c>
      <c r="U956" s="18" t="n">
        <v>1</v>
      </c>
      <c r="V956" s="18" t="n">
        <v>1</v>
      </c>
      <c r="W956" s="18" t="n">
        <f aca="false">U956+V956</f>
        <v>2</v>
      </c>
      <c r="X956" s="47" t="n">
        <f aca="false">U956/W956</f>
        <v>0.5</v>
      </c>
      <c r="Y956" s="47" t="n">
        <f aca="false">V956/W956</f>
        <v>0.5</v>
      </c>
      <c r="Z956" s="33" t="str">
        <f aca="false">IF(W956&gt;=150, "High Demand", IF(W956&gt;=50, "Moderate Demand", "Low Demand"))</f>
        <v>Low Demand</v>
      </c>
      <c r="AA956" s="45" t="str">
        <f aca="false">TEXT(G956, "00") &amp; ":00"</f>
        <v>06:00</v>
      </c>
      <c r="AB956" s="43" t="n">
        <f aca="false">YEAR(B956)</f>
        <v>2011</v>
      </c>
      <c r="AC956" s="33" t="str">
        <f aca="false">TEXT(B956, "mmmm")</f>
        <v>February</v>
      </c>
      <c r="AD956" s="43" t="n">
        <f aca="false">LEN(TEXT(B956, "YYYY-MM-DD"))</f>
        <v>10</v>
      </c>
      <c r="AE956" s="45" t="str">
        <f aca="false">LEFT(TEXT(B956, "YYYY-MM-DD"), 4)</f>
        <v>2011</v>
      </c>
      <c r="AF956" s="45" t="str">
        <f aca="false">RIGHT(TEXT(B956, "YYYY-MM-DD"), 2)</f>
        <v>12</v>
      </c>
    </row>
    <row r="957" customFormat="false" ht="15" hidden="false" customHeight="false" outlineLevel="0" collapsed="false">
      <c r="A957" s="37" t="n">
        <v>953</v>
      </c>
      <c r="B957" s="38" t="s">
        <v>126</v>
      </c>
      <c r="C957" s="37" t="n">
        <v>1</v>
      </c>
      <c r="D957" s="35" t="str">
        <f aca="false">VLOOKUP(C957, Lookups_Metadata!$A$4:$B$7, 2, FALSE())</f>
        <v>Spring</v>
      </c>
      <c r="E957" s="37" t="n">
        <v>0</v>
      </c>
      <c r="F957" s="37" t="n">
        <v>2</v>
      </c>
      <c r="G957" s="37" t="n">
        <v>7</v>
      </c>
      <c r="H957" s="39" t="b">
        <f aca="false">FALSE()</f>
        <v>0</v>
      </c>
      <c r="I957" s="37" t="n">
        <v>6</v>
      </c>
      <c r="J957" s="35" t="str">
        <f aca="false">INDEX(Lookups_Metadata!$E$4:$E$10, MATCH(I957, Lookups_Metadata!$D$4:$D$10, 0))</f>
        <v>Saturday</v>
      </c>
      <c r="K957" s="35" t="str">
        <f aca="false">IF(H957=TRUE(), "Holiday", IF(OR(I957=0, I957=6), "Weekend", "Weekday"))</f>
        <v>Weekend</v>
      </c>
      <c r="L957" s="35" t="str">
        <f aca="false">IF(AND(K957="Weekday", OR(AND(G957&gt;=7, G957&lt;=9), AND(G957&gt;=17, G957&lt;=19))), "Peak Commute", "Off-Peak")</f>
        <v>Off-Peak</v>
      </c>
      <c r="M957" s="37" t="n">
        <v>1</v>
      </c>
      <c r="N957" s="35" t="str">
        <f aca="false">VLOOKUP(M957, Lookups_Metadata!$G$4:$H$7, 2, FALSE())</f>
        <v>Clear / Few Clouds</v>
      </c>
      <c r="O957" s="40" t="n">
        <v>0.12</v>
      </c>
      <c r="P957" s="40" t="n">
        <v>0.1515</v>
      </c>
      <c r="Q957" s="40" t="n">
        <f aca="false">IF(OR(P957="", ISBLANK(P957)), ROUND(0.9367*O957+0.0175, 4), P957)</f>
        <v>0.1515</v>
      </c>
      <c r="R957" s="35" t="str">
        <f aca="false">IF(OR(P957="", ISBLANK(P957)), "Imputed (Regression/Trend)", "Original")</f>
        <v>Original</v>
      </c>
      <c r="S957" s="40" t="n">
        <v>0.8</v>
      </c>
      <c r="T957" s="40" t="n">
        <v>0.1045</v>
      </c>
      <c r="U957" s="41" t="n">
        <v>2</v>
      </c>
      <c r="V957" s="41" t="n">
        <v>9</v>
      </c>
      <c r="W957" s="41" t="n">
        <f aca="false">U957+V957</f>
        <v>11</v>
      </c>
      <c r="X957" s="42" t="n">
        <f aca="false">U957/W957</f>
        <v>0.181818181818182</v>
      </c>
      <c r="Y957" s="42" t="n">
        <f aca="false">V957/W957</f>
        <v>0.818181818181818</v>
      </c>
      <c r="Z957" s="35" t="str">
        <f aca="false">IF(W957&gt;=150, "High Demand", IF(W957&gt;=50, "Moderate Demand", "Low Demand"))</f>
        <v>Low Demand</v>
      </c>
      <c r="AA957" s="39" t="str">
        <f aca="false">TEXT(G957, "00") &amp; ":00"</f>
        <v>07:00</v>
      </c>
      <c r="AB957" s="37" t="n">
        <f aca="false">YEAR(B957)</f>
        <v>2011</v>
      </c>
      <c r="AC957" s="35" t="str">
        <f aca="false">TEXT(B957, "mmmm")</f>
        <v>February</v>
      </c>
      <c r="AD957" s="37" t="n">
        <f aca="false">LEN(TEXT(B957, "YYYY-MM-DD"))</f>
        <v>10</v>
      </c>
      <c r="AE957" s="39" t="str">
        <f aca="false">LEFT(TEXT(B957, "YYYY-MM-DD"), 4)</f>
        <v>2011</v>
      </c>
      <c r="AF957" s="39" t="str">
        <f aca="false">RIGHT(TEXT(B957, "YYYY-MM-DD"), 2)</f>
        <v>12</v>
      </c>
    </row>
    <row r="958" customFormat="false" ht="15" hidden="false" customHeight="false" outlineLevel="0" collapsed="false">
      <c r="A958" s="43" t="n">
        <v>954</v>
      </c>
      <c r="B958" s="44" t="s">
        <v>126</v>
      </c>
      <c r="C958" s="43" t="n">
        <v>1</v>
      </c>
      <c r="D958" s="33" t="str">
        <f aca="false">VLOOKUP(C958, Lookups_Metadata!$A$4:$B$7, 2, FALSE())</f>
        <v>Spring</v>
      </c>
      <c r="E958" s="43" t="n">
        <v>0</v>
      </c>
      <c r="F958" s="43" t="n">
        <v>2</v>
      </c>
      <c r="G958" s="43" t="n">
        <v>8</v>
      </c>
      <c r="H958" s="45" t="b">
        <f aca="false">FALSE()</f>
        <v>0</v>
      </c>
      <c r="I958" s="43" t="n">
        <v>6</v>
      </c>
      <c r="J958" s="33" t="str">
        <f aca="false">INDEX(Lookups_Metadata!$E$4:$E$10, MATCH(I958, Lookups_Metadata!$D$4:$D$10, 0))</f>
        <v>Saturday</v>
      </c>
      <c r="K958" s="33" t="str">
        <f aca="false">IF(H958=TRUE(), "Holiday", IF(OR(I958=0, I958=6), "Weekend", "Weekday"))</f>
        <v>Weekend</v>
      </c>
      <c r="L958" s="33" t="str">
        <f aca="false">IF(AND(K958="Weekday", OR(AND(G958&gt;=7, G958&lt;=9), AND(G958&gt;=17, G958&lt;=19))), "Peak Commute", "Off-Peak")</f>
        <v>Off-Peak</v>
      </c>
      <c r="M958" s="43" t="n">
        <v>1</v>
      </c>
      <c r="N958" s="33" t="str">
        <f aca="false">VLOOKUP(M958, Lookups_Metadata!$G$4:$H$7, 2, FALSE())</f>
        <v>Clear / Few Clouds</v>
      </c>
      <c r="O958" s="46" t="n">
        <v>0.14</v>
      </c>
      <c r="P958" s="46" t="n">
        <v>0.1515</v>
      </c>
      <c r="Q958" s="46" t="n">
        <f aca="false">IF(OR(P958="", ISBLANK(P958)), ROUND(0.9367*O958+0.0175, 4), P958)</f>
        <v>0.1515</v>
      </c>
      <c r="R958" s="33" t="str">
        <f aca="false">IF(OR(P958="", ISBLANK(P958)), "Imputed (Regression/Trend)", "Original")</f>
        <v>Original</v>
      </c>
      <c r="S958" s="46" t="n">
        <v>0.86</v>
      </c>
      <c r="T958" s="46" t="n">
        <v>0.1343</v>
      </c>
      <c r="U958" s="18" t="n">
        <v>2</v>
      </c>
      <c r="V958" s="18" t="n">
        <v>28</v>
      </c>
      <c r="W958" s="18" t="n">
        <f aca="false">U958+V958</f>
        <v>30</v>
      </c>
      <c r="X958" s="47" t="n">
        <f aca="false">U958/W958</f>
        <v>0.0666666666666667</v>
      </c>
      <c r="Y958" s="47" t="n">
        <f aca="false">V958/W958</f>
        <v>0.933333333333333</v>
      </c>
      <c r="Z958" s="33" t="str">
        <f aca="false">IF(W958&gt;=150, "High Demand", IF(W958&gt;=50, "Moderate Demand", "Low Demand"))</f>
        <v>Low Demand</v>
      </c>
      <c r="AA958" s="45" t="str">
        <f aca="false">TEXT(G958, "00") &amp; ":00"</f>
        <v>08:00</v>
      </c>
      <c r="AB958" s="43" t="n">
        <f aca="false">YEAR(B958)</f>
        <v>2011</v>
      </c>
      <c r="AC958" s="33" t="str">
        <f aca="false">TEXT(B958, "mmmm")</f>
        <v>February</v>
      </c>
      <c r="AD958" s="43" t="n">
        <f aca="false">LEN(TEXT(B958, "YYYY-MM-DD"))</f>
        <v>10</v>
      </c>
      <c r="AE958" s="45" t="str">
        <f aca="false">LEFT(TEXT(B958, "YYYY-MM-DD"), 4)</f>
        <v>2011</v>
      </c>
      <c r="AF958" s="45" t="str">
        <f aca="false">RIGHT(TEXT(B958, "YYYY-MM-DD"), 2)</f>
        <v>12</v>
      </c>
    </row>
    <row r="959" customFormat="false" ht="15" hidden="false" customHeight="false" outlineLevel="0" collapsed="false">
      <c r="A959" s="37" t="n">
        <v>955</v>
      </c>
      <c r="B959" s="38" t="s">
        <v>126</v>
      </c>
      <c r="C959" s="37" t="n">
        <v>1</v>
      </c>
      <c r="D959" s="35" t="str">
        <f aca="false">VLOOKUP(C959, Lookups_Metadata!$A$4:$B$7, 2, FALSE())</f>
        <v>Spring</v>
      </c>
      <c r="E959" s="37" t="n">
        <v>0</v>
      </c>
      <c r="F959" s="37" t="n">
        <v>2</v>
      </c>
      <c r="G959" s="37" t="n">
        <v>9</v>
      </c>
      <c r="H959" s="39" t="b">
        <f aca="false">FALSE()</f>
        <v>0</v>
      </c>
      <c r="I959" s="37" t="n">
        <v>6</v>
      </c>
      <c r="J959" s="35" t="str">
        <f aca="false">INDEX(Lookups_Metadata!$E$4:$E$10, MATCH(I959, Lookups_Metadata!$D$4:$D$10, 0))</f>
        <v>Saturday</v>
      </c>
      <c r="K959" s="35" t="str">
        <f aca="false">IF(H959=TRUE(), "Holiday", IF(OR(I959=0, I959=6), "Weekend", "Weekday"))</f>
        <v>Weekend</v>
      </c>
      <c r="L959" s="35" t="str">
        <f aca="false">IF(AND(K959="Weekday", OR(AND(G959&gt;=7, G959&lt;=9), AND(G959&gt;=17, G959&lt;=19))), "Peak Commute", "Off-Peak")</f>
        <v>Off-Peak</v>
      </c>
      <c r="M959" s="37" t="n">
        <v>1</v>
      </c>
      <c r="N959" s="35" t="str">
        <f aca="false">VLOOKUP(M959, Lookups_Metadata!$G$4:$H$7, 2, FALSE())</f>
        <v>Clear / Few Clouds</v>
      </c>
      <c r="O959" s="40" t="n">
        <v>0.16</v>
      </c>
      <c r="P959" s="40" t="n">
        <v>0.1818</v>
      </c>
      <c r="Q959" s="40" t="n">
        <f aca="false">IF(OR(P959="", ISBLANK(P959)), ROUND(0.9367*O959+0.0175, 4), P959)</f>
        <v>0.1818</v>
      </c>
      <c r="R959" s="35" t="str">
        <f aca="false">IF(OR(P959="", ISBLANK(P959)), "Imputed (Regression/Trend)", "Original")</f>
        <v>Original</v>
      </c>
      <c r="S959" s="40" t="n">
        <v>0.64</v>
      </c>
      <c r="T959" s="40" t="n">
        <v>0.1343</v>
      </c>
      <c r="U959" s="41" t="n">
        <v>5</v>
      </c>
      <c r="V959" s="41" t="n">
        <v>38</v>
      </c>
      <c r="W959" s="41" t="n">
        <f aca="false">U959+V959</f>
        <v>43</v>
      </c>
      <c r="X959" s="42" t="n">
        <f aca="false">U959/W959</f>
        <v>0.116279069767442</v>
      </c>
      <c r="Y959" s="42" t="n">
        <f aca="false">V959/W959</f>
        <v>0.883720930232558</v>
      </c>
      <c r="Z959" s="35" t="str">
        <f aca="false">IF(W959&gt;=150, "High Demand", IF(W959&gt;=50, "Moderate Demand", "Low Demand"))</f>
        <v>Low Demand</v>
      </c>
      <c r="AA959" s="39" t="str">
        <f aca="false">TEXT(G959, "00") &amp; ":00"</f>
        <v>09:00</v>
      </c>
      <c r="AB959" s="37" t="n">
        <f aca="false">YEAR(B959)</f>
        <v>2011</v>
      </c>
      <c r="AC959" s="35" t="str">
        <f aca="false">TEXT(B959, "mmmm")</f>
        <v>February</v>
      </c>
      <c r="AD959" s="37" t="n">
        <f aca="false">LEN(TEXT(B959, "YYYY-MM-DD"))</f>
        <v>10</v>
      </c>
      <c r="AE959" s="39" t="str">
        <f aca="false">LEFT(TEXT(B959, "YYYY-MM-DD"), 4)</f>
        <v>2011</v>
      </c>
      <c r="AF959" s="39" t="str">
        <f aca="false">RIGHT(TEXT(B959, "YYYY-MM-DD"), 2)</f>
        <v>12</v>
      </c>
    </row>
    <row r="960" customFormat="false" ht="15" hidden="false" customHeight="false" outlineLevel="0" collapsed="false">
      <c r="A960" s="43" t="n">
        <v>956</v>
      </c>
      <c r="B960" s="44" t="s">
        <v>126</v>
      </c>
      <c r="C960" s="43" t="n">
        <v>1</v>
      </c>
      <c r="D960" s="33" t="str">
        <f aca="false">VLOOKUP(C960, Lookups_Metadata!$A$4:$B$7, 2, FALSE())</f>
        <v>Spring</v>
      </c>
      <c r="E960" s="43" t="n">
        <v>0</v>
      </c>
      <c r="F960" s="43" t="n">
        <v>2</v>
      </c>
      <c r="G960" s="43" t="n">
        <v>10</v>
      </c>
      <c r="H960" s="45" t="b">
        <f aca="false">FALSE()</f>
        <v>0</v>
      </c>
      <c r="I960" s="43" t="n">
        <v>6</v>
      </c>
      <c r="J960" s="33" t="str">
        <f aca="false">INDEX(Lookups_Metadata!$E$4:$E$10, MATCH(I960, Lookups_Metadata!$D$4:$D$10, 0))</f>
        <v>Saturday</v>
      </c>
      <c r="K960" s="33" t="str">
        <f aca="false">IF(H960=TRUE(), "Holiday", IF(OR(I960=0, I960=6), "Weekend", "Weekday"))</f>
        <v>Weekend</v>
      </c>
      <c r="L960" s="33" t="str">
        <f aca="false">IF(AND(K960="Weekday", OR(AND(G960&gt;=7, G960&lt;=9), AND(G960&gt;=17, G960&lt;=19))), "Peak Commute", "Off-Peak")</f>
        <v>Off-Peak</v>
      </c>
      <c r="M960" s="43" t="n">
        <v>1</v>
      </c>
      <c r="N960" s="33" t="str">
        <f aca="false">VLOOKUP(M960, Lookups_Metadata!$G$4:$H$7, 2, FALSE())</f>
        <v>Clear / Few Clouds</v>
      </c>
      <c r="O960" s="46" t="n">
        <v>0.22</v>
      </c>
      <c r="P960" s="46" t="n">
        <v>0.2121</v>
      </c>
      <c r="Q960" s="46" t="n">
        <f aca="false">IF(OR(P960="", ISBLANK(P960)), ROUND(0.9367*O960+0.0175, 4), P960)</f>
        <v>0.2121</v>
      </c>
      <c r="R960" s="33" t="str">
        <f aca="false">IF(OR(P960="", ISBLANK(P960)), "Imputed (Regression/Trend)", "Original")</f>
        <v>Original</v>
      </c>
      <c r="S960" s="46" t="n">
        <v>0.41</v>
      </c>
      <c r="T960" s="46" t="n">
        <v>0.2537</v>
      </c>
      <c r="U960" s="18" t="n">
        <v>13</v>
      </c>
      <c r="V960" s="18" t="n">
        <v>71</v>
      </c>
      <c r="W960" s="18" t="n">
        <f aca="false">U960+V960</f>
        <v>84</v>
      </c>
      <c r="X960" s="47" t="n">
        <f aca="false">U960/W960</f>
        <v>0.154761904761905</v>
      </c>
      <c r="Y960" s="47" t="n">
        <f aca="false">V960/W960</f>
        <v>0.845238095238095</v>
      </c>
      <c r="Z960" s="33" t="str">
        <f aca="false">IF(W960&gt;=150, "High Demand", IF(W960&gt;=50, "Moderate Demand", "Low Demand"))</f>
        <v>Moderate Demand</v>
      </c>
      <c r="AA960" s="45" t="str">
        <f aca="false">TEXT(G960, "00") &amp; ":00"</f>
        <v>10:00</v>
      </c>
      <c r="AB960" s="43" t="n">
        <f aca="false">YEAR(B960)</f>
        <v>2011</v>
      </c>
      <c r="AC960" s="33" t="str">
        <f aca="false">TEXT(B960, "mmmm")</f>
        <v>February</v>
      </c>
      <c r="AD960" s="43" t="n">
        <f aca="false">LEN(TEXT(B960, "YYYY-MM-DD"))</f>
        <v>10</v>
      </c>
      <c r="AE960" s="45" t="str">
        <f aca="false">LEFT(TEXT(B960, "YYYY-MM-DD"), 4)</f>
        <v>2011</v>
      </c>
      <c r="AF960" s="45" t="str">
        <f aca="false">RIGHT(TEXT(B960, "YYYY-MM-DD"), 2)</f>
        <v>12</v>
      </c>
    </row>
    <row r="961" customFormat="false" ht="15" hidden="false" customHeight="false" outlineLevel="0" collapsed="false">
      <c r="A961" s="37" t="n">
        <v>957</v>
      </c>
      <c r="B961" s="38" t="s">
        <v>126</v>
      </c>
      <c r="C961" s="37" t="n">
        <v>1</v>
      </c>
      <c r="D961" s="35" t="str">
        <f aca="false">VLOOKUP(C961, Lookups_Metadata!$A$4:$B$7, 2, FALSE())</f>
        <v>Spring</v>
      </c>
      <c r="E961" s="37" t="n">
        <v>0</v>
      </c>
      <c r="F961" s="37" t="n">
        <v>2</v>
      </c>
      <c r="G961" s="37" t="n">
        <v>11</v>
      </c>
      <c r="H961" s="39" t="b">
        <f aca="false">FALSE()</f>
        <v>0</v>
      </c>
      <c r="I961" s="37" t="n">
        <v>6</v>
      </c>
      <c r="J961" s="35" t="str">
        <f aca="false">INDEX(Lookups_Metadata!$E$4:$E$10, MATCH(I961, Lookups_Metadata!$D$4:$D$10, 0))</f>
        <v>Saturday</v>
      </c>
      <c r="K961" s="35" t="str">
        <f aca="false">IF(H961=TRUE(), "Holiday", IF(OR(I961=0, I961=6), "Weekend", "Weekday"))</f>
        <v>Weekend</v>
      </c>
      <c r="L961" s="35" t="str">
        <f aca="false">IF(AND(K961="Weekday", OR(AND(G961&gt;=7, G961&lt;=9), AND(G961&gt;=17, G961&lt;=19))), "Peak Commute", "Off-Peak")</f>
        <v>Off-Peak</v>
      </c>
      <c r="M961" s="37" t="n">
        <v>1</v>
      </c>
      <c r="N961" s="35" t="str">
        <f aca="false">VLOOKUP(M961, Lookups_Metadata!$G$4:$H$7, 2, FALSE())</f>
        <v>Clear / Few Clouds</v>
      </c>
      <c r="O961" s="40" t="n">
        <v>0.3</v>
      </c>
      <c r="P961" s="40" t="n">
        <v>0.2727</v>
      </c>
      <c r="Q961" s="40" t="n">
        <f aca="false">IF(OR(P961="", ISBLANK(P961)), ROUND(0.9367*O961+0.0175, 4), P961)</f>
        <v>0.2727</v>
      </c>
      <c r="R961" s="35" t="str">
        <f aca="false">IF(OR(P961="", ISBLANK(P961)), "Imputed (Regression/Trend)", "Original")</f>
        <v>Original</v>
      </c>
      <c r="S961" s="40" t="n">
        <v>0.28</v>
      </c>
      <c r="T961" s="40" t="n">
        <v>0.3284</v>
      </c>
      <c r="U961" s="41" t="n">
        <v>30</v>
      </c>
      <c r="V961" s="41" t="n">
        <v>84</v>
      </c>
      <c r="W961" s="41" t="n">
        <f aca="false">U961+V961</f>
        <v>114</v>
      </c>
      <c r="X961" s="42" t="n">
        <f aca="false">U961/W961</f>
        <v>0.263157894736842</v>
      </c>
      <c r="Y961" s="42" t="n">
        <f aca="false">V961/W961</f>
        <v>0.736842105263158</v>
      </c>
      <c r="Z961" s="35" t="str">
        <f aca="false">IF(W961&gt;=150, "High Demand", IF(W961&gt;=50, "Moderate Demand", "Low Demand"))</f>
        <v>Moderate Demand</v>
      </c>
      <c r="AA961" s="39" t="str">
        <f aca="false">TEXT(G961, "00") &amp; ":00"</f>
        <v>11:00</v>
      </c>
      <c r="AB961" s="37" t="n">
        <f aca="false">YEAR(B961)</f>
        <v>2011</v>
      </c>
      <c r="AC961" s="35" t="str">
        <f aca="false">TEXT(B961, "mmmm")</f>
        <v>February</v>
      </c>
      <c r="AD961" s="37" t="n">
        <f aca="false">LEN(TEXT(B961, "YYYY-MM-DD"))</f>
        <v>10</v>
      </c>
      <c r="AE961" s="39" t="str">
        <f aca="false">LEFT(TEXT(B961, "YYYY-MM-DD"), 4)</f>
        <v>2011</v>
      </c>
      <c r="AF961" s="39" t="str">
        <f aca="false">RIGHT(TEXT(B961, "YYYY-MM-DD"), 2)</f>
        <v>12</v>
      </c>
    </row>
    <row r="962" customFormat="false" ht="15" hidden="false" customHeight="false" outlineLevel="0" collapsed="false">
      <c r="A962" s="43" t="n">
        <v>958</v>
      </c>
      <c r="B962" s="44" t="s">
        <v>126</v>
      </c>
      <c r="C962" s="43" t="n">
        <v>1</v>
      </c>
      <c r="D962" s="33" t="str">
        <f aca="false">VLOOKUP(C962, Lookups_Metadata!$A$4:$B$7, 2, FALSE())</f>
        <v>Spring</v>
      </c>
      <c r="E962" s="43" t="n">
        <v>0</v>
      </c>
      <c r="F962" s="43" t="n">
        <v>2</v>
      </c>
      <c r="G962" s="43" t="n">
        <v>12</v>
      </c>
      <c r="H962" s="45" t="b">
        <f aca="false">FALSE()</f>
        <v>0</v>
      </c>
      <c r="I962" s="43" t="n">
        <v>6</v>
      </c>
      <c r="J962" s="33" t="str">
        <f aca="false">INDEX(Lookups_Metadata!$E$4:$E$10, MATCH(I962, Lookups_Metadata!$D$4:$D$10, 0))</f>
        <v>Saturday</v>
      </c>
      <c r="K962" s="33" t="str">
        <f aca="false">IF(H962=TRUE(), "Holiday", IF(OR(I962=0, I962=6), "Weekend", "Weekday"))</f>
        <v>Weekend</v>
      </c>
      <c r="L962" s="33" t="str">
        <f aca="false">IF(AND(K962="Weekday", OR(AND(G962&gt;=7, G962&lt;=9), AND(G962&gt;=17, G962&lt;=19))), "Peak Commute", "Off-Peak")</f>
        <v>Off-Peak</v>
      </c>
      <c r="M962" s="43" t="n">
        <v>1</v>
      </c>
      <c r="N962" s="33" t="str">
        <f aca="false">VLOOKUP(M962, Lookups_Metadata!$G$4:$H$7, 2, FALSE())</f>
        <v>Clear / Few Clouds</v>
      </c>
      <c r="O962" s="46" t="n">
        <v>0.3</v>
      </c>
      <c r="P962" s="46" t="n">
        <v>0.2727</v>
      </c>
      <c r="Q962" s="46" t="n">
        <f aca="false">IF(OR(P962="", ISBLANK(P962)), ROUND(0.9367*O962+0.0175, 4), P962)</f>
        <v>0.2727</v>
      </c>
      <c r="R962" s="33" t="str">
        <f aca="false">IF(OR(P962="", ISBLANK(P962)), "Imputed (Regression/Trend)", "Original")</f>
        <v>Original</v>
      </c>
      <c r="S962" s="46" t="n">
        <v>0.39</v>
      </c>
      <c r="T962" s="46" t="n">
        <v>0.4627</v>
      </c>
      <c r="U962" s="18" t="n">
        <v>27</v>
      </c>
      <c r="V962" s="18" t="n">
        <v>93</v>
      </c>
      <c r="W962" s="18" t="n">
        <f aca="false">U962+V962</f>
        <v>120</v>
      </c>
      <c r="X962" s="47" t="n">
        <f aca="false">U962/W962</f>
        <v>0.225</v>
      </c>
      <c r="Y962" s="47" t="n">
        <f aca="false">V962/W962</f>
        <v>0.775</v>
      </c>
      <c r="Z962" s="33" t="str">
        <f aca="false">IF(W962&gt;=150, "High Demand", IF(W962&gt;=50, "Moderate Demand", "Low Demand"))</f>
        <v>Moderate Demand</v>
      </c>
      <c r="AA962" s="45" t="str">
        <f aca="false">TEXT(G962, "00") &amp; ":00"</f>
        <v>12:00</v>
      </c>
      <c r="AB962" s="43" t="n">
        <f aca="false">YEAR(B962)</f>
        <v>2011</v>
      </c>
      <c r="AC962" s="33" t="str">
        <f aca="false">TEXT(B962, "mmmm")</f>
        <v>February</v>
      </c>
      <c r="AD962" s="43" t="n">
        <f aca="false">LEN(TEXT(B962, "YYYY-MM-DD"))</f>
        <v>10</v>
      </c>
      <c r="AE962" s="45" t="str">
        <f aca="false">LEFT(TEXT(B962, "YYYY-MM-DD"), 4)</f>
        <v>2011</v>
      </c>
      <c r="AF962" s="45" t="str">
        <f aca="false">RIGHT(TEXT(B962, "YYYY-MM-DD"), 2)</f>
        <v>12</v>
      </c>
    </row>
    <row r="963" customFormat="false" ht="15" hidden="false" customHeight="false" outlineLevel="0" collapsed="false">
      <c r="A963" s="37" t="n">
        <v>959</v>
      </c>
      <c r="B963" s="38" t="s">
        <v>126</v>
      </c>
      <c r="C963" s="37" t="n">
        <v>1</v>
      </c>
      <c r="D963" s="35" t="str">
        <f aca="false">VLOOKUP(C963, Lookups_Metadata!$A$4:$B$7, 2, FALSE())</f>
        <v>Spring</v>
      </c>
      <c r="E963" s="37" t="n">
        <v>0</v>
      </c>
      <c r="F963" s="37" t="n">
        <v>2</v>
      </c>
      <c r="G963" s="37" t="n">
        <v>13</v>
      </c>
      <c r="H963" s="39" t="b">
        <f aca="false">FALSE()</f>
        <v>0</v>
      </c>
      <c r="I963" s="37" t="n">
        <v>6</v>
      </c>
      <c r="J963" s="35" t="str">
        <f aca="false">INDEX(Lookups_Metadata!$E$4:$E$10, MATCH(I963, Lookups_Metadata!$D$4:$D$10, 0))</f>
        <v>Saturday</v>
      </c>
      <c r="K963" s="35" t="str">
        <f aca="false">IF(H963=TRUE(), "Holiday", IF(OR(I963=0, I963=6), "Weekend", "Weekday"))</f>
        <v>Weekend</v>
      </c>
      <c r="L963" s="35" t="str">
        <f aca="false">IF(AND(K963="Weekday", OR(AND(G963&gt;=7, G963&lt;=9), AND(G963&gt;=17, G963&lt;=19))), "Peak Commute", "Off-Peak")</f>
        <v>Off-Peak</v>
      </c>
      <c r="M963" s="37" t="n">
        <v>1</v>
      </c>
      <c r="N963" s="35" t="str">
        <f aca="false">VLOOKUP(M963, Lookups_Metadata!$G$4:$H$7, 2, FALSE())</f>
        <v>Clear / Few Clouds</v>
      </c>
      <c r="O963" s="40" t="n">
        <v>0.3</v>
      </c>
      <c r="P963" s="40" t="n">
        <v>0.2727</v>
      </c>
      <c r="Q963" s="40" t="n">
        <f aca="false">IF(OR(P963="", ISBLANK(P963)), ROUND(0.9367*O963+0.0175, 4), P963)</f>
        <v>0.2727</v>
      </c>
      <c r="R963" s="35" t="str">
        <f aca="false">IF(OR(P963="", ISBLANK(P963)), "Imputed (Regression/Trend)", "Original")</f>
        <v>Original</v>
      </c>
      <c r="S963" s="40" t="n">
        <v>0.39</v>
      </c>
      <c r="T963" s="40" t="n">
        <v>0.4179</v>
      </c>
      <c r="U963" s="41" t="n">
        <v>32</v>
      </c>
      <c r="V963" s="41" t="n">
        <v>103</v>
      </c>
      <c r="W963" s="41" t="n">
        <f aca="false">U963+V963</f>
        <v>135</v>
      </c>
      <c r="X963" s="42" t="n">
        <f aca="false">U963/W963</f>
        <v>0.237037037037037</v>
      </c>
      <c r="Y963" s="42" t="n">
        <f aca="false">V963/W963</f>
        <v>0.762962962962963</v>
      </c>
      <c r="Z963" s="35" t="str">
        <f aca="false">IF(W963&gt;=150, "High Demand", IF(W963&gt;=50, "Moderate Demand", "Low Demand"))</f>
        <v>Moderate Demand</v>
      </c>
      <c r="AA963" s="39" t="str">
        <f aca="false">TEXT(G963, "00") &amp; ":00"</f>
        <v>13:00</v>
      </c>
      <c r="AB963" s="37" t="n">
        <f aca="false">YEAR(B963)</f>
        <v>2011</v>
      </c>
      <c r="AC963" s="35" t="str">
        <f aca="false">TEXT(B963, "mmmm")</f>
        <v>February</v>
      </c>
      <c r="AD963" s="37" t="n">
        <f aca="false">LEN(TEXT(B963, "YYYY-MM-DD"))</f>
        <v>10</v>
      </c>
      <c r="AE963" s="39" t="str">
        <f aca="false">LEFT(TEXT(B963, "YYYY-MM-DD"), 4)</f>
        <v>2011</v>
      </c>
      <c r="AF963" s="39" t="str">
        <f aca="false">RIGHT(TEXT(B963, "YYYY-MM-DD"), 2)</f>
        <v>12</v>
      </c>
    </row>
    <row r="964" customFormat="false" ht="15" hidden="false" customHeight="false" outlineLevel="0" collapsed="false">
      <c r="A964" s="43" t="n">
        <v>960</v>
      </c>
      <c r="B964" s="44" t="s">
        <v>126</v>
      </c>
      <c r="C964" s="43" t="n">
        <v>1</v>
      </c>
      <c r="D964" s="33" t="str">
        <f aca="false">VLOOKUP(C964, Lookups_Metadata!$A$4:$B$7, 2, FALSE())</f>
        <v>Spring</v>
      </c>
      <c r="E964" s="43" t="n">
        <v>0</v>
      </c>
      <c r="F964" s="43" t="n">
        <v>2</v>
      </c>
      <c r="G964" s="43" t="n">
        <v>14</v>
      </c>
      <c r="H964" s="45" t="b">
        <f aca="false">FALSE()</f>
        <v>0</v>
      </c>
      <c r="I964" s="43" t="n">
        <v>6</v>
      </c>
      <c r="J964" s="33" t="str">
        <f aca="false">INDEX(Lookups_Metadata!$E$4:$E$10, MATCH(I964, Lookups_Metadata!$D$4:$D$10, 0))</f>
        <v>Saturday</v>
      </c>
      <c r="K964" s="33" t="str">
        <f aca="false">IF(H964=TRUE(), "Holiday", IF(OR(I964=0, I964=6), "Weekend", "Weekday"))</f>
        <v>Weekend</v>
      </c>
      <c r="L964" s="33" t="str">
        <f aca="false">IF(AND(K964="Weekday", OR(AND(G964&gt;=7, G964&lt;=9), AND(G964&gt;=17, G964&lt;=19))), "Peak Commute", "Off-Peak")</f>
        <v>Off-Peak</v>
      </c>
      <c r="M964" s="43" t="n">
        <v>1</v>
      </c>
      <c r="N964" s="33" t="str">
        <f aca="false">VLOOKUP(M964, Lookups_Metadata!$G$4:$H$7, 2, FALSE())</f>
        <v>Clear / Few Clouds</v>
      </c>
      <c r="O964" s="46" t="n">
        <v>0.34</v>
      </c>
      <c r="P964" s="46" t="n">
        <v>0.3182</v>
      </c>
      <c r="Q964" s="46" t="n">
        <f aca="false">IF(OR(P964="", ISBLANK(P964)), ROUND(0.9367*O964+0.0175, 4), P964)</f>
        <v>0.3182</v>
      </c>
      <c r="R964" s="33" t="str">
        <f aca="false">IF(OR(P964="", ISBLANK(P964)), "Imputed (Regression/Trend)", "Original")</f>
        <v>Original</v>
      </c>
      <c r="S964" s="46" t="n">
        <v>0.31</v>
      </c>
      <c r="T964" s="46" t="n">
        <v>0.2836</v>
      </c>
      <c r="U964" s="18" t="n">
        <v>30</v>
      </c>
      <c r="V964" s="18" t="n">
        <v>90</v>
      </c>
      <c r="W964" s="18" t="n">
        <f aca="false">U964+V964</f>
        <v>120</v>
      </c>
      <c r="X964" s="47" t="n">
        <f aca="false">U964/W964</f>
        <v>0.25</v>
      </c>
      <c r="Y964" s="47" t="n">
        <f aca="false">V964/W964</f>
        <v>0.75</v>
      </c>
      <c r="Z964" s="33" t="str">
        <f aca="false">IF(W964&gt;=150, "High Demand", IF(W964&gt;=50, "Moderate Demand", "Low Demand"))</f>
        <v>Moderate Demand</v>
      </c>
      <c r="AA964" s="45" t="str">
        <f aca="false">TEXT(G964, "00") &amp; ":00"</f>
        <v>14:00</v>
      </c>
      <c r="AB964" s="43" t="n">
        <f aca="false">YEAR(B964)</f>
        <v>2011</v>
      </c>
      <c r="AC964" s="33" t="str">
        <f aca="false">TEXT(B964, "mmmm")</f>
        <v>February</v>
      </c>
      <c r="AD964" s="43" t="n">
        <f aca="false">LEN(TEXT(B964, "YYYY-MM-DD"))</f>
        <v>10</v>
      </c>
      <c r="AE964" s="45" t="str">
        <f aca="false">LEFT(TEXT(B964, "YYYY-MM-DD"), 4)</f>
        <v>2011</v>
      </c>
      <c r="AF964" s="45" t="str">
        <f aca="false">RIGHT(TEXT(B964, "YYYY-MM-DD"), 2)</f>
        <v>12</v>
      </c>
    </row>
    <row r="965" customFormat="false" ht="15" hidden="false" customHeight="false" outlineLevel="0" collapsed="false">
      <c r="A965" s="37" t="n">
        <v>961</v>
      </c>
      <c r="B965" s="38" t="s">
        <v>126</v>
      </c>
      <c r="C965" s="37" t="n">
        <v>1</v>
      </c>
      <c r="D965" s="35" t="str">
        <f aca="false">VLOOKUP(C965, Lookups_Metadata!$A$4:$B$7, 2, FALSE())</f>
        <v>Spring</v>
      </c>
      <c r="E965" s="37" t="n">
        <v>0</v>
      </c>
      <c r="F965" s="37" t="n">
        <v>2</v>
      </c>
      <c r="G965" s="37" t="n">
        <v>15</v>
      </c>
      <c r="H965" s="39" t="b">
        <f aca="false">FALSE()</f>
        <v>0</v>
      </c>
      <c r="I965" s="37" t="n">
        <v>6</v>
      </c>
      <c r="J965" s="35" t="str">
        <f aca="false">INDEX(Lookups_Metadata!$E$4:$E$10, MATCH(I965, Lookups_Metadata!$D$4:$D$10, 0))</f>
        <v>Saturday</v>
      </c>
      <c r="K965" s="35" t="str">
        <f aca="false">IF(H965=TRUE(), "Holiday", IF(OR(I965=0, I965=6), "Weekend", "Weekday"))</f>
        <v>Weekend</v>
      </c>
      <c r="L965" s="35" t="str">
        <f aca="false">IF(AND(K965="Weekday", OR(AND(G965&gt;=7, G965&lt;=9), AND(G965&gt;=17, G965&lt;=19))), "Peak Commute", "Off-Peak")</f>
        <v>Off-Peak</v>
      </c>
      <c r="M965" s="37" t="n">
        <v>1</v>
      </c>
      <c r="N965" s="35" t="str">
        <f aca="false">VLOOKUP(M965, Lookups_Metadata!$G$4:$H$7, 2, FALSE())</f>
        <v>Clear / Few Clouds</v>
      </c>
      <c r="O965" s="40" t="n">
        <v>0.34</v>
      </c>
      <c r="P965" s="40" t="n">
        <v>0.303</v>
      </c>
      <c r="Q965" s="40" t="n">
        <f aca="false">IF(OR(P965="", ISBLANK(P965)), ROUND(0.9367*O965+0.0175, 4), P965)</f>
        <v>0.303</v>
      </c>
      <c r="R965" s="35" t="str">
        <f aca="false">IF(OR(P965="", ISBLANK(P965)), "Imputed (Regression/Trend)", "Original")</f>
        <v>Original</v>
      </c>
      <c r="S965" s="40" t="n">
        <v>0.29</v>
      </c>
      <c r="T965" s="40" t="n">
        <v>0.4179</v>
      </c>
      <c r="U965" s="41" t="n">
        <v>47</v>
      </c>
      <c r="V965" s="41" t="n">
        <v>127</v>
      </c>
      <c r="W965" s="41" t="n">
        <f aca="false">U965+V965</f>
        <v>174</v>
      </c>
      <c r="X965" s="42" t="n">
        <f aca="false">U965/W965</f>
        <v>0.270114942528736</v>
      </c>
      <c r="Y965" s="42" t="n">
        <f aca="false">V965/W965</f>
        <v>0.729885057471264</v>
      </c>
      <c r="Z965" s="35" t="str">
        <f aca="false">IF(W965&gt;=150, "High Demand", IF(W965&gt;=50, "Moderate Demand", "Low Demand"))</f>
        <v>High Demand</v>
      </c>
      <c r="AA965" s="39" t="str">
        <f aca="false">TEXT(G965, "00") &amp; ":00"</f>
        <v>15:00</v>
      </c>
      <c r="AB965" s="37" t="n">
        <f aca="false">YEAR(B965)</f>
        <v>2011</v>
      </c>
      <c r="AC965" s="35" t="str">
        <f aca="false">TEXT(B965, "mmmm")</f>
        <v>February</v>
      </c>
      <c r="AD965" s="37" t="n">
        <f aca="false">LEN(TEXT(B965, "YYYY-MM-DD"))</f>
        <v>10</v>
      </c>
      <c r="AE965" s="39" t="str">
        <f aca="false">LEFT(TEXT(B965, "YYYY-MM-DD"), 4)</f>
        <v>2011</v>
      </c>
      <c r="AF965" s="39" t="str">
        <f aca="false">RIGHT(TEXT(B965, "YYYY-MM-DD"), 2)</f>
        <v>12</v>
      </c>
    </row>
    <row r="966" customFormat="false" ht="15" hidden="false" customHeight="false" outlineLevel="0" collapsed="false">
      <c r="A966" s="43" t="n">
        <v>962</v>
      </c>
      <c r="B966" s="44" t="s">
        <v>126</v>
      </c>
      <c r="C966" s="43" t="n">
        <v>1</v>
      </c>
      <c r="D966" s="33" t="str">
        <f aca="false">VLOOKUP(C966, Lookups_Metadata!$A$4:$B$7, 2, FALSE())</f>
        <v>Spring</v>
      </c>
      <c r="E966" s="43" t="n">
        <v>0</v>
      </c>
      <c r="F966" s="43" t="n">
        <v>2</v>
      </c>
      <c r="G966" s="43" t="n">
        <v>16</v>
      </c>
      <c r="H966" s="45" t="b">
        <f aca="false">FALSE()</f>
        <v>0</v>
      </c>
      <c r="I966" s="43" t="n">
        <v>6</v>
      </c>
      <c r="J966" s="33" t="str">
        <f aca="false">INDEX(Lookups_Metadata!$E$4:$E$10, MATCH(I966, Lookups_Metadata!$D$4:$D$10, 0))</f>
        <v>Saturday</v>
      </c>
      <c r="K966" s="33" t="str">
        <f aca="false">IF(H966=TRUE(), "Holiday", IF(OR(I966=0, I966=6), "Weekend", "Weekday"))</f>
        <v>Weekend</v>
      </c>
      <c r="L966" s="33" t="str">
        <f aca="false">IF(AND(K966="Weekday", OR(AND(G966&gt;=7, G966&lt;=9), AND(G966&gt;=17, G966&lt;=19))), "Peak Commute", "Off-Peak")</f>
        <v>Off-Peak</v>
      </c>
      <c r="M966" s="43" t="n">
        <v>1</v>
      </c>
      <c r="N966" s="33" t="str">
        <f aca="false">VLOOKUP(M966, Lookups_Metadata!$G$4:$H$7, 2, FALSE())</f>
        <v>Clear / Few Clouds</v>
      </c>
      <c r="O966" s="46" t="n">
        <v>0.34</v>
      </c>
      <c r="P966" s="46" t="n">
        <v>0.303</v>
      </c>
      <c r="Q966" s="46" t="n">
        <f aca="false">IF(OR(P966="", ISBLANK(P966)), ROUND(0.9367*O966+0.0175, 4), P966)</f>
        <v>0.303</v>
      </c>
      <c r="R966" s="33" t="str">
        <f aca="false">IF(OR(P966="", ISBLANK(P966)), "Imputed (Regression/Trend)", "Original")</f>
        <v>Original</v>
      </c>
      <c r="S966" s="46" t="n">
        <v>0.29</v>
      </c>
      <c r="T966" s="46" t="n">
        <v>0.4179</v>
      </c>
      <c r="U966" s="18" t="n">
        <v>42</v>
      </c>
      <c r="V966" s="18" t="n">
        <v>103</v>
      </c>
      <c r="W966" s="18" t="n">
        <f aca="false">U966+V966</f>
        <v>145</v>
      </c>
      <c r="X966" s="47" t="n">
        <f aca="false">U966/W966</f>
        <v>0.289655172413793</v>
      </c>
      <c r="Y966" s="47" t="n">
        <f aca="false">V966/W966</f>
        <v>0.710344827586207</v>
      </c>
      <c r="Z966" s="33" t="str">
        <f aca="false">IF(W966&gt;=150, "High Demand", IF(W966&gt;=50, "Moderate Demand", "Low Demand"))</f>
        <v>Moderate Demand</v>
      </c>
      <c r="AA966" s="45" t="str">
        <f aca="false">TEXT(G966, "00") &amp; ":00"</f>
        <v>16:00</v>
      </c>
      <c r="AB966" s="43" t="n">
        <f aca="false">YEAR(B966)</f>
        <v>2011</v>
      </c>
      <c r="AC966" s="33" t="str">
        <f aca="false">TEXT(B966, "mmmm")</f>
        <v>February</v>
      </c>
      <c r="AD966" s="43" t="n">
        <f aca="false">LEN(TEXT(B966, "YYYY-MM-DD"))</f>
        <v>10</v>
      </c>
      <c r="AE966" s="45" t="str">
        <f aca="false">LEFT(TEXT(B966, "YYYY-MM-DD"), 4)</f>
        <v>2011</v>
      </c>
      <c r="AF966" s="45" t="str">
        <f aca="false">RIGHT(TEXT(B966, "YYYY-MM-DD"), 2)</f>
        <v>12</v>
      </c>
    </row>
    <row r="967" customFormat="false" ht="15" hidden="false" customHeight="false" outlineLevel="0" collapsed="false">
      <c r="A967" s="37" t="n">
        <v>963</v>
      </c>
      <c r="B967" s="38" t="s">
        <v>126</v>
      </c>
      <c r="C967" s="37" t="n">
        <v>1</v>
      </c>
      <c r="D967" s="35" t="str">
        <f aca="false">VLOOKUP(C967, Lookups_Metadata!$A$4:$B$7, 2, FALSE())</f>
        <v>Spring</v>
      </c>
      <c r="E967" s="37" t="n">
        <v>0</v>
      </c>
      <c r="F967" s="37" t="n">
        <v>2</v>
      </c>
      <c r="G967" s="37" t="n">
        <v>17</v>
      </c>
      <c r="H967" s="39" t="b">
        <f aca="false">FALSE()</f>
        <v>0</v>
      </c>
      <c r="I967" s="37" t="n">
        <v>6</v>
      </c>
      <c r="J967" s="35" t="str">
        <f aca="false">INDEX(Lookups_Metadata!$E$4:$E$10, MATCH(I967, Lookups_Metadata!$D$4:$D$10, 0))</f>
        <v>Saturday</v>
      </c>
      <c r="K967" s="35" t="str">
        <f aca="false">IF(H967=TRUE(), "Holiday", IF(OR(I967=0, I967=6), "Weekend", "Weekday"))</f>
        <v>Weekend</v>
      </c>
      <c r="L967" s="35" t="str">
        <f aca="false">IF(AND(K967="Weekday", OR(AND(G967&gt;=7, G967&lt;=9), AND(G967&gt;=17, G967&lt;=19))), "Peak Commute", "Off-Peak")</f>
        <v>Off-Peak</v>
      </c>
      <c r="M967" s="37" t="n">
        <v>1</v>
      </c>
      <c r="N967" s="35" t="str">
        <f aca="false">VLOOKUP(M967, Lookups_Metadata!$G$4:$H$7, 2, FALSE())</f>
        <v>Clear / Few Clouds</v>
      </c>
      <c r="O967" s="40" t="n">
        <v>0.32</v>
      </c>
      <c r="P967" s="40" t="n">
        <v>0.2879</v>
      </c>
      <c r="Q967" s="40" t="n">
        <f aca="false">IF(OR(P967="", ISBLANK(P967)), ROUND(0.9367*O967+0.0175, 4), P967)</f>
        <v>0.2879</v>
      </c>
      <c r="R967" s="35" t="str">
        <f aca="false">IF(OR(P967="", ISBLANK(P967)), "Imputed (Regression/Trend)", "Original")</f>
        <v>Original</v>
      </c>
      <c r="S967" s="40" t="n">
        <v>0.31</v>
      </c>
      <c r="T967" s="40" t="n">
        <v>0.5224</v>
      </c>
      <c r="U967" s="41" t="n">
        <v>24</v>
      </c>
      <c r="V967" s="41" t="n">
        <v>113</v>
      </c>
      <c r="W967" s="41" t="n">
        <f aca="false">U967+V967</f>
        <v>137</v>
      </c>
      <c r="X967" s="42" t="n">
        <f aca="false">U967/W967</f>
        <v>0.175182481751825</v>
      </c>
      <c r="Y967" s="42" t="n">
        <f aca="false">V967/W967</f>
        <v>0.824817518248175</v>
      </c>
      <c r="Z967" s="35" t="str">
        <f aca="false">IF(W967&gt;=150, "High Demand", IF(W967&gt;=50, "Moderate Demand", "Low Demand"))</f>
        <v>Moderate Demand</v>
      </c>
      <c r="AA967" s="39" t="str">
        <f aca="false">TEXT(G967, "00") &amp; ":00"</f>
        <v>17:00</v>
      </c>
      <c r="AB967" s="37" t="n">
        <f aca="false">YEAR(B967)</f>
        <v>2011</v>
      </c>
      <c r="AC967" s="35" t="str">
        <f aca="false">TEXT(B967, "mmmm")</f>
        <v>February</v>
      </c>
      <c r="AD967" s="37" t="n">
        <f aca="false">LEN(TEXT(B967, "YYYY-MM-DD"))</f>
        <v>10</v>
      </c>
      <c r="AE967" s="39" t="str">
        <f aca="false">LEFT(TEXT(B967, "YYYY-MM-DD"), 4)</f>
        <v>2011</v>
      </c>
      <c r="AF967" s="39" t="str">
        <f aca="false">RIGHT(TEXT(B967, "YYYY-MM-DD"), 2)</f>
        <v>12</v>
      </c>
    </row>
    <row r="968" customFormat="false" ht="15" hidden="false" customHeight="false" outlineLevel="0" collapsed="false">
      <c r="A968" s="43" t="n">
        <v>964</v>
      </c>
      <c r="B968" s="44" t="s">
        <v>126</v>
      </c>
      <c r="C968" s="43" t="n">
        <v>1</v>
      </c>
      <c r="D968" s="33" t="str">
        <f aca="false">VLOOKUP(C968, Lookups_Metadata!$A$4:$B$7, 2, FALSE())</f>
        <v>Spring</v>
      </c>
      <c r="E968" s="43" t="n">
        <v>0</v>
      </c>
      <c r="F968" s="43" t="n">
        <v>2</v>
      </c>
      <c r="G968" s="43" t="n">
        <v>18</v>
      </c>
      <c r="H968" s="45" t="b">
        <f aca="false">FALSE()</f>
        <v>0</v>
      </c>
      <c r="I968" s="43" t="n">
        <v>6</v>
      </c>
      <c r="J968" s="33" t="str">
        <f aca="false">INDEX(Lookups_Metadata!$E$4:$E$10, MATCH(I968, Lookups_Metadata!$D$4:$D$10, 0))</f>
        <v>Saturday</v>
      </c>
      <c r="K968" s="33" t="str">
        <f aca="false">IF(H968=TRUE(), "Holiday", IF(OR(I968=0, I968=6), "Weekend", "Weekday"))</f>
        <v>Weekend</v>
      </c>
      <c r="L968" s="33" t="str">
        <f aca="false">IF(AND(K968="Weekday", OR(AND(G968&gt;=7, G968&lt;=9), AND(G968&gt;=17, G968&lt;=19))), "Peak Commute", "Off-Peak")</f>
        <v>Off-Peak</v>
      </c>
      <c r="M968" s="43" t="n">
        <v>1</v>
      </c>
      <c r="N968" s="33" t="str">
        <f aca="false">VLOOKUP(M968, Lookups_Metadata!$G$4:$H$7, 2, FALSE())</f>
        <v>Clear / Few Clouds</v>
      </c>
      <c r="O968" s="46" t="n">
        <v>0.28</v>
      </c>
      <c r="P968" s="46" t="n">
        <v>0.2576</v>
      </c>
      <c r="Q968" s="46" t="n">
        <f aca="false">IF(OR(P968="", ISBLANK(P968)), ROUND(0.9367*O968+0.0175, 4), P968)</f>
        <v>0.2576</v>
      </c>
      <c r="R968" s="33" t="str">
        <f aca="false">IF(OR(P968="", ISBLANK(P968)), "Imputed (Regression/Trend)", "Original")</f>
        <v>Original</v>
      </c>
      <c r="S968" s="46" t="n">
        <v>0.38</v>
      </c>
      <c r="T968" s="46" t="n">
        <v>0.3284</v>
      </c>
      <c r="U968" s="18" t="n">
        <v>4</v>
      </c>
      <c r="V968" s="18" t="n">
        <v>60</v>
      </c>
      <c r="W968" s="18" t="n">
        <f aca="false">U968+V968</f>
        <v>64</v>
      </c>
      <c r="X968" s="47" t="n">
        <f aca="false">U968/W968</f>
        <v>0.0625</v>
      </c>
      <c r="Y968" s="47" t="n">
        <f aca="false">V968/W968</f>
        <v>0.9375</v>
      </c>
      <c r="Z968" s="33" t="str">
        <f aca="false">IF(W968&gt;=150, "High Demand", IF(W968&gt;=50, "Moderate Demand", "Low Demand"))</f>
        <v>Moderate Demand</v>
      </c>
      <c r="AA968" s="45" t="str">
        <f aca="false">TEXT(G968, "00") &amp; ":00"</f>
        <v>18:00</v>
      </c>
      <c r="AB968" s="43" t="n">
        <f aca="false">YEAR(B968)</f>
        <v>2011</v>
      </c>
      <c r="AC968" s="33" t="str">
        <f aca="false">TEXT(B968, "mmmm")</f>
        <v>February</v>
      </c>
      <c r="AD968" s="43" t="n">
        <f aca="false">LEN(TEXT(B968, "YYYY-MM-DD"))</f>
        <v>10</v>
      </c>
      <c r="AE968" s="45" t="str">
        <f aca="false">LEFT(TEXT(B968, "YYYY-MM-DD"), 4)</f>
        <v>2011</v>
      </c>
      <c r="AF968" s="45" t="str">
        <f aca="false">RIGHT(TEXT(B968, "YYYY-MM-DD"), 2)</f>
        <v>12</v>
      </c>
    </row>
    <row r="969" customFormat="false" ht="15" hidden="false" customHeight="false" outlineLevel="0" collapsed="false">
      <c r="A969" s="37" t="n">
        <v>965</v>
      </c>
      <c r="B969" s="38" t="s">
        <v>126</v>
      </c>
      <c r="C969" s="37" t="n">
        <v>1</v>
      </c>
      <c r="D969" s="35" t="str">
        <f aca="false">VLOOKUP(C969, Lookups_Metadata!$A$4:$B$7, 2, FALSE())</f>
        <v>Spring</v>
      </c>
      <c r="E969" s="37" t="n">
        <v>0</v>
      </c>
      <c r="F969" s="37" t="n">
        <v>2</v>
      </c>
      <c r="G969" s="37" t="n">
        <v>19</v>
      </c>
      <c r="H969" s="39" t="b">
        <f aca="false">FALSE()</f>
        <v>0</v>
      </c>
      <c r="I969" s="37" t="n">
        <v>6</v>
      </c>
      <c r="J969" s="35" t="str">
        <f aca="false">INDEX(Lookups_Metadata!$E$4:$E$10, MATCH(I969, Lookups_Metadata!$D$4:$D$10, 0))</f>
        <v>Saturday</v>
      </c>
      <c r="K969" s="35" t="str">
        <f aca="false">IF(H969=TRUE(), "Holiday", IF(OR(I969=0, I969=6), "Weekend", "Weekday"))</f>
        <v>Weekend</v>
      </c>
      <c r="L969" s="35" t="str">
        <f aca="false">IF(AND(K969="Weekday", OR(AND(G969&gt;=7, G969&lt;=9), AND(G969&gt;=17, G969&lt;=19))), "Peak Commute", "Off-Peak")</f>
        <v>Off-Peak</v>
      </c>
      <c r="M969" s="37" t="n">
        <v>1</v>
      </c>
      <c r="N969" s="35" t="str">
        <f aca="false">VLOOKUP(M969, Lookups_Metadata!$G$4:$H$7, 2, FALSE())</f>
        <v>Clear / Few Clouds</v>
      </c>
      <c r="O969" s="40" t="n">
        <v>0.28</v>
      </c>
      <c r="P969" s="40" t="n">
        <v>0.2727</v>
      </c>
      <c r="Q969" s="40" t="n">
        <f aca="false">IF(OR(P969="", ISBLANK(P969)), ROUND(0.9367*O969+0.0175, 4), P969)</f>
        <v>0.2727</v>
      </c>
      <c r="R969" s="35" t="str">
        <f aca="false">IF(OR(P969="", ISBLANK(P969)), "Imputed (Regression/Trend)", "Original")</f>
        <v>Original</v>
      </c>
      <c r="S969" s="40" t="n">
        <v>0.38</v>
      </c>
      <c r="T969" s="40" t="n">
        <v>0.1642</v>
      </c>
      <c r="U969" s="41" t="n">
        <v>2</v>
      </c>
      <c r="V969" s="41" t="n">
        <v>39</v>
      </c>
      <c r="W969" s="41" t="n">
        <f aca="false">U969+V969</f>
        <v>41</v>
      </c>
      <c r="X969" s="42" t="n">
        <f aca="false">U969/W969</f>
        <v>0.0487804878048781</v>
      </c>
      <c r="Y969" s="42" t="n">
        <f aca="false">V969/W969</f>
        <v>0.951219512195122</v>
      </c>
      <c r="Z969" s="35" t="str">
        <f aca="false">IF(W969&gt;=150, "High Demand", IF(W969&gt;=50, "Moderate Demand", "Low Demand"))</f>
        <v>Low Demand</v>
      </c>
      <c r="AA969" s="39" t="str">
        <f aca="false">TEXT(G969, "00") &amp; ":00"</f>
        <v>19:00</v>
      </c>
      <c r="AB969" s="37" t="n">
        <f aca="false">YEAR(B969)</f>
        <v>2011</v>
      </c>
      <c r="AC969" s="35" t="str">
        <f aca="false">TEXT(B969, "mmmm")</f>
        <v>February</v>
      </c>
      <c r="AD969" s="37" t="n">
        <f aca="false">LEN(TEXT(B969, "YYYY-MM-DD"))</f>
        <v>10</v>
      </c>
      <c r="AE969" s="39" t="str">
        <f aca="false">LEFT(TEXT(B969, "YYYY-MM-DD"), 4)</f>
        <v>2011</v>
      </c>
      <c r="AF969" s="39" t="str">
        <f aca="false">RIGHT(TEXT(B969, "YYYY-MM-DD"), 2)</f>
        <v>12</v>
      </c>
    </row>
    <row r="970" customFormat="false" ht="15" hidden="false" customHeight="false" outlineLevel="0" collapsed="false">
      <c r="A970" s="43" t="n">
        <v>966</v>
      </c>
      <c r="B970" s="44" t="s">
        <v>126</v>
      </c>
      <c r="C970" s="43" t="n">
        <v>1</v>
      </c>
      <c r="D970" s="33" t="str">
        <f aca="false">VLOOKUP(C970, Lookups_Metadata!$A$4:$B$7, 2, FALSE())</f>
        <v>Spring</v>
      </c>
      <c r="E970" s="43" t="n">
        <v>0</v>
      </c>
      <c r="F970" s="43" t="n">
        <v>2</v>
      </c>
      <c r="G970" s="43" t="n">
        <v>20</v>
      </c>
      <c r="H970" s="45" t="b">
        <f aca="false">FALSE()</f>
        <v>0</v>
      </c>
      <c r="I970" s="43" t="n">
        <v>6</v>
      </c>
      <c r="J970" s="33" t="str">
        <f aca="false">INDEX(Lookups_Metadata!$E$4:$E$10, MATCH(I970, Lookups_Metadata!$D$4:$D$10, 0))</f>
        <v>Saturday</v>
      </c>
      <c r="K970" s="33" t="str">
        <f aca="false">IF(H970=TRUE(), "Holiday", IF(OR(I970=0, I970=6), "Weekend", "Weekday"))</f>
        <v>Weekend</v>
      </c>
      <c r="L970" s="33" t="str">
        <f aca="false">IF(AND(K970="Weekday", OR(AND(G970&gt;=7, G970&lt;=9), AND(G970&gt;=17, G970&lt;=19))), "Peak Commute", "Off-Peak")</f>
        <v>Off-Peak</v>
      </c>
      <c r="M970" s="43" t="n">
        <v>1</v>
      </c>
      <c r="N970" s="33" t="str">
        <f aca="false">VLOOKUP(M970, Lookups_Metadata!$G$4:$H$7, 2, FALSE())</f>
        <v>Clear / Few Clouds</v>
      </c>
      <c r="O970" s="46" t="n">
        <v>0.26</v>
      </c>
      <c r="P970" s="46" t="n">
        <v>0.2576</v>
      </c>
      <c r="Q970" s="46" t="n">
        <f aca="false">IF(OR(P970="", ISBLANK(P970)), ROUND(0.9367*O970+0.0175, 4), P970)</f>
        <v>0.2576</v>
      </c>
      <c r="R970" s="33" t="str">
        <f aca="false">IF(OR(P970="", ISBLANK(P970)), "Imputed (Regression/Trend)", "Original")</f>
        <v>Original</v>
      </c>
      <c r="S970" s="46" t="n">
        <v>0.41</v>
      </c>
      <c r="T970" s="46" t="n">
        <v>0.2239</v>
      </c>
      <c r="U970" s="18" t="n">
        <v>1</v>
      </c>
      <c r="V970" s="18" t="n">
        <v>39</v>
      </c>
      <c r="W970" s="18" t="n">
        <f aca="false">U970+V970</f>
        <v>40</v>
      </c>
      <c r="X970" s="47" t="n">
        <f aca="false">U970/W970</f>
        <v>0.025</v>
      </c>
      <c r="Y970" s="47" t="n">
        <f aca="false">V970/W970</f>
        <v>0.975</v>
      </c>
      <c r="Z970" s="33" t="str">
        <f aca="false">IF(W970&gt;=150, "High Demand", IF(W970&gt;=50, "Moderate Demand", "Low Demand"))</f>
        <v>Low Demand</v>
      </c>
      <c r="AA970" s="45" t="str">
        <f aca="false">TEXT(G970, "00") &amp; ":00"</f>
        <v>20:00</v>
      </c>
      <c r="AB970" s="43" t="n">
        <f aca="false">YEAR(B970)</f>
        <v>2011</v>
      </c>
      <c r="AC970" s="33" t="str">
        <f aca="false">TEXT(B970, "mmmm")</f>
        <v>February</v>
      </c>
      <c r="AD970" s="43" t="n">
        <f aca="false">LEN(TEXT(B970, "YYYY-MM-DD"))</f>
        <v>10</v>
      </c>
      <c r="AE970" s="45" t="str">
        <f aca="false">LEFT(TEXT(B970, "YYYY-MM-DD"), 4)</f>
        <v>2011</v>
      </c>
      <c r="AF970" s="45" t="str">
        <f aca="false">RIGHT(TEXT(B970, "YYYY-MM-DD"), 2)</f>
        <v>12</v>
      </c>
    </row>
    <row r="971" customFormat="false" ht="15" hidden="false" customHeight="false" outlineLevel="0" collapsed="false">
      <c r="A971" s="37" t="n">
        <v>967</v>
      </c>
      <c r="B971" s="38" t="s">
        <v>126</v>
      </c>
      <c r="C971" s="37" t="n">
        <v>1</v>
      </c>
      <c r="D971" s="35" t="str">
        <f aca="false">VLOOKUP(C971, Lookups_Metadata!$A$4:$B$7, 2, FALSE())</f>
        <v>Spring</v>
      </c>
      <c r="E971" s="37" t="n">
        <v>0</v>
      </c>
      <c r="F971" s="37" t="n">
        <v>2</v>
      </c>
      <c r="G971" s="37" t="n">
        <v>21</v>
      </c>
      <c r="H971" s="39" t="b">
        <f aca="false">FALSE()</f>
        <v>0</v>
      </c>
      <c r="I971" s="37" t="n">
        <v>6</v>
      </c>
      <c r="J971" s="35" t="str">
        <f aca="false">INDEX(Lookups_Metadata!$E$4:$E$10, MATCH(I971, Lookups_Metadata!$D$4:$D$10, 0))</f>
        <v>Saturday</v>
      </c>
      <c r="K971" s="35" t="str">
        <f aca="false">IF(H971=TRUE(), "Holiday", IF(OR(I971=0, I971=6), "Weekend", "Weekday"))</f>
        <v>Weekend</v>
      </c>
      <c r="L971" s="35" t="str">
        <f aca="false">IF(AND(K971="Weekday", OR(AND(G971&gt;=7, G971&lt;=9), AND(G971&gt;=17, G971&lt;=19))), "Peak Commute", "Off-Peak")</f>
        <v>Off-Peak</v>
      </c>
      <c r="M971" s="37" t="n">
        <v>1</v>
      </c>
      <c r="N971" s="35" t="str">
        <f aca="false">VLOOKUP(M971, Lookups_Metadata!$G$4:$H$7, 2, FALSE())</f>
        <v>Clear / Few Clouds</v>
      </c>
      <c r="O971" s="40" t="n">
        <v>0.26</v>
      </c>
      <c r="P971" s="40" t="n">
        <v>0.303</v>
      </c>
      <c r="Q971" s="40" t="n">
        <f aca="false">IF(OR(P971="", ISBLANK(P971)), ROUND(0.9367*O971+0.0175, 4), P971)</f>
        <v>0.303</v>
      </c>
      <c r="R971" s="35" t="str">
        <f aca="false">IF(OR(P971="", ISBLANK(P971)), "Imputed (Regression/Trend)", "Original")</f>
        <v>Original</v>
      </c>
      <c r="S971" s="40" t="n">
        <v>0.41</v>
      </c>
      <c r="T971" s="40" t="n">
        <v>0</v>
      </c>
      <c r="U971" s="41" t="n">
        <v>9</v>
      </c>
      <c r="V971" s="41" t="n">
        <v>42</v>
      </c>
      <c r="W971" s="41" t="n">
        <f aca="false">U971+V971</f>
        <v>51</v>
      </c>
      <c r="X971" s="42" t="n">
        <f aca="false">U971/W971</f>
        <v>0.176470588235294</v>
      </c>
      <c r="Y971" s="42" t="n">
        <f aca="false">V971/W971</f>
        <v>0.823529411764706</v>
      </c>
      <c r="Z971" s="35" t="str">
        <f aca="false">IF(W971&gt;=150, "High Demand", IF(W971&gt;=50, "Moderate Demand", "Low Demand"))</f>
        <v>Moderate Demand</v>
      </c>
      <c r="AA971" s="39" t="str">
        <f aca="false">TEXT(G971, "00") &amp; ":00"</f>
        <v>21:00</v>
      </c>
      <c r="AB971" s="37" t="n">
        <f aca="false">YEAR(B971)</f>
        <v>2011</v>
      </c>
      <c r="AC971" s="35" t="str">
        <f aca="false">TEXT(B971, "mmmm")</f>
        <v>February</v>
      </c>
      <c r="AD971" s="37" t="n">
        <f aca="false">LEN(TEXT(B971, "YYYY-MM-DD"))</f>
        <v>10</v>
      </c>
      <c r="AE971" s="39" t="str">
        <f aca="false">LEFT(TEXT(B971, "YYYY-MM-DD"), 4)</f>
        <v>2011</v>
      </c>
      <c r="AF971" s="39" t="str">
        <f aca="false">RIGHT(TEXT(B971, "YYYY-MM-DD"), 2)</f>
        <v>12</v>
      </c>
    </row>
    <row r="972" customFormat="false" ht="15" hidden="false" customHeight="false" outlineLevel="0" collapsed="false">
      <c r="A972" s="43" t="n">
        <v>968</v>
      </c>
      <c r="B972" s="44" t="s">
        <v>126</v>
      </c>
      <c r="C972" s="43" t="n">
        <v>1</v>
      </c>
      <c r="D972" s="33" t="str">
        <f aca="false">VLOOKUP(C972, Lookups_Metadata!$A$4:$B$7, 2, FALSE())</f>
        <v>Spring</v>
      </c>
      <c r="E972" s="43" t="n">
        <v>0</v>
      </c>
      <c r="F972" s="43" t="n">
        <v>2</v>
      </c>
      <c r="G972" s="43" t="n">
        <v>22</v>
      </c>
      <c r="H972" s="45" t="b">
        <f aca="false">FALSE()</f>
        <v>0</v>
      </c>
      <c r="I972" s="43" t="n">
        <v>6</v>
      </c>
      <c r="J972" s="33" t="str">
        <f aca="false">INDEX(Lookups_Metadata!$E$4:$E$10, MATCH(I972, Lookups_Metadata!$D$4:$D$10, 0))</f>
        <v>Saturday</v>
      </c>
      <c r="K972" s="33" t="str">
        <f aca="false">IF(H972=TRUE(), "Holiday", IF(OR(I972=0, I972=6), "Weekend", "Weekday"))</f>
        <v>Weekend</v>
      </c>
      <c r="L972" s="33" t="str">
        <f aca="false">IF(AND(K972="Weekday", OR(AND(G972&gt;=7, G972&lt;=9), AND(G972&gt;=17, G972&lt;=19))), "Peak Commute", "Off-Peak")</f>
        <v>Off-Peak</v>
      </c>
      <c r="M972" s="43" t="n">
        <v>1</v>
      </c>
      <c r="N972" s="33" t="str">
        <f aca="false">VLOOKUP(M972, Lookups_Metadata!$G$4:$H$7, 2, FALSE())</f>
        <v>Clear / Few Clouds</v>
      </c>
      <c r="O972" s="46" t="n">
        <v>0.24</v>
      </c>
      <c r="P972" s="46" t="n">
        <v>0.2576</v>
      </c>
      <c r="Q972" s="46" t="n">
        <f aca="false">IF(OR(P972="", ISBLANK(P972)), ROUND(0.9367*O972+0.0175, 4), P972)</f>
        <v>0.2576</v>
      </c>
      <c r="R972" s="33" t="str">
        <f aca="false">IF(OR(P972="", ISBLANK(P972)), "Imputed (Regression/Trend)", "Original")</f>
        <v>Original</v>
      </c>
      <c r="S972" s="46" t="n">
        <v>0.44</v>
      </c>
      <c r="T972" s="46" t="n">
        <v>0.0896</v>
      </c>
      <c r="U972" s="18" t="n">
        <v>6</v>
      </c>
      <c r="V972" s="18" t="n">
        <v>39</v>
      </c>
      <c r="W972" s="18" t="n">
        <f aca="false">U972+V972</f>
        <v>45</v>
      </c>
      <c r="X972" s="47" t="n">
        <f aca="false">U972/W972</f>
        <v>0.133333333333333</v>
      </c>
      <c r="Y972" s="47" t="n">
        <f aca="false">V972/W972</f>
        <v>0.866666666666667</v>
      </c>
      <c r="Z972" s="33" t="str">
        <f aca="false">IF(W972&gt;=150, "High Demand", IF(W972&gt;=50, "Moderate Demand", "Low Demand"))</f>
        <v>Low Demand</v>
      </c>
      <c r="AA972" s="45" t="str">
        <f aca="false">TEXT(G972, "00") &amp; ":00"</f>
        <v>22:00</v>
      </c>
      <c r="AB972" s="43" t="n">
        <f aca="false">YEAR(B972)</f>
        <v>2011</v>
      </c>
      <c r="AC972" s="33" t="str">
        <f aca="false">TEXT(B972, "mmmm")</f>
        <v>February</v>
      </c>
      <c r="AD972" s="43" t="n">
        <f aca="false">LEN(TEXT(B972, "YYYY-MM-DD"))</f>
        <v>10</v>
      </c>
      <c r="AE972" s="45" t="str">
        <f aca="false">LEFT(TEXT(B972, "YYYY-MM-DD"), 4)</f>
        <v>2011</v>
      </c>
      <c r="AF972" s="45" t="str">
        <f aca="false">RIGHT(TEXT(B972, "YYYY-MM-DD"), 2)</f>
        <v>12</v>
      </c>
    </row>
    <row r="973" customFormat="false" ht="15" hidden="false" customHeight="false" outlineLevel="0" collapsed="false">
      <c r="A973" s="37" t="n">
        <v>969</v>
      </c>
      <c r="B973" s="38" t="s">
        <v>126</v>
      </c>
      <c r="C973" s="37" t="n">
        <v>1</v>
      </c>
      <c r="D973" s="35" t="str">
        <f aca="false">VLOOKUP(C973, Lookups_Metadata!$A$4:$B$7, 2, FALSE())</f>
        <v>Spring</v>
      </c>
      <c r="E973" s="37" t="n">
        <v>0</v>
      </c>
      <c r="F973" s="37" t="n">
        <v>2</v>
      </c>
      <c r="G973" s="37" t="n">
        <v>23</v>
      </c>
      <c r="H973" s="39" t="b">
        <f aca="false">FALSE()</f>
        <v>0</v>
      </c>
      <c r="I973" s="37" t="n">
        <v>6</v>
      </c>
      <c r="J973" s="35" t="str">
        <f aca="false">INDEX(Lookups_Metadata!$E$4:$E$10, MATCH(I973, Lookups_Metadata!$D$4:$D$10, 0))</f>
        <v>Saturday</v>
      </c>
      <c r="K973" s="35" t="str">
        <f aca="false">IF(H973=TRUE(), "Holiday", IF(OR(I973=0, I973=6), "Weekend", "Weekday"))</f>
        <v>Weekend</v>
      </c>
      <c r="L973" s="35" t="str">
        <f aca="false">IF(AND(K973="Weekday", OR(AND(G973&gt;=7, G973&lt;=9), AND(G973&gt;=17, G973&lt;=19))), "Peak Commute", "Off-Peak")</f>
        <v>Off-Peak</v>
      </c>
      <c r="M973" s="37" t="n">
        <v>1</v>
      </c>
      <c r="N973" s="35" t="str">
        <f aca="false">VLOOKUP(M973, Lookups_Metadata!$G$4:$H$7, 2, FALSE())</f>
        <v>Clear / Few Clouds</v>
      </c>
      <c r="O973" s="40" t="n">
        <v>0.22</v>
      </c>
      <c r="P973" s="40" t="n">
        <v>0.2273</v>
      </c>
      <c r="Q973" s="40" t="n">
        <f aca="false">IF(OR(P973="", ISBLANK(P973)), ROUND(0.9367*O973+0.0175, 4), P973)</f>
        <v>0.2273</v>
      </c>
      <c r="R973" s="35" t="str">
        <f aca="false">IF(OR(P973="", ISBLANK(P973)), "Imputed (Regression/Trend)", "Original")</f>
        <v>Original</v>
      </c>
      <c r="S973" s="40" t="n">
        <v>0.51</v>
      </c>
      <c r="T973" s="40" t="n">
        <v>0.1343</v>
      </c>
      <c r="U973" s="41" t="n">
        <v>1</v>
      </c>
      <c r="V973" s="41" t="n">
        <v>31</v>
      </c>
      <c r="W973" s="41" t="n">
        <f aca="false">U973+V973</f>
        <v>32</v>
      </c>
      <c r="X973" s="42" t="n">
        <f aca="false">U973/W973</f>
        <v>0.03125</v>
      </c>
      <c r="Y973" s="42" t="n">
        <f aca="false">V973/W973</f>
        <v>0.96875</v>
      </c>
      <c r="Z973" s="35" t="str">
        <f aca="false">IF(W973&gt;=150, "High Demand", IF(W973&gt;=50, "Moderate Demand", "Low Demand"))</f>
        <v>Low Demand</v>
      </c>
      <c r="AA973" s="39" t="str">
        <f aca="false">TEXT(G973, "00") &amp; ":00"</f>
        <v>23:00</v>
      </c>
      <c r="AB973" s="37" t="n">
        <f aca="false">YEAR(B973)</f>
        <v>2011</v>
      </c>
      <c r="AC973" s="35" t="str">
        <f aca="false">TEXT(B973, "mmmm")</f>
        <v>February</v>
      </c>
      <c r="AD973" s="37" t="n">
        <f aca="false">LEN(TEXT(B973, "YYYY-MM-DD"))</f>
        <v>10</v>
      </c>
      <c r="AE973" s="39" t="str">
        <f aca="false">LEFT(TEXT(B973, "YYYY-MM-DD"), 4)</f>
        <v>2011</v>
      </c>
      <c r="AF973" s="39" t="str">
        <f aca="false">RIGHT(TEXT(B973, "YYYY-MM-DD"), 2)</f>
        <v>12</v>
      </c>
    </row>
    <row r="974" customFormat="false" ht="15" hidden="false" customHeight="false" outlineLevel="0" collapsed="false">
      <c r="A974" s="43" t="n">
        <v>970</v>
      </c>
      <c r="B974" s="44" t="s">
        <v>127</v>
      </c>
      <c r="C974" s="43" t="n">
        <v>1</v>
      </c>
      <c r="D974" s="33" t="str">
        <f aca="false">VLOOKUP(C974, Lookups_Metadata!$A$4:$B$7, 2, FALSE())</f>
        <v>Spring</v>
      </c>
      <c r="E974" s="43" t="n">
        <v>0</v>
      </c>
      <c r="F974" s="43" t="n">
        <v>2</v>
      </c>
      <c r="G974" s="43" t="n">
        <v>0</v>
      </c>
      <c r="H974" s="45" t="b">
        <f aca="false">FALSE()</f>
        <v>0</v>
      </c>
      <c r="I974" s="43" t="n">
        <v>0</v>
      </c>
      <c r="J974" s="33" t="str">
        <f aca="false">INDEX(Lookups_Metadata!$E$4:$E$10, MATCH(I974, Lookups_Metadata!$D$4:$D$10, 0))</f>
        <v>Sunday</v>
      </c>
      <c r="K974" s="33" t="str">
        <f aca="false">IF(H974=TRUE(), "Holiday", IF(OR(I974=0, I974=6), "Weekend", "Weekday"))</f>
        <v>Weekend</v>
      </c>
      <c r="L974" s="33" t="str">
        <f aca="false">IF(AND(K974="Weekday", OR(AND(G974&gt;=7, G974&lt;=9), AND(G974&gt;=17, G974&lt;=19))), "Peak Commute", "Off-Peak")</f>
        <v>Off-Peak</v>
      </c>
      <c r="M974" s="43" t="n">
        <v>1</v>
      </c>
      <c r="N974" s="33" t="str">
        <f aca="false">VLOOKUP(M974, Lookups_Metadata!$G$4:$H$7, 2, FALSE())</f>
        <v>Clear / Few Clouds</v>
      </c>
      <c r="O974" s="46" t="n">
        <v>0.2</v>
      </c>
      <c r="P974" s="46" t="n">
        <v>0.2273</v>
      </c>
      <c r="Q974" s="46" t="n">
        <f aca="false">IF(OR(P974="", ISBLANK(P974)), ROUND(0.9367*O974+0.0175, 4), P974)</f>
        <v>0.2273</v>
      </c>
      <c r="R974" s="33" t="str">
        <f aca="false">IF(OR(P974="", ISBLANK(P974)), "Imputed (Regression/Trend)", "Original")</f>
        <v>Original</v>
      </c>
      <c r="S974" s="46" t="n">
        <v>0.64</v>
      </c>
      <c r="T974" s="46" t="n">
        <v>0.1045</v>
      </c>
      <c r="U974" s="18" t="n">
        <v>5</v>
      </c>
      <c r="V974" s="18" t="n">
        <v>34</v>
      </c>
      <c r="W974" s="18" t="n">
        <f aca="false">U974+V974</f>
        <v>39</v>
      </c>
      <c r="X974" s="47" t="n">
        <f aca="false">U974/W974</f>
        <v>0.128205128205128</v>
      </c>
      <c r="Y974" s="47" t="n">
        <f aca="false">V974/W974</f>
        <v>0.871794871794872</v>
      </c>
      <c r="Z974" s="33" t="str">
        <f aca="false">IF(W974&gt;=150, "High Demand", IF(W974&gt;=50, "Moderate Demand", "Low Demand"))</f>
        <v>Low Demand</v>
      </c>
      <c r="AA974" s="45" t="str">
        <f aca="false">TEXT(G974, "00") &amp; ":00"</f>
        <v>00:00</v>
      </c>
      <c r="AB974" s="43" t="n">
        <f aca="false">YEAR(B974)</f>
        <v>2011</v>
      </c>
      <c r="AC974" s="33" t="str">
        <f aca="false">TEXT(B974, "mmmm")</f>
        <v>February</v>
      </c>
      <c r="AD974" s="43" t="n">
        <f aca="false">LEN(TEXT(B974, "YYYY-MM-DD"))</f>
        <v>10</v>
      </c>
      <c r="AE974" s="45" t="str">
        <f aca="false">LEFT(TEXT(B974, "YYYY-MM-DD"), 4)</f>
        <v>2011</v>
      </c>
      <c r="AF974" s="45" t="str">
        <f aca="false">RIGHT(TEXT(B974, "YYYY-MM-DD"), 2)</f>
        <v>13</v>
      </c>
    </row>
    <row r="975" customFormat="false" ht="15" hidden="false" customHeight="false" outlineLevel="0" collapsed="false">
      <c r="A975" s="37" t="n">
        <v>971</v>
      </c>
      <c r="B975" s="38" t="s">
        <v>127</v>
      </c>
      <c r="C975" s="37" t="n">
        <v>1</v>
      </c>
      <c r="D975" s="35" t="str">
        <f aca="false">VLOOKUP(C975, Lookups_Metadata!$A$4:$B$7, 2, FALSE())</f>
        <v>Spring</v>
      </c>
      <c r="E975" s="37" t="n">
        <v>0</v>
      </c>
      <c r="F975" s="37" t="n">
        <v>2</v>
      </c>
      <c r="G975" s="37" t="n">
        <v>1</v>
      </c>
      <c r="H975" s="39" t="b">
        <f aca="false">FALSE()</f>
        <v>0</v>
      </c>
      <c r="I975" s="37" t="n">
        <v>0</v>
      </c>
      <c r="J975" s="35" t="str">
        <f aca="false">INDEX(Lookups_Metadata!$E$4:$E$10, MATCH(I975, Lookups_Metadata!$D$4:$D$10, 0))</f>
        <v>Sunday</v>
      </c>
      <c r="K975" s="35" t="str">
        <f aca="false">IF(H975=TRUE(), "Holiday", IF(OR(I975=0, I975=6), "Weekend", "Weekday"))</f>
        <v>Weekend</v>
      </c>
      <c r="L975" s="35" t="str">
        <f aca="false">IF(AND(K975="Weekday", OR(AND(G975&gt;=7, G975&lt;=9), AND(G975&gt;=17, G975&lt;=19))), "Peak Commute", "Off-Peak")</f>
        <v>Off-Peak</v>
      </c>
      <c r="M975" s="37" t="n">
        <v>1</v>
      </c>
      <c r="N975" s="35" t="str">
        <f aca="false">VLOOKUP(M975, Lookups_Metadata!$G$4:$H$7, 2, FALSE())</f>
        <v>Clear / Few Clouds</v>
      </c>
      <c r="O975" s="40" t="n">
        <v>0.2</v>
      </c>
      <c r="P975" s="40" t="n">
        <v>0.2273</v>
      </c>
      <c r="Q975" s="40" t="n">
        <f aca="false">IF(OR(P975="", ISBLANK(P975)), ROUND(0.9367*O975+0.0175, 4), P975)</f>
        <v>0.2273</v>
      </c>
      <c r="R975" s="35" t="str">
        <f aca="false">IF(OR(P975="", ISBLANK(P975)), "Imputed (Regression/Trend)", "Original")</f>
        <v>Original</v>
      </c>
      <c r="S975" s="40" t="n">
        <v>0.59</v>
      </c>
      <c r="T975" s="40" t="n">
        <v>0.0896</v>
      </c>
      <c r="U975" s="41" t="n">
        <v>1</v>
      </c>
      <c r="V975" s="41" t="n">
        <v>23</v>
      </c>
      <c r="W975" s="41" t="n">
        <f aca="false">U975+V975</f>
        <v>24</v>
      </c>
      <c r="X975" s="42" t="n">
        <f aca="false">U975/W975</f>
        <v>0.0416666666666667</v>
      </c>
      <c r="Y975" s="42" t="n">
        <f aca="false">V975/W975</f>
        <v>0.958333333333333</v>
      </c>
      <c r="Z975" s="35" t="str">
        <f aca="false">IF(W975&gt;=150, "High Demand", IF(W975&gt;=50, "Moderate Demand", "Low Demand"))</f>
        <v>Low Demand</v>
      </c>
      <c r="AA975" s="39" t="str">
        <f aca="false">TEXT(G975, "00") &amp; ":00"</f>
        <v>01:00</v>
      </c>
      <c r="AB975" s="37" t="n">
        <f aca="false">YEAR(B975)</f>
        <v>2011</v>
      </c>
      <c r="AC975" s="35" t="str">
        <f aca="false">TEXT(B975, "mmmm")</f>
        <v>February</v>
      </c>
      <c r="AD975" s="37" t="n">
        <f aca="false">LEN(TEXT(B975, "YYYY-MM-DD"))</f>
        <v>10</v>
      </c>
      <c r="AE975" s="39" t="str">
        <f aca="false">LEFT(TEXT(B975, "YYYY-MM-DD"), 4)</f>
        <v>2011</v>
      </c>
      <c r="AF975" s="39" t="str">
        <f aca="false">RIGHT(TEXT(B975, "YYYY-MM-DD"), 2)</f>
        <v>13</v>
      </c>
    </row>
    <row r="976" customFormat="false" ht="15" hidden="false" customHeight="false" outlineLevel="0" collapsed="false">
      <c r="A976" s="43" t="n">
        <v>972</v>
      </c>
      <c r="B976" s="44" t="s">
        <v>127</v>
      </c>
      <c r="C976" s="43" t="n">
        <v>1</v>
      </c>
      <c r="D976" s="33" t="str">
        <f aca="false">VLOOKUP(C976, Lookups_Metadata!$A$4:$B$7, 2, FALSE())</f>
        <v>Spring</v>
      </c>
      <c r="E976" s="43" t="n">
        <v>0</v>
      </c>
      <c r="F976" s="43" t="n">
        <v>2</v>
      </c>
      <c r="G976" s="43" t="n">
        <v>2</v>
      </c>
      <c r="H976" s="45" t="b">
        <f aca="false">FALSE()</f>
        <v>0</v>
      </c>
      <c r="I976" s="43" t="n">
        <v>0</v>
      </c>
      <c r="J976" s="33" t="str">
        <f aca="false">INDEX(Lookups_Metadata!$E$4:$E$10, MATCH(I976, Lookups_Metadata!$D$4:$D$10, 0))</f>
        <v>Sunday</v>
      </c>
      <c r="K976" s="33" t="str">
        <f aca="false">IF(H976=TRUE(), "Holiday", IF(OR(I976=0, I976=6), "Weekend", "Weekday"))</f>
        <v>Weekend</v>
      </c>
      <c r="L976" s="33" t="str">
        <f aca="false">IF(AND(K976="Weekday", OR(AND(G976&gt;=7, G976&lt;=9), AND(G976&gt;=17, G976&lt;=19))), "Peak Commute", "Off-Peak")</f>
        <v>Off-Peak</v>
      </c>
      <c r="M976" s="43" t="n">
        <v>2</v>
      </c>
      <c r="N976" s="33" t="str">
        <f aca="false">VLOOKUP(M976, Lookups_Metadata!$G$4:$H$7, 2, FALSE())</f>
        <v>Mist / Cloudy</v>
      </c>
      <c r="O976" s="46" t="n">
        <v>0.2</v>
      </c>
      <c r="P976" s="46" t="n">
        <v>0.2273</v>
      </c>
      <c r="Q976" s="46" t="n">
        <f aca="false">IF(OR(P976="", ISBLANK(P976)), ROUND(0.9367*O976+0.0175, 4), P976)</f>
        <v>0.2273</v>
      </c>
      <c r="R976" s="33" t="str">
        <f aca="false">IF(OR(P976="", ISBLANK(P976)), "Imputed (Regression/Trend)", "Original")</f>
        <v>Original</v>
      </c>
      <c r="S976" s="46" t="n">
        <v>0.75</v>
      </c>
      <c r="T976" s="46" t="n">
        <v>0.0896</v>
      </c>
      <c r="U976" s="18" t="n">
        <v>1</v>
      </c>
      <c r="V976" s="18" t="n">
        <v>19</v>
      </c>
      <c r="W976" s="18" t="n">
        <f aca="false">U976+V976</f>
        <v>20</v>
      </c>
      <c r="X976" s="47" t="n">
        <f aca="false">U976/W976</f>
        <v>0.05</v>
      </c>
      <c r="Y976" s="47" t="n">
        <f aca="false">V976/W976</f>
        <v>0.95</v>
      </c>
      <c r="Z976" s="33" t="str">
        <f aca="false">IF(W976&gt;=150, "High Demand", IF(W976&gt;=50, "Moderate Demand", "Low Demand"))</f>
        <v>Low Demand</v>
      </c>
      <c r="AA976" s="45" t="str">
        <f aca="false">TEXT(G976, "00") &amp; ":00"</f>
        <v>02:00</v>
      </c>
      <c r="AB976" s="43" t="n">
        <f aca="false">YEAR(B976)</f>
        <v>2011</v>
      </c>
      <c r="AC976" s="33" t="str">
        <f aca="false">TEXT(B976, "mmmm")</f>
        <v>February</v>
      </c>
      <c r="AD976" s="43" t="n">
        <f aca="false">LEN(TEXT(B976, "YYYY-MM-DD"))</f>
        <v>10</v>
      </c>
      <c r="AE976" s="45" t="str">
        <f aca="false">LEFT(TEXT(B976, "YYYY-MM-DD"), 4)</f>
        <v>2011</v>
      </c>
      <c r="AF976" s="45" t="str">
        <f aca="false">RIGHT(TEXT(B976, "YYYY-MM-DD"), 2)</f>
        <v>13</v>
      </c>
    </row>
    <row r="977" customFormat="false" ht="15" hidden="false" customHeight="false" outlineLevel="0" collapsed="false">
      <c r="A977" s="37" t="n">
        <v>973</v>
      </c>
      <c r="B977" s="38" t="s">
        <v>127</v>
      </c>
      <c r="C977" s="37" t="n">
        <v>1</v>
      </c>
      <c r="D977" s="35" t="str">
        <f aca="false">VLOOKUP(C977, Lookups_Metadata!$A$4:$B$7, 2, FALSE())</f>
        <v>Spring</v>
      </c>
      <c r="E977" s="37" t="n">
        <v>0</v>
      </c>
      <c r="F977" s="37" t="n">
        <v>2</v>
      </c>
      <c r="G977" s="37" t="n">
        <v>3</v>
      </c>
      <c r="H977" s="39" t="b">
        <f aca="false">FALSE()</f>
        <v>0</v>
      </c>
      <c r="I977" s="37" t="n">
        <v>0</v>
      </c>
      <c r="J977" s="35" t="str">
        <f aca="false">INDEX(Lookups_Metadata!$E$4:$E$10, MATCH(I977, Lookups_Metadata!$D$4:$D$10, 0))</f>
        <v>Sunday</v>
      </c>
      <c r="K977" s="35" t="str">
        <f aca="false">IF(H977=TRUE(), "Holiday", IF(OR(I977=0, I977=6), "Weekend", "Weekday"))</f>
        <v>Weekend</v>
      </c>
      <c r="L977" s="35" t="str">
        <f aca="false">IF(AND(K977="Weekday", OR(AND(G977&gt;=7, G977&lt;=9), AND(G977&gt;=17, G977&lt;=19))), "Peak Commute", "Off-Peak")</f>
        <v>Off-Peak</v>
      </c>
      <c r="M977" s="37" t="n">
        <v>2</v>
      </c>
      <c r="N977" s="35" t="str">
        <f aca="false">VLOOKUP(M977, Lookups_Metadata!$G$4:$H$7, 2, FALSE())</f>
        <v>Mist / Cloudy</v>
      </c>
      <c r="O977" s="40" t="n">
        <v>0.2</v>
      </c>
      <c r="P977" s="40" t="n">
        <v>0.2273</v>
      </c>
      <c r="Q977" s="40" t="n">
        <f aca="false">IF(OR(P977="", ISBLANK(P977)), ROUND(0.9367*O977+0.0175, 4), P977)</f>
        <v>0.2273</v>
      </c>
      <c r="R977" s="35" t="str">
        <f aca="false">IF(OR(P977="", ISBLANK(P977)), "Imputed (Regression/Trend)", "Original")</f>
        <v>Original</v>
      </c>
      <c r="S977" s="40" t="n">
        <v>0.69</v>
      </c>
      <c r="T977" s="40" t="n">
        <v>0.1045</v>
      </c>
      <c r="U977" s="41" t="n">
        <v>4</v>
      </c>
      <c r="V977" s="41" t="n">
        <v>8</v>
      </c>
      <c r="W977" s="41" t="n">
        <f aca="false">U977+V977</f>
        <v>12</v>
      </c>
      <c r="X977" s="42" t="n">
        <f aca="false">U977/W977</f>
        <v>0.333333333333333</v>
      </c>
      <c r="Y977" s="42" t="n">
        <f aca="false">V977/W977</f>
        <v>0.666666666666667</v>
      </c>
      <c r="Z977" s="35" t="str">
        <f aca="false">IF(W977&gt;=150, "High Demand", IF(W977&gt;=50, "Moderate Demand", "Low Demand"))</f>
        <v>Low Demand</v>
      </c>
      <c r="AA977" s="39" t="str">
        <f aca="false">TEXT(G977, "00") &amp; ":00"</f>
        <v>03:00</v>
      </c>
      <c r="AB977" s="37" t="n">
        <f aca="false">YEAR(B977)</f>
        <v>2011</v>
      </c>
      <c r="AC977" s="35" t="str">
        <f aca="false">TEXT(B977, "mmmm")</f>
        <v>February</v>
      </c>
      <c r="AD977" s="37" t="n">
        <f aca="false">LEN(TEXT(B977, "YYYY-MM-DD"))</f>
        <v>10</v>
      </c>
      <c r="AE977" s="39" t="str">
        <f aca="false">LEFT(TEXT(B977, "YYYY-MM-DD"), 4)</f>
        <v>2011</v>
      </c>
      <c r="AF977" s="39" t="str">
        <f aca="false">RIGHT(TEXT(B977, "YYYY-MM-DD"), 2)</f>
        <v>13</v>
      </c>
    </row>
    <row r="978" customFormat="false" ht="15" hidden="false" customHeight="false" outlineLevel="0" collapsed="false">
      <c r="A978" s="43" t="n">
        <v>974</v>
      </c>
      <c r="B978" s="44" t="s">
        <v>127</v>
      </c>
      <c r="C978" s="43" t="n">
        <v>1</v>
      </c>
      <c r="D978" s="33" t="str">
        <f aca="false">VLOOKUP(C978, Lookups_Metadata!$A$4:$B$7, 2, FALSE())</f>
        <v>Spring</v>
      </c>
      <c r="E978" s="43" t="n">
        <v>0</v>
      </c>
      <c r="F978" s="43" t="n">
        <v>2</v>
      </c>
      <c r="G978" s="43" t="n">
        <v>4</v>
      </c>
      <c r="H978" s="45" t="b">
        <f aca="false">FALSE()</f>
        <v>0</v>
      </c>
      <c r="I978" s="43" t="n">
        <v>0</v>
      </c>
      <c r="J978" s="33" t="str">
        <f aca="false">INDEX(Lookups_Metadata!$E$4:$E$10, MATCH(I978, Lookups_Metadata!$D$4:$D$10, 0))</f>
        <v>Sunday</v>
      </c>
      <c r="K978" s="33" t="str">
        <f aca="false">IF(H978=TRUE(), "Holiday", IF(OR(I978=0, I978=6), "Weekend", "Weekday"))</f>
        <v>Weekend</v>
      </c>
      <c r="L978" s="33" t="str">
        <f aca="false">IF(AND(K978="Weekday", OR(AND(G978&gt;=7, G978&lt;=9), AND(G978&gt;=17, G978&lt;=19))), "Peak Commute", "Off-Peak")</f>
        <v>Off-Peak</v>
      </c>
      <c r="M978" s="43" t="n">
        <v>2</v>
      </c>
      <c r="N978" s="33" t="str">
        <f aca="false">VLOOKUP(M978, Lookups_Metadata!$G$4:$H$7, 2, FALSE())</f>
        <v>Mist / Cloudy</v>
      </c>
      <c r="O978" s="46" t="n">
        <v>0.2</v>
      </c>
      <c r="P978" s="46" t="n">
        <v>0.2121</v>
      </c>
      <c r="Q978" s="46" t="n">
        <f aca="false">IF(OR(P978="", ISBLANK(P978)), ROUND(0.9367*O978+0.0175, 4), P978)</f>
        <v>0.2121</v>
      </c>
      <c r="R978" s="33" t="str">
        <f aca="false">IF(OR(P978="", ISBLANK(P978)), "Imputed (Regression/Trend)", "Original")</f>
        <v>Original</v>
      </c>
      <c r="S978" s="46" t="n">
        <v>0.69</v>
      </c>
      <c r="T978" s="46" t="n">
        <v>0.1642</v>
      </c>
      <c r="U978" s="18" t="n">
        <v>0</v>
      </c>
      <c r="V978" s="18" t="n">
        <v>2</v>
      </c>
      <c r="W978" s="18" t="n">
        <f aca="false">U978+V978</f>
        <v>2</v>
      </c>
      <c r="X978" s="47" t="n">
        <f aca="false">U978/W978</f>
        <v>0</v>
      </c>
      <c r="Y978" s="47" t="n">
        <f aca="false">V978/W978</f>
        <v>1</v>
      </c>
      <c r="Z978" s="33" t="str">
        <f aca="false">IF(W978&gt;=150, "High Demand", IF(W978&gt;=50, "Moderate Demand", "Low Demand"))</f>
        <v>Low Demand</v>
      </c>
      <c r="AA978" s="45" t="str">
        <f aca="false">TEXT(G978, "00") &amp; ":00"</f>
        <v>04:00</v>
      </c>
      <c r="AB978" s="43" t="n">
        <f aca="false">YEAR(B978)</f>
        <v>2011</v>
      </c>
      <c r="AC978" s="33" t="str">
        <f aca="false">TEXT(B978, "mmmm")</f>
        <v>February</v>
      </c>
      <c r="AD978" s="43" t="n">
        <f aca="false">LEN(TEXT(B978, "YYYY-MM-DD"))</f>
        <v>10</v>
      </c>
      <c r="AE978" s="45" t="str">
        <f aca="false">LEFT(TEXT(B978, "YYYY-MM-DD"), 4)</f>
        <v>2011</v>
      </c>
      <c r="AF978" s="45" t="str">
        <f aca="false">RIGHT(TEXT(B978, "YYYY-MM-DD"), 2)</f>
        <v>13</v>
      </c>
    </row>
    <row r="979" customFormat="false" ht="15" hidden="false" customHeight="false" outlineLevel="0" collapsed="false">
      <c r="A979" s="37" t="n">
        <v>975</v>
      </c>
      <c r="B979" s="38" t="s">
        <v>127</v>
      </c>
      <c r="C979" s="37" t="n">
        <v>1</v>
      </c>
      <c r="D979" s="35" t="str">
        <f aca="false">VLOOKUP(C979, Lookups_Metadata!$A$4:$B$7, 2, FALSE())</f>
        <v>Spring</v>
      </c>
      <c r="E979" s="37" t="n">
        <v>0</v>
      </c>
      <c r="F979" s="37" t="n">
        <v>2</v>
      </c>
      <c r="G979" s="37" t="n">
        <v>6</v>
      </c>
      <c r="H979" s="39" t="b">
        <f aca="false">FALSE()</f>
        <v>0</v>
      </c>
      <c r="I979" s="37" t="n">
        <v>0</v>
      </c>
      <c r="J979" s="35" t="str">
        <f aca="false">INDEX(Lookups_Metadata!$E$4:$E$10, MATCH(I979, Lookups_Metadata!$D$4:$D$10, 0))</f>
        <v>Sunday</v>
      </c>
      <c r="K979" s="35" t="str">
        <f aca="false">IF(H979=TRUE(), "Holiday", IF(OR(I979=0, I979=6), "Weekend", "Weekday"))</f>
        <v>Weekend</v>
      </c>
      <c r="L979" s="35" t="str">
        <f aca="false">IF(AND(K979="Weekday", OR(AND(G979&gt;=7, G979&lt;=9), AND(G979&gt;=17, G979&lt;=19))), "Peak Commute", "Off-Peak")</f>
        <v>Off-Peak</v>
      </c>
      <c r="M979" s="37" t="n">
        <v>2</v>
      </c>
      <c r="N979" s="35" t="str">
        <f aca="false">VLOOKUP(M979, Lookups_Metadata!$G$4:$H$7, 2, FALSE())</f>
        <v>Mist / Cloudy</v>
      </c>
      <c r="O979" s="40" t="n">
        <v>0.2</v>
      </c>
      <c r="P979" s="40" t="n">
        <v>0.2121</v>
      </c>
      <c r="Q979" s="40" t="n">
        <f aca="false">IF(OR(P979="", ISBLANK(P979)), ROUND(0.9367*O979+0.0175, 4), P979)</f>
        <v>0.2121</v>
      </c>
      <c r="R979" s="35" t="str">
        <f aca="false">IF(OR(P979="", ISBLANK(P979)), "Imputed (Regression/Trend)", "Original")</f>
        <v>Original</v>
      </c>
      <c r="S979" s="40" t="n">
        <v>0.69</v>
      </c>
      <c r="T979" s="40" t="n">
        <v>0.1343</v>
      </c>
      <c r="U979" s="41" t="n">
        <v>2</v>
      </c>
      <c r="V979" s="41" t="n">
        <v>3</v>
      </c>
      <c r="W979" s="41" t="n">
        <f aca="false">U979+V979</f>
        <v>5</v>
      </c>
      <c r="X979" s="42" t="n">
        <f aca="false">U979/W979</f>
        <v>0.4</v>
      </c>
      <c r="Y979" s="42" t="n">
        <f aca="false">V979/W979</f>
        <v>0.6</v>
      </c>
      <c r="Z979" s="35" t="str">
        <f aca="false">IF(W979&gt;=150, "High Demand", IF(W979&gt;=50, "Moderate Demand", "Low Demand"))</f>
        <v>Low Demand</v>
      </c>
      <c r="AA979" s="39" t="str">
        <f aca="false">TEXT(G979, "00") &amp; ":00"</f>
        <v>06:00</v>
      </c>
      <c r="AB979" s="37" t="n">
        <f aca="false">YEAR(B979)</f>
        <v>2011</v>
      </c>
      <c r="AC979" s="35" t="str">
        <f aca="false">TEXT(B979, "mmmm")</f>
        <v>February</v>
      </c>
      <c r="AD979" s="37" t="n">
        <f aca="false">LEN(TEXT(B979, "YYYY-MM-DD"))</f>
        <v>10</v>
      </c>
      <c r="AE979" s="39" t="str">
        <f aca="false">LEFT(TEXT(B979, "YYYY-MM-DD"), 4)</f>
        <v>2011</v>
      </c>
      <c r="AF979" s="39" t="str">
        <f aca="false">RIGHT(TEXT(B979, "YYYY-MM-DD"), 2)</f>
        <v>13</v>
      </c>
    </row>
    <row r="980" customFormat="false" ht="15" hidden="false" customHeight="false" outlineLevel="0" collapsed="false">
      <c r="A980" s="43" t="n">
        <v>976</v>
      </c>
      <c r="B980" s="44" t="s">
        <v>127</v>
      </c>
      <c r="C980" s="43" t="n">
        <v>1</v>
      </c>
      <c r="D980" s="33" t="str">
        <f aca="false">VLOOKUP(C980, Lookups_Metadata!$A$4:$B$7, 2, FALSE())</f>
        <v>Spring</v>
      </c>
      <c r="E980" s="43" t="n">
        <v>0</v>
      </c>
      <c r="F980" s="43" t="n">
        <v>2</v>
      </c>
      <c r="G980" s="43" t="n">
        <v>7</v>
      </c>
      <c r="H980" s="45" t="b">
        <f aca="false">FALSE()</f>
        <v>0</v>
      </c>
      <c r="I980" s="43" t="n">
        <v>0</v>
      </c>
      <c r="J980" s="33" t="str">
        <f aca="false">INDEX(Lookups_Metadata!$E$4:$E$10, MATCH(I980, Lookups_Metadata!$D$4:$D$10, 0))</f>
        <v>Sunday</v>
      </c>
      <c r="K980" s="33" t="str">
        <f aca="false">IF(H980=TRUE(), "Holiday", IF(OR(I980=0, I980=6), "Weekend", "Weekday"))</f>
        <v>Weekend</v>
      </c>
      <c r="L980" s="33" t="str">
        <f aca="false">IF(AND(K980="Weekday", OR(AND(G980&gt;=7, G980&lt;=9), AND(G980&gt;=17, G980&lt;=19))), "Peak Commute", "Off-Peak")</f>
        <v>Off-Peak</v>
      </c>
      <c r="M980" s="43" t="n">
        <v>2</v>
      </c>
      <c r="N980" s="33" t="str">
        <f aca="false">VLOOKUP(M980, Lookups_Metadata!$G$4:$H$7, 2, FALSE())</f>
        <v>Mist / Cloudy</v>
      </c>
      <c r="O980" s="46" t="n">
        <v>0.22</v>
      </c>
      <c r="P980" s="46" t="n">
        <v>0.2727</v>
      </c>
      <c r="Q980" s="46" t="n">
        <f aca="false">IF(OR(P980="", ISBLANK(P980)), ROUND(0.9367*O980+0.0175, 4), P980)</f>
        <v>0.2727</v>
      </c>
      <c r="R980" s="33" t="str">
        <f aca="false">IF(OR(P980="", ISBLANK(P980)), "Imputed (Regression/Trend)", "Original")</f>
        <v>Original</v>
      </c>
      <c r="S980" s="46" t="n">
        <v>0.55</v>
      </c>
      <c r="T980" s="46" t="n">
        <v>0</v>
      </c>
      <c r="U980" s="18" t="n">
        <v>0</v>
      </c>
      <c r="V980" s="18" t="n">
        <v>3</v>
      </c>
      <c r="W980" s="18" t="n">
        <f aca="false">U980+V980</f>
        <v>3</v>
      </c>
      <c r="X980" s="47" t="n">
        <f aca="false">U980/W980</f>
        <v>0</v>
      </c>
      <c r="Y980" s="47" t="n">
        <f aca="false">V980/W980</f>
        <v>1</v>
      </c>
      <c r="Z980" s="33" t="str">
        <f aca="false">IF(W980&gt;=150, "High Demand", IF(W980&gt;=50, "Moderate Demand", "Low Demand"))</f>
        <v>Low Demand</v>
      </c>
      <c r="AA980" s="45" t="str">
        <f aca="false">TEXT(G980, "00") &amp; ":00"</f>
        <v>07:00</v>
      </c>
      <c r="AB980" s="43" t="n">
        <f aca="false">YEAR(B980)</f>
        <v>2011</v>
      </c>
      <c r="AC980" s="33" t="str">
        <f aca="false">TEXT(B980, "mmmm")</f>
        <v>February</v>
      </c>
      <c r="AD980" s="43" t="n">
        <f aca="false">LEN(TEXT(B980, "YYYY-MM-DD"))</f>
        <v>10</v>
      </c>
      <c r="AE980" s="45" t="str">
        <f aca="false">LEFT(TEXT(B980, "YYYY-MM-DD"), 4)</f>
        <v>2011</v>
      </c>
      <c r="AF980" s="45" t="str">
        <f aca="false">RIGHT(TEXT(B980, "YYYY-MM-DD"), 2)</f>
        <v>13</v>
      </c>
    </row>
    <row r="981" customFormat="false" ht="15" hidden="false" customHeight="false" outlineLevel="0" collapsed="false">
      <c r="A981" s="37" t="n">
        <v>977</v>
      </c>
      <c r="B981" s="38" t="s">
        <v>127</v>
      </c>
      <c r="C981" s="37" t="n">
        <v>1</v>
      </c>
      <c r="D981" s="35" t="str">
        <f aca="false">VLOOKUP(C981, Lookups_Metadata!$A$4:$B$7, 2, FALSE())</f>
        <v>Spring</v>
      </c>
      <c r="E981" s="37" t="n">
        <v>0</v>
      </c>
      <c r="F981" s="37" t="n">
        <v>2</v>
      </c>
      <c r="G981" s="37" t="n">
        <v>8</v>
      </c>
      <c r="H981" s="39" t="b">
        <f aca="false">FALSE()</f>
        <v>0</v>
      </c>
      <c r="I981" s="37" t="n">
        <v>0</v>
      </c>
      <c r="J981" s="35" t="str">
        <f aca="false">INDEX(Lookups_Metadata!$E$4:$E$10, MATCH(I981, Lookups_Metadata!$D$4:$D$10, 0))</f>
        <v>Sunday</v>
      </c>
      <c r="K981" s="35" t="str">
        <f aca="false">IF(H981=TRUE(), "Holiday", IF(OR(I981=0, I981=6), "Weekend", "Weekday"))</f>
        <v>Weekend</v>
      </c>
      <c r="L981" s="35" t="str">
        <f aca="false">IF(AND(K981="Weekday", OR(AND(G981&gt;=7, G981&lt;=9), AND(G981&gt;=17, G981&lt;=19))), "Peak Commute", "Off-Peak")</f>
        <v>Off-Peak</v>
      </c>
      <c r="M981" s="37" t="n">
        <v>2</v>
      </c>
      <c r="N981" s="35" t="str">
        <f aca="false">VLOOKUP(M981, Lookups_Metadata!$G$4:$H$7, 2, FALSE())</f>
        <v>Mist / Cloudy</v>
      </c>
      <c r="O981" s="40" t="n">
        <v>0.22</v>
      </c>
      <c r="P981" s="40" t="n">
        <v>0.2273</v>
      </c>
      <c r="Q981" s="40" t="n">
        <f aca="false">IF(OR(P981="", ISBLANK(P981)), ROUND(0.9367*O981+0.0175, 4), P981)</f>
        <v>0.2273</v>
      </c>
      <c r="R981" s="35" t="str">
        <f aca="false">IF(OR(P981="", ISBLANK(P981)), "Imputed (Regression/Trend)", "Original")</f>
        <v>Original</v>
      </c>
      <c r="S981" s="40" t="n">
        <v>0.64</v>
      </c>
      <c r="T981" s="40" t="n">
        <v>0.194</v>
      </c>
      <c r="U981" s="41" t="n">
        <v>1</v>
      </c>
      <c r="V981" s="41" t="n">
        <v>11</v>
      </c>
      <c r="W981" s="41" t="n">
        <f aca="false">U981+V981</f>
        <v>12</v>
      </c>
      <c r="X981" s="42" t="n">
        <f aca="false">U981/W981</f>
        <v>0.0833333333333333</v>
      </c>
      <c r="Y981" s="42" t="n">
        <f aca="false">V981/W981</f>
        <v>0.916666666666667</v>
      </c>
      <c r="Z981" s="35" t="str">
        <f aca="false">IF(W981&gt;=150, "High Demand", IF(W981&gt;=50, "Moderate Demand", "Low Demand"))</f>
        <v>Low Demand</v>
      </c>
      <c r="AA981" s="39" t="str">
        <f aca="false">TEXT(G981, "00") &amp; ":00"</f>
        <v>08:00</v>
      </c>
      <c r="AB981" s="37" t="n">
        <f aca="false">YEAR(B981)</f>
        <v>2011</v>
      </c>
      <c r="AC981" s="35" t="str">
        <f aca="false">TEXT(B981, "mmmm")</f>
        <v>February</v>
      </c>
      <c r="AD981" s="37" t="n">
        <f aca="false">LEN(TEXT(B981, "YYYY-MM-DD"))</f>
        <v>10</v>
      </c>
      <c r="AE981" s="39" t="str">
        <f aca="false">LEFT(TEXT(B981, "YYYY-MM-DD"), 4)</f>
        <v>2011</v>
      </c>
      <c r="AF981" s="39" t="str">
        <f aca="false">RIGHT(TEXT(B981, "YYYY-MM-DD"), 2)</f>
        <v>13</v>
      </c>
    </row>
    <row r="982" customFormat="false" ht="15" hidden="false" customHeight="false" outlineLevel="0" collapsed="false">
      <c r="A982" s="43" t="n">
        <v>978</v>
      </c>
      <c r="B982" s="44" t="s">
        <v>127</v>
      </c>
      <c r="C982" s="43" t="n">
        <v>1</v>
      </c>
      <c r="D982" s="33" t="str">
        <f aca="false">VLOOKUP(C982, Lookups_Metadata!$A$4:$B$7, 2, FALSE())</f>
        <v>Spring</v>
      </c>
      <c r="E982" s="43" t="n">
        <v>0</v>
      </c>
      <c r="F982" s="43" t="n">
        <v>2</v>
      </c>
      <c r="G982" s="43" t="n">
        <v>9</v>
      </c>
      <c r="H982" s="45" t="b">
        <f aca="false">FALSE()</f>
        <v>0</v>
      </c>
      <c r="I982" s="43" t="n">
        <v>0</v>
      </c>
      <c r="J982" s="33" t="str">
        <f aca="false">INDEX(Lookups_Metadata!$E$4:$E$10, MATCH(I982, Lookups_Metadata!$D$4:$D$10, 0))</f>
        <v>Sunday</v>
      </c>
      <c r="K982" s="33" t="str">
        <f aca="false">IF(H982=TRUE(), "Holiday", IF(OR(I982=0, I982=6), "Weekend", "Weekday"))</f>
        <v>Weekend</v>
      </c>
      <c r="L982" s="33" t="str">
        <f aca="false">IF(AND(K982="Weekday", OR(AND(G982&gt;=7, G982&lt;=9), AND(G982&gt;=17, G982&lt;=19))), "Peak Commute", "Off-Peak")</f>
        <v>Off-Peak</v>
      </c>
      <c r="M982" s="43" t="n">
        <v>2</v>
      </c>
      <c r="N982" s="33" t="str">
        <f aca="false">VLOOKUP(M982, Lookups_Metadata!$G$4:$H$7, 2, FALSE())</f>
        <v>Mist / Cloudy</v>
      </c>
      <c r="O982" s="46" t="n">
        <v>0.24</v>
      </c>
      <c r="P982" s="46" t="n">
        <v>0.2273</v>
      </c>
      <c r="Q982" s="46" t="n">
        <f aca="false">IF(OR(P982="", ISBLANK(P982)), ROUND(0.9367*O982+0.0175, 4), P982)</f>
        <v>0.2273</v>
      </c>
      <c r="R982" s="33" t="str">
        <f aca="false">IF(OR(P982="", ISBLANK(P982)), "Imputed (Regression/Trend)", "Original")</f>
        <v>Original</v>
      </c>
      <c r="S982" s="46" t="n">
        <v>0.6</v>
      </c>
      <c r="T982" s="46" t="n">
        <v>0.2239</v>
      </c>
      <c r="U982" s="18" t="n">
        <v>12</v>
      </c>
      <c r="V982" s="18" t="n">
        <v>35</v>
      </c>
      <c r="W982" s="18" t="n">
        <f aca="false">U982+V982</f>
        <v>47</v>
      </c>
      <c r="X982" s="47" t="n">
        <f aca="false">U982/W982</f>
        <v>0.25531914893617</v>
      </c>
      <c r="Y982" s="47" t="n">
        <f aca="false">V982/W982</f>
        <v>0.74468085106383</v>
      </c>
      <c r="Z982" s="33" t="str">
        <f aca="false">IF(W982&gt;=150, "High Demand", IF(W982&gt;=50, "Moderate Demand", "Low Demand"))</f>
        <v>Low Demand</v>
      </c>
      <c r="AA982" s="45" t="str">
        <f aca="false">TEXT(G982, "00") &amp; ":00"</f>
        <v>09:00</v>
      </c>
      <c r="AB982" s="43" t="n">
        <f aca="false">YEAR(B982)</f>
        <v>2011</v>
      </c>
      <c r="AC982" s="33" t="str">
        <f aca="false">TEXT(B982, "mmmm")</f>
        <v>February</v>
      </c>
      <c r="AD982" s="43" t="n">
        <f aca="false">LEN(TEXT(B982, "YYYY-MM-DD"))</f>
        <v>10</v>
      </c>
      <c r="AE982" s="45" t="str">
        <f aca="false">LEFT(TEXT(B982, "YYYY-MM-DD"), 4)</f>
        <v>2011</v>
      </c>
      <c r="AF982" s="45" t="str">
        <f aca="false">RIGHT(TEXT(B982, "YYYY-MM-DD"), 2)</f>
        <v>13</v>
      </c>
    </row>
    <row r="983" customFormat="false" ht="15" hidden="false" customHeight="false" outlineLevel="0" collapsed="false">
      <c r="A983" s="37" t="n">
        <v>979</v>
      </c>
      <c r="B983" s="38" t="s">
        <v>127</v>
      </c>
      <c r="C983" s="37" t="n">
        <v>1</v>
      </c>
      <c r="D983" s="35" t="str">
        <f aca="false">VLOOKUP(C983, Lookups_Metadata!$A$4:$B$7, 2, FALSE())</f>
        <v>Spring</v>
      </c>
      <c r="E983" s="37" t="n">
        <v>0</v>
      </c>
      <c r="F983" s="37" t="n">
        <v>2</v>
      </c>
      <c r="G983" s="37" t="n">
        <v>10</v>
      </c>
      <c r="H983" s="39" t="b">
        <f aca="false">FALSE()</f>
        <v>0</v>
      </c>
      <c r="I983" s="37" t="n">
        <v>0</v>
      </c>
      <c r="J983" s="35" t="str">
        <f aca="false">INDEX(Lookups_Metadata!$E$4:$E$10, MATCH(I983, Lookups_Metadata!$D$4:$D$10, 0))</f>
        <v>Sunday</v>
      </c>
      <c r="K983" s="35" t="str">
        <f aca="false">IF(H983=TRUE(), "Holiday", IF(OR(I983=0, I983=6), "Weekend", "Weekday"))</f>
        <v>Weekend</v>
      </c>
      <c r="L983" s="35" t="str">
        <f aca="false">IF(AND(K983="Weekday", OR(AND(G983&gt;=7, G983&lt;=9), AND(G983&gt;=17, G983&lt;=19))), "Peak Commute", "Off-Peak")</f>
        <v>Off-Peak</v>
      </c>
      <c r="M983" s="37" t="n">
        <v>1</v>
      </c>
      <c r="N983" s="35" t="str">
        <f aca="false">VLOOKUP(M983, Lookups_Metadata!$G$4:$H$7, 2, FALSE())</f>
        <v>Clear / Few Clouds</v>
      </c>
      <c r="O983" s="40" t="n">
        <v>0.3</v>
      </c>
      <c r="P983" s="40" t="n">
        <v>0.2727</v>
      </c>
      <c r="Q983" s="40" t="n">
        <f aca="false">IF(OR(P983="", ISBLANK(P983)), ROUND(0.9367*O983+0.0175, 4), P983)</f>
        <v>0.2727</v>
      </c>
      <c r="R983" s="35" t="str">
        <f aca="false">IF(OR(P983="", ISBLANK(P983)), "Imputed (Regression/Trend)", "Original")</f>
        <v>Original</v>
      </c>
      <c r="S983" s="40" t="n">
        <v>0.45</v>
      </c>
      <c r="T983" s="40" t="n">
        <v>0.3284</v>
      </c>
      <c r="U983" s="41" t="n">
        <v>19</v>
      </c>
      <c r="V983" s="41" t="n">
        <v>86</v>
      </c>
      <c r="W983" s="41" t="n">
        <f aca="false">U983+V983</f>
        <v>105</v>
      </c>
      <c r="X983" s="42" t="n">
        <f aca="false">U983/W983</f>
        <v>0.180952380952381</v>
      </c>
      <c r="Y983" s="42" t="n">
        <f aca="false">V983/W983</f>
        <v>0.819047619047619</v>
      </c>
      <c r="Z983" s="35" t="str">
        <f aca="false">IF(W983&gt;=150, "High Demand", IF(W983&gt;=50, "Moderate Demand", "Low Demand"))</f>
        <v>Moderate Demand</v>
      </c>
      <c r="AA983" s="39" t="str">
        <f aca="false">TEXT(G983, "00") &amp; ":00"</f>
        <v>10:00</v>
      </c>
      <c r="AB983" s="37" t="n">
        <f aca="false">YEAR(B983)</f>
        <v>2011</v>
      </c>
      <c r="AC983" s="35" t="str">
        <f aca="false">TEXT(B983, "mmmm")</f>
        <v>February</v>
      </c>
      <c r="AD983" s="37" t="n">
        <f aca="false">LEN(TEXT(B983, "YYYY-MM-DD"))</f>
        <v>10</v>
      </c>
      <c r="AE983" s="39" t="str">
        <f aca="false">LEFT(TEXT(B983, "YYYY-MM-DD"), 4)</f>
        <v>2011</v>
      </c>
      <c r="AF983" s="39" t="str">
        <f aca="false">RIGHT(TEXT(B983, "YYYY-MM-DD"), 2)</f>
        <v>13</v>
      </c>
    </row>
    <row r="984" customFormat="false" ht="15" hidden="false" customHeight="false" outlineLevel="0" collapsed="false">
      <c r="A984" s="43" t="n">
        <v>980</v>
      </c>
      <c r="B984" s="44" t="s">
        <v>127</v>
      </c>
      <c r="C984" s="43" t="n">
        <v>1</v>
      </c>
      <c r="D984" s="33" t="str">
        <f aca="false">VLOOKUP(C984, Lookups_Metadata!$A$4:$B$7, 2, FALSE())</f>
        <v>Spring</v>
      </c>
      <c r="E984" s="43" t="n">
        <v>0</v>
      </c>
      <c r="F984" s="43" t="n">
        <v>2</v>
      </c>
      <c r="G984" s="43" t="n">
        <v>11</v>
      </c>
      <c r="H984" s="45" t="b">
        <f aca="false">FALSE()</f>
        <v>0</v>
      </c>
      <c r="I984" s="43" t="n">
        <v>0</v>
      </c>
      <c r="J984" s="33" t="str">
        <f aca="false">INDEX(Lookups_Metadata!$E$4:$E$10, MATCH(I984, Lookups_Metadata!$D$4:$D$10, 0))</f>
        <v>Sunday</v>
      </c>
      <c r="K984" s="33" t="str">
        <f aca="false">IF(H984=TRUE(), "Holiday", IF(OR(I984=0, I984=6), "Weekend", "Weekday"))</f>
        <v>Weekend</v>
      </c>
      <c r="L984" s="33" t="str">
        <f aca="false">IF(AND(K984="Weekday", OR(AND(G984&gt;=7, G984&lt;=9), AND(G984&gt;=17, G984&lt;=19))), "Peak Commute", "Off-Peak")</f>
        <v>Off-Peak</v>
      </c>
      <c r="M984" s="43" t="n">
        <v>1</v>
      </c>
      <c r="N984" s="33" t="str">
        <f aca="false">VLOOKUP(M984, Lookups_Metadata!$G$4:$H$7, 2, FALSE())</f>
        <v>Clear / Few Clouds</v>
      </c>
      <c r="O984" s="46" t="n">
        <v>0.32</v>
      </c>
      <c r="P984" s="46" t="n">
        <v>0.2879</v>
      </c>
      <c r="Q984" s="46" t="n">
        <f aca="false">IF(OR(P984="", ISBLANK(P984)), ROUND(0.9367*O984+0.0175, 4), P984)</f>
        <v>0.2879</v>
      </c>
      <c r="R984" s="33" t="str">
        <f aca="false">IF(OR(P984="", ISBLANK(P984)), "Imputed (Regression/Trend)", "Original")</f>
        <v>Original</v>
      </c>
      <c r="S984" s="46" t="n">
        <v>0.39</v>
      </c>
      <c r="T984" s="46" t="n">
        <v>0.4478</v>
      </c>
      <c r="U984" s="18" t="n">
        <v>26</v>
      </c>
      <c r="V984" s="18" t="n">
        <v>86</v>
      </c>
      <c r="W984" s="18" t="n">
        <f aca="false">U984+V984</f>
        <v>112</v>
      </c>
      <c r="X984" s="47" t="n">
        <f aca="false">U984/W984</f>
        <v>0.232142857142857</v>
      </c>
      <c r="Y984" s="47" t="n">
        <f aca="false">V984/W984</f>
        <v>0.767857142857143</v>
      </c>
      <c r="Z984" s="33" t="str">
        <f aca="false">IF(W984&gt;=150, "High Demand", IF(W984&gt;=50, "Moderate Demand", "Low Demand"))</f>
        <v>Moderate Demand</v>
      </c>
      <c r="AA984" s="45" t="str">
        <f aca="false">TEXT(G984, "00") &amp; ":00"</f>
        <v>11:00</v>
      </c>
      <c r="AB984" s="43" t="n">
        <f aca="false">YEAR(B984)</f>
        <v>2011</v>
      </c>
      <c r="AC984" s="33" t="str">
        <f aca="false">TEXT(B984, "mmmm")</f>
        <v>February</v>
      </c>
      <c r="AD984" s="43" t="n">
        <f aca="false">LEN(TEXT(B984, "YYYY-MM-DD"))</f>
        <v>10</v>
      </c>
      <c r="AE984" s="45" t="str">
        <f aca="false">LEFT(TEXT(B984, "YYYY-MM-DD"), 4)</f>
        <v>2011</v>
      </c>
      <c r="AF984" s="45" t="str">
        <f aca="false">RIGHT(TEXT(B984, "YYYY-MM-DD"), 2)</f>
        <v>13</v>
      </c>
    </row>
    <row r="985" customFormat="false" ht="15" hidden="false" customHeight="false" outlineLevel="0" collapsed="false">
      <c r="A985" s="37" t="n">
        <v>981</v>
      </c>
      <c r="B985" s="38" t="s">
        <v>127</v>
      </c>
      <c r="C985" s="37" t="n">
        <v>1</v>
      </c>
      <c r="D985" s="35" t="str">
        <f aca="false">VLOOKUP(C985, Lookups_Metadata!$A$4:$B$7, 2, FALSE())</f>
        <v>Spring</v>
      </c>
      <c r="E985" s="37" t="n">
        <v>0</v>
      </c>
      <c r="F985" s="37" t="n">
        <v>2</v>
      </c>
      <c r="G985" s="37" t="n">
        <v>12</v>
      </c>
      <c r="H985" s="39" t="b">
        <f aca="false">FALSE()</f>
        <v>0</v>
      </c>
      <c r="I985" s="37" t="n">
        <v>0</v>
      </c>
      <c r="J985" s="35" t="str">
        <f aca="false">INDEX(Lookups_Metadata!$E$4:$E$10, MATCH(I985, Lookups_Metadata!$D$4:$D$10, 0))</f>
        <v>Sunday</v>
      </c>
      <c r="K985" s="35" t="str">
        <f aca="false">IF(H985=TRUE(), "Holiday", IF(OR(I985=0, I985=6), "Weekend", "Weekday"))</f>
        <v>Weekend</v>
      </c>
      <c r="L985" s="35" t="str">
        <f aca="false">IF(AND(K985="Weekday", OR(AND(G985&gt;=7, G985&lt;=9), AND(G985&gt;=17, G985&lt;=19))), "Peak Commute", "Off-Peak")</f>
        <v>Off-Peak</v>
      </c>
      <c r="M985" s="37" t="n">
        <v>1</v>
      </c>
      <c r="N985" s="35" t="str">
        <f aca="false">VLOOKUP(M985, Lookups_Metadata!$G$4:$H$7, 2, FALSE())</f>
        <v>Clear / Few Clouds</v>
      </c>
      <c r="O985" s="40" t="n">
        <v>0.36</v>
      </c>
      <c r="P985" s="40" t="n">
        <v>0.3182</v>
      </c>
      <c r="Q985" s="40" t="n">
        <f aca="false">IF(OR(P985="", ISBLANK(P985)), ROUND(0.9367*O985+0.0175, 4), P985)</f>
        <v>0.3182</v>
      </c>
      <c r="R985" s="35" t="str">
        <f aca="false">IF(OR(P985="", ISBLANK(P985)), "Imputed (Regression/Trend)", "Original")</f>
        <v>Original</v>
      </c>
      <c r="S985" s="40" t="n">
        <v>0.32</v>
      </c>
      <c r="T985" s="40" t="n">
        <v>0.4627</v>
      </c>
      <c r="U985" s="41" t="n">
        <v>58</v>
      </c>
      <c r="V985" s="41" t="n">
        <v>94</v>
      </c>
      <c r="W985" s="41" t="n">
        <f aca="false">U985+V985</f>
        <v>152</v>
      </c>
      <c r="X985" s="42" t="n">
        <f aca="false">U985/W985</f>
        <v>0.381578947368421</v>
      </c>
      <c r="Y985" s="42" t="n">
        <f aca="false">V985/W985</f>
        <v>0.618421052631579</v>
      </c>
      <c r="Z985" s="35" t="str">
        <f aca="false">IF(W985&gt;=150, "High Demand", IF(W985&gt;=50, "Moderate Demand", "Low Demand"))</f>
        <v>High Demand</v>
      </c>
      <c r="AA985" s="39" t="str">
        <f aca="false">TEXT(G985, "00") &amp; ":00"</f>
        <v>12:00</v>
      </c>
      <c r="AB985" s="37" t="n">
        <f aca="false">YEAR(B985)</f>
        <v>2011</v>
      </c>
      <c r="AC985" s="35" t="str">
        <f aca="false">TEXT(B985, "mmmm")</f>
        <v>February</v>
      </c>
      <c r="AD985" s="37" t="n">
        <f aca="false">LEN(TEXT(B985, "YYYY-MM-DD"))</f>
        <v>10</v>
      </c>
      <c r="AE985" s="39" t="str">
        <f aca="false">LEFT(TEXT(B985, "YYYY-MM-DD"), 4)</f>
        <v>2011</v>
      </c>
      <c r="AF985" s="39" t="str">
        <f aca="false">RIGHT(TEXT(B985, "YYYY-MM-DD"), 2)</f>
        <v>13</v>
      </c>
    </row>
    <row r="986" customFormat="false" ht="15" hidden="false" customHeight="false" outlineLevel="0" collapsed="false">
      <c r="A986" s="43" t="n">
        <v>982</v>
      </c>
      <c r="B986" s="44" t="s">
        <v>127</v>
      </c>
      <c r="C986" s="43" t="n">
        <v>1</v>
      </c>
      <c r="D986" s="33" t="str">
        <f aca="false">VLOOKUP(C986, Lookups_Metadata!$A$4:$B$7, 2, FALSE())</f>
        <v>Spring</v>
      </c>
      <c r="E986" s="43" t="n">
        <v>0</v>
      </c>
      <c r="F986" s="43" t="n">
        <v>2</v>
      </c>
      <c r="G986" s="43" t="n">
        <v>13</v>
      </c>
      <c r="H986" s="45" t="b">
        <f aca="false">FALSE()</f>
        <v>0</v>
      </c>
      <c r="I986" s="43" t="n">
        <v>0</v>
      </c>
      <c r="J986" s="33" t="str">
        <f aca="false">INDEX(Lookups_Metadata!$E$4:$E$10, MATCH(I986, Lookups_Metadata!$D$4:$D$10, 0))</f>
        <v>Sunday</v>
      </c>
      <c r="K986" s="33" t="str">
        <f aca="false">IF(H986=TRUE(), "Holiday", IF(OR(I986=0, I986=6), "Weekend", "Weekday"))</f>
        <v>Weekend</v>
      </c>
      <c r="L986" s="33" t="str">
        <f aca="false">IF(AND(K986="Weekday", OR(AND(G986&gt;=7, G986&lt;=9), AND(G986&gt;=17, G986&lt;=19))), "Peak Commute", "Off-Peak")</f>
        <v>Off-Peak</v>
      </c>
      <c r="M986" s="43" t="n">
        <v>1</v>
      </c>
      <c r="N986" s="33" t="str">
        <f aca="false">VLOOKUP(M986, Lookups_Metadata!$G$4:$H$7, 2, FALSE())</f>
        <v>Clear / Few Clouds</v>
      </c>
      <c r="O986" s="46" t="n">
        <v>0.38</v>
      </c>
      <c r="P986" s="46" t="n">
        <v>0.3939</v>
      </c>
      <c r="Q986" s="46" t="n">
        <f aca="false">IF(OR(P986="", ISBLANK(P986)), ROUND(0.9367*O986+0.0175, 4), P986)</f>
        <v>0.3939</v>
      </c>
      <c r="R986" s="33" t="str">
        <f aca="false">IF(OR(P986="", ISBLANK(P986)), "Imputed (Regression/Trend)", "Original")</f>
        <v>Original</v>
      </c>
      <c r="S986" s="46" t="n">
        <v>0.29</v>
      </c>
      <c r="T986" s="46" t="n">
        <v>0.3582</v>
      </c>
      <c r="U986" s="18" t="n">
        <v>62</v>
      </c>
      <c r="V986" s="18" t="n">
        <v>92</v>
      </c>
      <c r="W986" s="18" t="n">
        <f aca="false">U986+V986</f>
        <v>154</v>
      </c>
      <c r="X986" s="47" t="n">
        <f aca="false">U986/W986</f>
        <v>0.402597402597403</v>
      </c>
      <c r="Y986" s="47" t="n">
        <f aca="false">V986/W986</f>
        <v>0.597402597402597</v>
      </c>
      <c r="Z986" s="33" t="str">
        <f aca="false">IF(W986&gt;=150, "High Demand", IF(W986&gt;=50, "Moderate Demand", "Low Demand"))</f>
        <v>High Demand</v>
      </c>
      <c r="AA986" s="45" t="str">
        <f aca="false">TEXT(G986, "00") &amp; ":00"</f>
        <v>13:00</v>
      </c>
      <c r="AB986" s="43" t="n">
        <f aca="false">YEAR(B986)</f>
        <v>2011</v>
      </c>
      <c r="AC986" s="33" t="str">
        <f aca="false">TEXT(B986, "mmmm")</f>
        <v>February</v>
      </c>
      <c r="AD986" s="43" t="n">
        <f aca="false">LEN(TEXT(B986, "YYYY-MM-DD"))</f>
        <v>10</v>
      </c>
      <c r="AE986" s="45" t="str">
        <f aca="false">LEFT(TEXT(B986, "YYYY-MM-DD"), 4)</f>
        <v>2011</v>
      </c>
      <c r="AF986" s="45" t="str">
        <f aca="false">RIGHT(TEXT(B986, "YYYY-MM-DD"), 2)</f>
        <v>13</v>
      </c>
    </row>
    <row r="987" customFormat="false" ht="15" hidden="false" customHeight="false" outlineLevel="0" collapsed="false">
      <c r="A987" s="37" t="n">
        <v>983</v>
      </c>
      <c r="B987" s="38" t="s">
        <v>127</v>
      </c>
      <c r="C987" s="37" t="n">
        <v>1</v>
      </c>
      <c r="D987" s="35" t="str">
        <f aca="false">VLOOKUP(C987, Lookups_Metadata!$A$4:$B$7, 2, FALSE())</f>
        <v>Spring</v>
      </c>
      <c r="E987" s="37" t="n">
        <v>0</v>
      </c>
      <c r="F987" s="37" t="n">
        <v>2</v>
      </c>
      <c r="G987" s="37" t="n">
        <v>14</v>
      </c>
      <c r="H987" s="39" t="b">
        <f aca="false">FALSE()</f>
        <v>0</v>
      </c>
      <c r="I987" s="37" t="n">
        <v>0</v>
      </c>
      <c r="J987" s="35" t="str">
        <f aca="false">INDEX(Lookups_Metadata!$E$4:$E$10, MATCH(I987, Lookups_Metadata!$D$4:$D$10, 0))</f>
        <v>Sunday</v>
      </c>
      <c r="K987" s="35" t="str">
        <f aca="false">IF(H987=TRUE(), "Holiday", IF(OR(I987=0, I987=6), "Weekend", "Weekday"))</f>
        <v>Weekend</v>
      </c>
      <c r="L987" s="35" t="str">
        <f aca="false">IF(AND(K987="Weekday", OR(AND(G987&gt;=7, G987&lt;=9), AND(G987&gt;=17, G987&lt;=19))), "Peak Commute", "Off-Peak")</f>
        <v>Off-Peak</v>
      </c>
      <c r="M987" s="37" t="n">
        <v>2</v>
      </c>
      <c r="N987" s="35" t="str">
        <f aca="false">VLOOKUP(M987, Lookups_Metadata!$G$4:$H$7, 2, FALSE())</f>
        <v>Mist / Cloudy</v>
      </c>
      <c r="O987" s="40" t="n">
        <v>0.4</v>
      </c>
      <c r="P987" s="40" t="n">
        <v>0.4091</v>
      </c>
      <c r="Q987" s="40" t="n">
        <f aca="false">IF(OR(P987="", ISBLANK(P987)), ROUND(0.9367*O987+0.0175, 4), P987)</f>
        <v>0.4091</v>
      </c>
      <c r="R987" s="35" t="str">
        <f aca="false">IF(OR(P987="", ISBLANK(P987)), "Imputed (Regression/Trend)", "Original")</f>
        <v>Original</v>
      </c>
      <c r="S987" s="40" t="n">
        <v>0.3</v>
      </c>
      <c r="T987" s="40" t="n">
        <v>0.4179</v>
      </c>
      <c r="U987" s="41" t="n">
        <v>51</v>
      </c>
      <c r="V987" s="41" t="n">
        <v>110</v>
      </c>
      <c r="W987" s="41" t="n">
        <f aca="false">U987+V987</f>
        <v>161</v>
      </c>
      <c r="X987" s="42" t="n">
        <f aca="false">U987/W987</f>
        <v>0.316770186335404</v>
      </c>
      <c r="Y987" s="42" t="n">
        <f aca="false">V987/W987</f>
        <v>0.683229813664596</v>
      </c>
      <c r="Z987" s="35" t="str">
        <f aca="false">IF(W987&gt;=150, "High Demand", IF(W987&gt;=50, "Moderate Demand", "Low Demand"))</f>
        <v>High Demand</v>
      </c>
      <c r="AA987" s="39" t="str">
        <f aca="false">TEXT(G987, "00") &amp; ":00"</f>
        <v>14:00</v>
      </c>
      <c r="AB987" s="37" t="n">
        <f aca="false">YEAR(B987)</f>
        <v>2011</v>
      </c>
      <c r="AC987" s="35" t="str">
        <f aca="false">TEXT(B987, "mmmm")</f>
        <v>February</v>
      </c>
      <c r="AD987" s="37" t="n">
        <f aca="false">LEN(TEXT(B987, "YYYY-MM-DD"))</f>
        <v>10</v>
      </c>
      <c r="AE987" s="39" t="str">
        <f aca="false">LEFT(TEXT(B987, "YYYY-MM-DD"), 4)</f>
        <v>2011</v>
      </c>
      <c r="AF987" s="39" t="str">
        <f aca="false">RIGHT(TEXT(B987, "YYYY-MM-DD"), 2)</f>
        <v>13</v>
      </c>
    </row>
    <row r="988" customFormat="false" ht="15" hidden="false" customHeight="false" outlineLevel="0" collapsed="false">
      <c r="A988" s="43" t="n">
        <v>984</v>
      </c>
      <c r="B988" s="44" t="s">
        <v>127</v>
      </c>
      <c r="C988" s="43" t="n">
        <v>1</v>
      </c>
      <c r="D988" s="33" t="str">
        <f aca="false">VLOOKUP(C988, Lookups_Metadata!$A$4:$B$7, 2, FALSE())</f>
        <v>Spring</v>
      </c>
      <c r="E988" s="43" t="n">
        <v>0</v>
      </c>
      <c r="F988" s="43" t="n">
        <v>2</v>
      </c>
      <c r="G988" s="43" t="n">
        <v>15</v>
      </c>
      <c r="H988" s="45" t="b">
        <f aca="false">FALSE()</f>
        <v>0</v>
      </c>
      <c r="I988" s="43" t="n">
        <v>0</v>
      </c>
      <c r="J988" s="33" t="str">
        <f aca="false">INDEX(Lookups_Metadata!$E$4:$E$10, MATCH(I988, Lookups_Metadata!$D$4:$D$10, 0))</f>
        <v>Sunday</v>
      </c>
      <c r="K988" s="33" t="str">
        <f aca="false">IF(H988=TRUE(), "Holiday", IF(OR(I988=0, I988=6), "Weekend", "Weekday"))</f>
        <v>Weekend</v>
      </c>
      <c r="L988" s="33" t="str">
        <f aca="false">IF(AND(K988="Weekday", OR(AND(G988&gt;=7, G988&lt;=9), AND(G988&gt;=17, G988&lt;=19))), "Peak Commute", "Off-Peak")</f>
        <v>Off-Peak</v>
      </c>
      <c r="M988" s="43" t="n">
        <v>2</v>
      </c>
      <c r="N988" s="33" t="str">
        <f aca="false">VLOOKUP(M988, Lookups_Metadata!$G$4:$H$7, 2, FALSE())</f>
        <v>Mist / Cloudy</v>
      </c>
      <c r="O988" s="46" t="n">
        <v>0.4</v>
      </c>
      <c r="P988" s="46" t="n">
        <v>0.4091</v>
      </c>
      <c r="Q988" s="46" t="n">
        <f aca="false">IF(OR(P988="", ISBLANK(P988)), ROUND(0.9367*O988+0.0175, 4), P988)</f>
        <v>0.4091</v>
      </c>
      <c r="R988" s="33" t="str">
        <f aca="false">IF(OR(P988="", ISBLANK(P988)), "Imputed (Regression/Trend)", "Original")</f>
        <v>Original</v>
      </c>
      <c r="S988" s="46" t="n">
        <v>0.3</v>
      </c>
      <c r="T988" s="46" t="n">
        <v>0.2985</v>
      </c>
      <c r="U988" s="18" t="n">
        <v>40</v>
      </c>
      <c r="V988" s="18" t="n">
        <v>122</v>
      </c>
      <c r="W988" s="18" t="n">
        <f aca="false">U988+V988</f>
        <v>162</v>
      </c>
      <c r="X988" s="47" t="n">
        <f aca="false">U988/W988</f>
        <v>0.246913580246914</v>
      </c>
      <c r="Y988" s="47" t="n">
        <f aca="false">V988/W988</f>
        <v>0.753086419753086</v>
      </c>
      <c r="Z988" s="33" t="str">
        <f aca="false">IF(W988&gt;=150, "High Demand", IF(W988&gt;=50, "Moderate Demand", "Low Demand"))</f>
        <v>High Demand</v>
      </c>
      <c r="AA988" s="45" t="str">
        <f aca="false">TEXT(G988, "00") &amp; ":00"</f>
        <v>15:00</v>
      </c>
      <c r="AB988" s="43" t="n">
        <f aca="false">YEAR(B988)</f>
        <v>2011</v>
      </c>
      <c r="AC988" s="33" t="str">
        <f aca="false">TEXT(B988, "mmmm")</f>
        <v>February</v>
      </c>
      <c r="AD988" s="43" t="n">
        <f aca="false">LEN(TEXT(B988, "YYYY-MM-DD"))</f>
        <v>10</v>
      </c>
      <c r="AE988" s="45" t="str">
        <f aca="false">LEFT(TEXT(B988, "YYYY-MM-DD"), 4)</f>
        <v>2011</v>
      </c>
      <c r="AF988" s="45" t="str">
        <f aca="false">RIGHT(TEXT(B988, "YYYY-MM-DD"), 2)</f>
        <v>13</v>
      </c>
    </row>
    <row r="989" customFormat="false" ht="15" hidden="false" customHeight="false" outlineLevel="0" collapsed="false">
      <c r="A989" s="37" t="n">
        <v>985</v>
      </c>
      <c r="B989" s="38" t="s">
        <v>127</v>
      </c>
      <c r="C989" s="37" t="n">
        <v>1</v>
      </c>
      <c r="D989" s="35" t="str">
        <f aca="false">VLOOKUP(C989, Lookups_Metadata!$A$4:$B$7, 2, FALSE())</f>
        <v>Spring</v>
      </c>
      <c r="E989" s="37" t="n">
        <v>0</v>
      </c>
      <c r="F989" s="37" t="n">
        <v>2</v>
      </c>
      <c r="G989" s="37" t="n">
        <v>16</v>
      </c>
      <c r="H989" s="39" t="b">
        <f aca="false">FALSE()</f>
        <v>0</v>
      </c>
      <c r="I989" s="37" t="n">
        <v>0</v>
      </c>
      <c r="J989" s="35" t="str">
        <f aca="false">INDEX(Lookups_Metadata!$E$4:$E$10, MATCH(I989, Lookups_Metadata!$D$4:$D$10, 0))</f>
        <v>Sunday</v>
      </c>
      <c r="K989" s="35" t="str">
        <f aca="false">IF(H989=TRUE(), "Holiday", IF(OR(I989=0, I989=6), "Weekend", "Weekday"))</f>
        <v>Weekend</v>
      </c>
      <c r="L989" s="35" t="str">
        <f aca="false">IF(AND(K989="Weekday", OR(AND(G989&gt;=7, G989&lt;=9), AND(G989&gt;=17, G989&lt;=19))), "Peak Commute", "Off-Peak")</f>
        <v>Off-Peak</v>
      </c>
      <c r="M989" s="37" t="n">
        <v>2</v>
      </c>
      <c r="N989" s="35" t="str">
        <f aca="false">VLOOKUP(M989, Lookups_Metadata!$G$4:$H$7, 2, FALSE())</f>
        <v>Mist / Cloudy</v>
      </c>
      <c r="O989" s="40" t="n">
        <v>0.42</v>
      </c>
      <c r="P989" s="40" t="n">
        <v>0.4242</v>
      </c>
      <c r="Q989" s="40" t="n">
        <f aca="false">IF(OR(P989="", ISBLANK(P989)), ROUND(0.9367*O989+0.0175, 4), P989)</f>
        <v>0.4242</v>
      </c>
      <c r="R989" s="35" t="str">
        <f aca="false">IF(OR(P989="", ISBLANK(P989)), "Imputed (Regression/Trend)", "Original")</f>
        <v>Original</v>
      </c>
      <c r="S989" s="40" t="n">
        <v>0.28</v>
      </c>
      <c r="T989" s="40" t="n">
        <v>0.3284</v>
      </c>
      <c r="U989" s="41" t="n">
        <v>28</v>
      </c>
      <c r="V989" s="41" t="n">
        <v>106</v>
      </c>
      <c r="W989" s="41" t="n">
        <f aca="false">U989+V989</f>
        <v>134</v>
      </c>
      <c r="X989" s="42" t="n">
        <f aca="false">U989/W989</f>
        <v>0.208955223880597</v>
      </c>
      <c r="Y989" s="42" t="n">
        <f aca="false">V989/W989</f>
        <v>0.791044776119403</v>
      </c>
      <c r="Z989" s="35" t="str">
        <f aca="false">IF(W989&gt;=150, "High Demand", IF(W989&gt;=50, "Moderate Demand", "Low Demand"))</f>
        <v>Moderate Demand</v>
      </c>
      <c r="AA989" s="39" t="str">
        <f aca="false">TEXT(G989, "00") &amp; ":00"</f>
        <v>16:00</v>
      </c>
      <c r="AB989" s="37" t="n">
        <f aca="false">YEAR(B989)</f>
        <v>2011</v>
      </c>
      <c r="AC989" s="35" t="str">
        <f aca="false">TEXT(B989, "mmmm")</f>
        <v>February</v>
      </c>
      <c r="AD989" s="37" t="n">
        <f aca="false">LEN(TEXT(B989, "YYYY-MM-DD"))</f>
        <v>10</v>
      </c>
      <c r="AE989" s="39" t="str">
        <f aca="false">LEFT(TEXT(B989, "YYYY-MM-DD"), 4)</f>
        <v>2011</v>
      </c>
      <c r="AF989" s="39" t="str">
        <f aca="false">RIGHT(TEXT(B989, "YYYY-MM-DD"), 2)</f>
        <v>13</v>
      </c>
    </row>
    <row r="990" customFormat="false" ht="15" hidden="false" customHeight="false" outlineLevel="0" collapsed="false">
      <c r="A990" s="43" t="n">
        <v>986</v>
      </c>
      <c r="B990" s="44" t="s">
        <v>127</v>
      </c>
      <c r="C990" s="43" t="n">
        <v>1</v>
      </c>
      <c r="D990" s="33" t="str">
        <f aca="false">VLOOKUP(C990, Lookups_Metadata!$A$4:$B$7, 2, FALSE())</f>
        <v>Spring</v>
      </c>
      <c r="E990" s="43" t="n">
        <v>0</v>
      </c>
      <c r="F990" s="43" t="n">
        <v>2</v>
      </c>
      <c r="G990" s="43" t="n">
        <v>17</v>
      </c>
      <c r="H990" s="45" t="b">
        <f aca="false">FALSE()</f>
        <v>0</v>
      </c>
      <c r="I990" s="43" t="n">
        <v>0</v>
      </c>
      <c r="J990" s="33" t="str">
        <f aca="false">INDEX(Lookups_Metadata!$E$4:$E$10, MATCH(I990, Lookups_Metadata!$D$4:$D$10, 0))</f>
        <v>Sunday</v>
      </c>
      <c r="K990" s="33" t="str">
        <f aca="false">IF(H990=TRUE(), "Holiday", IF(OR(I990=0, I990=6), "Weekend", "Weekday"))</f>
        <v>Weekend</v>
      </c>
      <c r="L990" s="33" t="str">
        <f aca="false">IF(AND(K990="Weekday", OR(AND(G990&gt;=7, G990&lt;=9), AND(G990&gt;=17, G990&lt;=19))), "Peak Commute", "Off-Peak")</f>
        <v>Off-Peak</v>
      </c>
      <c r="M990" s="43" t="n">
        <v>1</v>
      </c>
      <c r="N990" s="33" t="str">
        <f aca="false">VLOOKUP(M990, Lookups_Metadata!$G$4:$H$7, 2, FALSE())</f>
        <v>Clear / Few Clouds</v>
      </c>
      <c r="O990" s="46" t="n">
        <v>0.42</v>
      </c>
      <c r="P990" s="46" t="n">
        <v>0.4242</v>
      </c>
      <c r="Q990" s="46" t="n">
        <f aca="false">IF(OR(P990="", ISBLANK(P990)), ROUND(0.9367*O990+0.0175, 4), P990)</f>
        <v>0.4242</v>
      </c>
      <c r="R990" s="33" t="str">
        <f aca="false">IF(OR(P990="", ISBLANK(P990)), "Imputed (Regression/Trend)", "Original")</f>
        <v>Original</v>
      </c>
      <c r="S990" s="46" t="n">
        <v>0.28</v>
      </c>
      <c r="T990" s="46" t="n">
        <v>0.3284</v>
      </c>
      <c r="U990" s="18" t="n">
        <v>30</v>
      </c>
      <c r="V990" s="18" t="n">
        <v>95</v>
      </c>
      <c r="W990" s="18" t="n">
        <f aca="false">U990+V990</f>
        <v>125</v>
      </c>
      <c r="X990" s="47" t="n">
        <f aca="false">U990/W990</f>
        <v>0.24</v>
      </c>
      <c r="Y990" s="47" t="n">
        <f aca="false">V990/W990</f>
        <v>0.76</v>
      </c>
      <c r="Z990" s="33" t="str">
        <f aca="false">IF(W990&gt;=150, "High Demand", IF(W990&gt;=50, "Moderate Demand", "Low Demand"))</f>
        <v>Moderate Demand</v>
      </c>
      <c r="AA990" s="45" t="str">
        <f aca="false">TEXT(G990, "00") &amp; ":00"</f>
        <v>17:00</v>
      </c>
      <c r="AB990" s="43" t="n">
        <f aca="false">YEAR(B990)</f>
        <v>2011</v>
      </c>
      <c r="AC990" s="33" t="str">
        <f aca="false">TEXT(B990, "mmmm")</f>
        <v>February</v>
      </c>
      <c r="AD990" s="43" t="n">
        <f aca="false">LEN(TEXT(B990, "YYYY-MM-DD"))</f>
        <v>10</v>
      </c>
      <c r="AE990" s="45" t="str">
        <f aca="false">LEFT(TEXT(B990, "YYYY-MM-DD"), 4)</f>
        <v>2011</v>
      </c>
      <c r="AF990" s="45" t="str">
        <f aca="false">RIGHT(TEXT(B990, "YYYY-MM-DD"), 2)</f>
        <v>13</v>
      </c>
    </row>
    <row r="991" customFormat="false" ht="15" hidden="false" customHeight="false" outlineLevel="0" collapsed="false">
      <c r="A991" s="37" t="n">
        <v>987</v>
      </c>
      <c r="B991" s="38" t="s">
        <v>127</v>
      </c>
      <c r="C991" s="37" t="n">
        <v>1</v>
      </c>
      <c r="D991" s="35" t="str">
        <f aca="false">VLOOKUP(C991, Lookups_Metadata!$A$4:$B$7, 2, FALSE())</f>
        <v>Spring</v>
      </c>
      <c r="E991" s="37" t="n">
        <v>0</v>
      </c>
      <c r="F991" s="37" t="n">
        <v>2</v>
      </c>
      <c r="G991" s="37" t="n">
        <v>18</v>
      </c>
      <c r="H991" s="39" t="b">
        <f aca="false">FALSE()</f>
        <v>0</v>
      </c>
      <c r="I991" s="37" t="n">
        <v>0</v>
      </c>
      <c r="J991" s="35" t="str">
        <f aca="false">INDEX(Lookups_Metadata!$E$4:$E$10, MATCH(I991, Lookups_Metadata!$D$4:$D$10, 0))</f>
        <v>Sunday</v>
      </c>
      <c r="K991" s="35" t="str">
        <f aca="false">IF(H991=TRUE(), "Holiday", IF(OR(I991=0, I991=6), "Weekend", "Weekday"))</f>
        <v>Weekend</v>
      </c>
      <c r="L991" s="35" t="str">
        <f aca="false">IF(AND(K991="Weekday", OR(AND(G991&gt;=7, G991&lt;=9), AND(G991&gt;=17, G991&lt;=19))), "Peak Commute", "Off-Peak")</f>
        <v>Off-Peak</v>
      </c>
      <c r="M991" s="37" t="n">
        <v>1</v>
      </c>
      <c r="N991" s="35" t="str">
        <f aca="false">VLOOKUP(M991, Lookups_Metadata!$G$4:$H$7, 2, FALSE())</f>
        <v>Clear / Few Clouds</v>
      </c>
      <c r="O991" s="40" t="n">
        <v>0.4</v>
      </c>
      <c r="P991" s="40" t="n">
        <v>0.4091</v>
      </c>
      <c r="Q991" s="40" t="n">
        <f aca="false">IF(OR(P991="", ISBLANK(P991)), ROUND(0.9367*O991+0.0175, 4), P991)</f>
        <v>0.4091</v>
      </c>
      <c r="R991" s="35" t="str">
        <f aca="false">IF(OR(P991="", ISBLANK(P991)), "Imputed (Regression/Trend)", "Original")</f>
        <v>Original</v>
      </c>
      <c r="S991" s="40" t="n">
        <v>0.32</v>
      </c>
      <c r="T991" s="40" t="n">
        <v>0.2985</v>
      </c>
      <c r="U991" s="41" t="n">
        <v>17</v>
      </c>
      <c r="V991" s="41" t="n">
        <v>78</v>
      </c>
      <c r="W991" s="41" t="n">
        <f aca="false">U991+V991</f>
        <v>95</v>
      </c>
      <c r="X991" s="42" t="n">
        <f aca="false">U991/W991</f>
        <v>0.178947368421053</v>
      </c>
      <c r="Y991" s="42" t="n">
        <f aca="false">V991/W991</f>
        <v>0.821052631578947</v>
      </c>
      <c r="Z991" s="35" t="str">
        <f aca="false">IF(W991&gt;=150, "High Demand", IF(W991&gt;=50, "Moderate Demand", "Low Demand"))</f>
        <v>Moderate Demand</v>
      </c>
      <c r="AA991" s="39" t="str">
        <f aca="false">TEXT(G991, "00") &amp; ":00"</f>
        <v>18:00</v>
      </c>
      <c r="AB991" s="37" t="n">
        <f aca="false">YEAR(B991)</f>
        <v>2011</v>
      </c>
      <c r="AC991" s="35" t="str">
        <f aca="false">TEXT(B991, "mmmm")</f>
        <v>February</v>
      </c>
      <c r="AD991" s="37" t="n">
        <f aca="false">LEN(TEXT(B991, "YYYY-MM-DD"))</f>
        <v>10</v>
      </c>
      <c r="AE991" s="39" t="str">
        <f aca="false">LEFT(TEXT(B991, "YYYY-MM-DD"), 4)</f>
        <v>2011</v>
      </c>
      <c r="AF991" s="39" t="str">
        <f aca="false">RIGHT(TEXT(B991, "YYYY-MM-DD"), 2)</f>
        <v>13</v>
      </c>
    </row>
    <row r="992" customFormat="false" ht="15" hidden="false" customHeight="false" outlineLevel="0" collapsed="false">
      <c r="A992" s="43" t="n">
        <v>988</v>
      </c>
      <c r="B992" s="44" t="s">
        <v>127</v>
      </c>
      <c r="C992" s="43" t="n">
        <v>1</v>
      </c>
      <c r="D992" s="33" t="str">
        <f aca="false">VLOOKUP(C992, Lookups_Metadata!$A$4:$B$7, 2, FALSE())</f>
        <v>Spring</v>
      </c>
      <c r="E992" s="43" t="n">
        <v>0</v>
      </c>
      <c r="F992" s="43" t="n">
        <v>2</v>
      </c>
      <c r="G992" s="43" t="n">
        <v>19</v>
      </c>
      <c r="H992" s="45" t="b">
        <f aca="false">FALSE()</f>
        <v>0</v>
      </c>
      <c r="I992" s="43" t="n">
        <v>0</v>
      </c>
      <c r="J992" s="33" t="str">
        <f aca="false">INDEX(Lookups_Metadata!$E$4:$E$10, MATCH(I992, Lookups_Metadata!$D$4:$D$10, 0))</f>
        <v>Sunday</v>
      </c>
      <c r="K992" s="33" t="str">
        <f aca="false">IF(H992=TRUE(), "Holiday", IF(OR(I992=0, I992=6), "Weekend", "Weekday"))</f>
        <v>Weekend</v>
      </c>
      <c r="L992" s="33" t="str">
        <f aca="false">IF(AND(K992="Weekday", OR(AND(G992&gt;=7, G992&lt;=9), AND(G992&gt;=17, G992&lt;=19))), "Peak Commute", "Off-Peak")</f>
        <v>Off-Peak</v>
      </c>
      <c r="M992" s="43" t="n">
        <v>1</v>
      </c>
      <c r="N992" s="33" t="str">
        <f aca="false">VLOOKUP(M992, Lookups_Metadata!$G$4:$H$7, 2, FALSE())</f>
        <v>Clear / Few Clouds</v>
      </c>
      <c r="O992" s="46" t="n">
        <v>0.4</v>
      </c>
      <c r="P992" s="46" t="n">
        <v>0.4091</v>
      </c>
      <c r="Q992" s="46" t="n">
        <f aca="false">IF(OR(P992="", ISBLANK(P992)), ROUND(0.9367*O992+0.0175, 4), P992)</f>
        <v>0.4091</v>
      </c>
      <c r="R992" s="33" t="str">
        <f aca="false">IF(OR(P992="", ISBLANK(P992)), "Imputed (Regression/Trend)", "Original")</f>
        <v>Original</v>
      </c>
      <c r="S992" s="46" t="n">
        <v>0.35</v>
      </c>
      <c r="T992" s="46" t="n">
        <v>0.2836</v>
      </c>
      <c r="U992" s="18" t="n">
        <v>11</v>
      </c>
      <c r="V992" s="18" t="n">
        <v>50</v>
      </c>
      <c r="W992" s="18" t="n">
        <f aca="false">U992+V992</f>
        <v>61</v>
      </c>
      <c r="X992" s="47" t="n">
        <f aca="false">U992/W992</f>
        <v>0.180327868852459</v>
      </c>
      <c r="Y992" s="47" t="n">
        <f aca="false">V992/W992</f>
        <v>0.819672131147541</v>
      </c>
      <c r="Z992" s="33" t="str">
        <f aca="false">IF(W992&gt;=150, "High Demand", IF(W992&gt;=50, "Moderate Demand", "Low Demand"))</f>
        <v>Moderate Demand</v>
      </c>
      <c r="AA992" s="45" t="str">
        <f aca="false">TEXT(G992, "00") &amp; ":00"</f>
        <v>19:00</v>
      </c>
      <c r="AB992" s="43" t="n">
        <f aca="false">YEAR(B992)</f>
        <v>2011</v>
      </c>
      <c r="AC992" s="33" t="str">
        <f aca="false">TEXT(B992, "mmmm")</f>
        <v>February</v>
      </c>
      <c r="AD992" s="43" t="n">
        <f aca="false">LEN(TEXT(B992, "YYYY-MM-DD"))</f>
        <v>10</v>
      </c>
      <c r="AE992" s="45" t="str">
        <f aca="false">LEFT(TEXT(B992, "YYYY-MM-DD"), 4)</f>
        <v>2011</v>
      </c>
      <c r="AF992" s="45" t="str">
        <f aca="false">RIGHT(TEXT(B992, "YYYY-MM-DD"), 2)</f>
        <v>13</v>
      </c>
    </row>
    <row r="993" customFormat="false" ht="15" hidden="false" customHeight="false" outlineLevel="0" collapsed="false">
      <c r="A993" s="37" t="n">
        <v>989</v>
      </c>
      <c r="B993" s="38" t="s">
        <v>127</v>
      </c>
      <c r="C993" s="37" t="n">
        <v>1</v>
      </c>
      <c r="D993" s="35" t="str">
        <f aca="false">VLOOKUP(C993, Lookups_Metadata!$A$4:$B$7, 2, FALSE())</f>
        <v>Spring</v>
      </c>
      <c r="E993" s="37" t="n">
        <v>0</v>
      </c>
      <c r="F993" s="37" t="n">
        <v>2</v>
      </c>
      <c r="G993" s="37" t="n">
        <v>20</v>
      </c>
      <c r="H993" s="39" t="b">
        <f aca="false">FALSE()</f>
        <v>0</v>
      </c>
      <c r="I993" s="37" t="n">
        <v>0</v>
      </c>
      <c r="J993" s="35" t="str">
        <f aca="false">INDEX(Lookups_Metadata!$E$4:$E$10, MATCH(I993, Lookups_Metadata!$D$4:$D$10, 0))</f>
        <v>Sunday</v>
      </c>
      <c r="K993" s="35" t="str">
        <f aca="false">IF(H993=TRUE(), "Holiday", IF(OR(I993=0, I993=6), "Weekend", "Weekday"))</f>
        <v>Weekend</v>
      </c>
      <c r="L993" s="35" t="str">
        <f aca="false">IF(AND(K993="Weekday", OR(AND(G993&gt;=7, G993&lt;=9), AND(G993&gt;=17, G993&lt;=19))), "Peak Commute", "Off-Peak")</f>
        <v>Off-Peak</v>
      </c>
      <c r="M993" s="37" t="n">
        <v>1</v>
      </c>
      <c r="N993" s="35" t="str">
        <f aca="false">VLOOKUP(M993, Lookups_Metadata!$G$4:$H$7, 2, FALSE())</f>
        <v>Clear / Few Clouds</v>
      </c>
      <c r="O993" s="40" t="n">
        <v>0.4</v>
      </c>
      <c r="P993" s="40" t="n">
        <v>0.4091</v>
      </c>
      <c r="Q993" s="40" t="n">
        <f aca="false">IF(OR(P993="", ISBLANK(P993)), ROUND(0.9367*O993+0.0175, 4), P993)</f>
        <v>0.4091</v>
      </c>
      <c r="R993" s="35" t="str">
        <f aca="false">IF(OR(P993="", ISBLANK(P993)), "Imputed (Regression/Trend)", "Original")</f>
        <v>Original</v>
      </c>
      <c r="S993" s="40" t="n">
        <v>0.35</v>
      </c>
      <c r="T993" s="40" t="n">
        <v>0.3284</v>
      </c>
      <c r="U993" s="41" t="n">
        <v>15</v>
      </c>
      <c r="V993" s="41" t="n">
        <v>32</v>
      </c>
      <c r="W993" s="41" t="n">
        <f aca="false">U993+V993</f>
        <v>47</v>
      </c>
      <c r="X993" s="42" t="n">
        <f aca="false">U993/W993</f>
        <v>0.319148936170213</v>
      </c>
      <c r="Y993" s="42" t="n">
        <f aca="false">V993/W993</f>
        <v>0.680851063829787</v>
      </c>
      <c r="Z993" s="35" t="str">
        <f aca="false">IF(W993&gt;=150, "High Demand", IF(W993&gt;=50, "Moderate Demand", "Low Demand"))</f>
        <v>Low Demand</v>
      </c>
      <c r="AA993" s="39" t="str">
        <f aca="false">TEXT(G993, "00") &amp; ":00"</f>
        <v>20:00</v>
      </c>
      <c r="AB993" s="37" t="n">
        <f aca="false">YEAR(B993)</f>
        <v>2011</v>
      </c>
      <c r="AC993" s="35" t="str">
        <f aca="false">TEXT(B993, "mmmm")</f>
        <v>February</v>
      </c>
      <c r="AD993" s="37" t="n">
        <f aca="false">LEN(TEXT(B993, "YYYY-MM-DD"))</f>
        <v>10</v>
      </c>
      <c r="AE993" s="39" t="str">
        <f aca="false">LEFT(TEXT(B993, "YYYY-MM-DD"), 4)</f>
        <v>2011</v>
      </c>
      <c r="AF993" s="39" t="str">
        <f aca="false">RIGHT(TEXT(B993, "YYYY-MM-DD"), 2)</f>
        <v>13</v>
      </c>
    </row>
    <row r="994" customFormat="false" ht="15" hidden="false" customHeight="false" outlineLevel="0" collapsed="false">
      <c r="A994" s="43" t="n">
        <v>990</v>
      </c>
      <c r="B994" s="44" t="s">
        <v>127</v>
      </c>
      <c r="C994" s="43" t="n">
        <v>1</v>
      </c>
      <c r="D994" s="33" t="str">
        <f aca="false">VLOOKUP(C994, Lookups_Metadata!$A$4:$B$7, 2, FALSE())</f>
        <v>Spring</v>
      </c>
      <c r="E994" s="43" t="n">
        <v>0</v>
      </c>
      <c r="F994" s="43" t="n">
        <v>2</v>
      </c>
      <c r="G994" s="43" t="n">
        <v>21</v>
      </c>
      <c r="H994" s="45" t="b">
        <f aca="false">FALSE()</f>
        <v>0</v>
      </c>
      <c r="I994" s="43" t="n">
        <v>0</v>
      </c>
      <c r="J994" s="33" t="str">
        <f aca="false">INDEX(Lookups_Metadata!$E$4:$E$10, MATCH(I994, Lookups_Metadata!$D$4:$D$10, 0))</f>
        <v>Sunday</v>
      </c>
      <c r="K994" s="33" t="str">
        <f aca="false">IF(H994=TRUE(), "Holiday", IF(OR(I994=0, I994=6), "Weekend", "Weekday"))</f>
        <v>Weekend</v>
      </c>
      <c r="L994" s="33" t="str">
        <f aca="false">IF(AND(K994="Weekday", OR(AND(G994&gt;=7, G994&lt;=9), AND(G994&gt;=17, G994&lt;=19))), "Peak Commute", "Off-Peak")</f>
        <v>Off-Peak</v>
      </c>
      <c r="M994" s="43" t="n">
        <v>1</v>
      </c>
      <c r="N994" s="33" t="str">
        <f aca="false">VLOOKUP(M994, Lookups_Metadata!$G$4:$H$7, 2, FALSE())</f>
        <v>Clear / Few Clouds</v>
      </c>
      <c r="O994" s="46" t="n">
        <v>0.4</v>
      </c>
      <c r="P994" s="46" t="n">
        <v>0.4091</v>
      </c>
      <c r="Q994" s="46" t="n">
        <f aca="false">IF(OR(P994="", ISBLANK(P994)), ROUND(0.9367*O994+0.0175, 4), P994)</f>
        <v>0.4091</v>
      </c>
      <c r="R994" s="33" t="str">
        <f aca="false">IF(OR(P994="", ISBLANK(P994)), "Imputed (Regression/Trend)", "Original")</f>
        <v>Original</v>
      </c>
      <c r="S994" s="46" t="n">
        <v>0.35</v>
      </c>
      <c r="T994" s="46" t="n">
        <v>0.3582</v>
      </c>
      <c r="U994" s="18" t="n">
        <v>6</v>
      </c>
      <c r="V994" s="18" t="n">
        <v>45</v>
      </c>
      <c r="W994" s="18" t="n">
        <f aca="false">U994+V994</f>
        <v>51</v>
      </c>
      <c r="X994" s="47" t="n">
        <f aca="false">U994/W994</f>
        <v>0.117647058823529</v>
      </c>
      <c r="Y994" s="47" t="n">
        <f aca="false">V994/W994</f>
        <v>0.882352941176471</v>
      </c>
      <c r="Z994" s="33" t="str">
        <f aca="false">IF(W994&gt;=150, "High Demand", IF(W994&gt;=50, "Moderate Demand", "Low Demand"))</f>
        <v>Moderate Demand</v>
      </c>
      <c r="AA994" s="45" t="str">
        <f aca="false">TEXT(G994, "00") &amp; ":00"</f>
        <v>21:00</v>
      </c>
      <c r="AB994" s="43" t="n">
        <f aca="false">YEAR(B994)</f>
        <v>2011</v>
      </c>
      <c r="AC994" s="33" t="str">
        <f aca="false">TEXT(B994, "mmmm")</f>
        <v>February</v>
      </c>
      <c r="AD994" s="43" t="n">
        <f aca="false">LEN(TEXT(B994, "YYYY-MM-DD"))</f>
        <v>10</v>
      </c>
      <c r="AE994" s="45" t="str">
        <f aca="false">LEFT(TEXT(B994, "YYYY-MM-DD"), 4)</f>
        <v>2011</v>
      </c>
      <c r="AF994" s="45" t="str">
        <f aca="false">RIGHT(TEXT(B994, "YYYY-MM-DD"), 2)</f>
        <v>13</v>
      </c>
    </row>
    <row r="995" customFormat="false" ht="15" hidden="false" customHeight="false" outlineLevel="0" collapsed="false">
      <c r="A995" s="37" t="n">
        <v>991</v>
      </c>
      <c r="B995" s="38" t="s">
        <v>127</v>
      </c>
      <c r="C995" s="37" t="n">
        <v>1</v>
      </c>
      <c r="D995" s="35" t="str">
        <f aca="false">VLOOKUP(C995, Lookups_Metadata!$A$4:$B$7, 2, FALSE())</f>
        <v>Spring</v>
      </c>
      <c r="E995" s="37" t="n">
        <v>0</v>
      </c>
      <c r="F995" s="37" t="n">
        <v>2</v>
      </c>
      <c r="G995" s="37" t="n">
        <v>22</v>
      </c>
      <c r="H995" s="39" t="b">
        <f aca="false">FALSE()</f>
        <v>0</v>
      </c>
      <c r="I995" s="37" t="n">
        <v>0</v>
      </c>
      <c r="J995" s="35" t="str">
        <f aca="false">INDEX(Lookups_Metadata!$E$4:$E$10, MATCH(I995, Lookups_Metadata!$D$4:$D$10, 0))</f>
        <v>Sunday</v>
      </c>
      <c r="K995" s="35" t="str">
        <f aca="false">IF(H995=TRUE(), "Holiday", IF(OR(I995=0, I995=6), "Weekend", "Weekday"))</f>
        <v>Weekend</v>
      </c>
      <c r="L995" s="35" t="str">
        <f aca="false">IF(AND(K995="Weekday", OR(AND(G995&gt;=7, G995&lt;=9), AND(G995&gt;=17, G995&lt;=19))), "Peak Commute", "Off-Peak")</f>
        <v>Off-Peak</v>
      </c>
      <c r="M995" s="37" t="n">
        <v>1</v>
      </c>
      <c r="N995" s="35" t="str">
        <f aca="false">VLOOKUP(M995, Lookups_Metadata!$G$4:$H$7, 2, FALSE())</f>
        <v>Clear / Few Clouds</v>
      </c>
      <c r="O995" s="40" t="n">
        <v>0.4</v>
      </c>
      <c r="P995" s="40" t="n">
        <v>0.4091</v>
      </c>
      <c r="Q995" s="40" t="n">
        <f aca="false">IF(OR(P995="", ISBLANK(P995)), ROUND(0.9367*O995+0.0175, 4), P995)</f>
        <v>0.4091</v>
      </c>
      <c r="R995" s="35" t="str">
        <f aca="false">IF(OR(P995="", ISBLANK(P995)), "Imputed (Regression/Trend)", "Original")</f>
        <v>Original</v>
      </c>
      <c r="S995" s="40" t="n">
        <v>0.35</v>
      </c>
      <c r="T995" s="40" t="n">
        <v>0.2985</v>
      </c>
      <c r="U995" s="41" t="n">
        <v>5</v>
      </c>
      <c r="V995" s="41" t="n">
        <v>31</v>
      </c>
      <c r="W995" s="41" t="n">
        <f aca="false">U995+V995</f>
        <v>36</v>
      </c>
      <c r="X995" s="42" t="n">
        <f aca="false">U995/W995</f>
        <v>0.138888888888889</v>
      </c>
      <c r="Y995" s="42" t="n">
        <f aca="false">V995/W995</f>
        <v>0.861111111111111</v>
      </c>
      <c r="Z995" s="35" t="str">
        <f aca="false">IF(W995&gt;=150, "High Demand", IF(W995&gt;=50, "Moderate Demand", "Low Demand"))</f>
        <v>Low Demand</v>
      </c>
      <c r="AA995" s="39" t="str">
        <f aca="false">TEXT(G995, "00") &amp; ":00"</f>
        <v>22:00</v>
      </c>
      <c r="AB995" s="37" t="n">
        <f aca="false">YEAR(B995)</f>
        <v>2011</v>
      </c>
      <c r="AC995" s="35" t="str">
        <f aca="false">TEXT(B995, "mmmm")</f>
        <v>February</v>
      </c>
      <c r="AD995" s="37" t="n">
        <f aca="false">LEN(TEXT(B995, "YYYY-MM-DD"))</f>
        <v>10</v>
      </c>
      <c r="AE995" s="39" t="str">
        <f aca="false">LEFT(TEXT(B995, "YYYY-MM-DD"), 4)</f>
        <v>2011</v>
      </c>
      <c r="AF995" s="39" t="str">
        <f aca="false">RIGHT(TEXT(B995, "YYYY-MM-DD"), 2)</f>
        <v>13</v>
      </c>
    </row>
    <row r="996" customFormat="false" ht="15" hidden="false" customHeight="false" outlineLevel="0" collapsed="false">
      <c r="A996" s="43" t="n">
        <v>992</v>
      </c>
      <c r="B996" s="44" t="s">
        <v>127</v>
      </c>
      <c r="C996" s="43" t="n">
        <v>1</v>
      </c>
      <c r="D996" s="33" t="str">
        <f aca="false">VLOOKUP(C996, Lookups_Metadata!$A$4:$B$7, 2, FALSE())</f>
        <v>Spring</v>
      </c>
      <c r="E996" s="43" t="n">
        <v>0</v>
      </c>
      <c r="F996" s="43" t="n">
        <v>2</v>
      </c>
      <c r="G996" s="43" t="n">
        <v>23</v>
      </c>
      <c r="H996" s="45" t="b">
        <f aca="false">FALSE()</f>
        <v>0</v>
      </c>
      <c r="I996" s="43" t="n">
        <v>0</v>
      </c>
      <c r="J996" s="33" t="str">
        <f aca="false">INDEX(Lookups_Metadata!$E$4:$E$10, MATCH(I996, Lookups_Metadata!$D$4:$D$10, 0))</f>
        <v>Sunday</v>
      </c>
      <c r="K996" s="33" t="str">
        <f aca="false">IF(H996=TRUE(), "Holiday", IF(OR(I996=0, I996=6), "Weekend", "Weekday"))</f>
        <v>Weekend</v>
      </c>
      <c r="L996" s="33" t="str">
        <f aca="false">IF(AND(K996="Weekday", OR(AND(G996&gt;=7, G996&lt;=9), AND(G996&gt;=17, G996&lt;=19))), "Peak Commute", "Off-Peak")</f>
        <v>Off-Peak</v>
      </c>
      <c r="M996" s="43" t="n">
        <v>1</v>
      </c>
      <c r="N996" s="33" t="str">
        <f aca="false">VLOOKUP(M996, Lookups_Metadata!$G$4:$H$7, 2, FALSE())</f>
        <v>Clear / Few Clouds</v>
      </c>
      <c r="O996" s="46" t="n">
        <v>0.4</v>
      </c>
      <c r="P996" s="46" t="n">
        <v>0.4091</v>
      </c>
      <c r="Q996" s="46" t="n">
        <f aca="false">IF(OR(P996="", ISBLANK(P996)), ROUND(0.9367*O996+0.0175, 4), P996)</f>
        <v>0.4091</v>
      </c>
      <c r="R996" s="33" t="str">
        <f aca="false">IF(OR(P996="", ISBLANK(P996)), "Imputed (Regression/Trend)", "Original")</f>
        <v>Original</v>
      </c>
      <c r="S996" s="46" t="n">
        <v>0.35</v>
      </c>
      <c r="T996" s="46" t="n">
        <v>0.3582</v>
      </c>
      <c r="U996" s="18" t="n">
        <v>3</v>
      </c>
      <c r="V996" s="18" t="n">
        <v>27</v>
      </c>
      <c r="W996" s="18" t="n">
        <f aca="false">U996+V996</f>
        <v>30</v>
      </c>
      <c r="X996" s="47" t="n">
        <f aca="false">U996/W996</f>
        <v>0.1</v>
      </c>
      <c r="Y996" s="47" t="n">
        <f aca="false">V996/W996</f>
        <v>0.9</v>
      </c>
      <c r="Z996" s="33" t="str">
        <f aca="false">IF(W996&gt;=150, "High Demand", IF(W996&gt;=50, "Moderate Demand", "Low Demand"))</f>
        <v>Low Demand</v>
      </c>
      <c r="AA996" s="45" t="str">
        <f aca="false">TEXT(G996, "00") &amp; ":00"</f>
        <v>23:00</v>
      </c>
      <c r="AB996" s="43" t="n">
        <f aca="false">YEAR(B996)</f>
        <v>2011</v>
      </c>
      <c r="AC996" s="33" t="str">
        <f aca="false">TEXT(B996, "mmmm")</f>
        <v>February</v>
      </c>
      <c r="AD996" s="43" t="n">
        <f aca="false">LEN(TEXT(B996, "YYYY-MM-DD"))</f>
        <v>10</v>
      </c>
      <c r="AE996" s="45" t="str">
        <f aca="false">LEFT(TEXT(B996, "YYYY-MM-DD"), 4)</f>
        <v>2011</v>
      </c>
      <c r="AF996" s="45" t="str">
        <f aca="false">RIGHT(TEXT(B996, "YYYY-MM-DD"), 2)</f>
        <v>13</v>
      </c>
    </row>
    <row r="997" customFormat="false" ht="15" hidden="false" customHeight="false" outlineLevel="0" collapsed="false">
      <c r="A997" s="37" t="n">
        <v>993</v>
      </c>
      <c r="B997" s="38" t="s">
        <v>128</v>
      </c>
      <c r="C997" s="37" t="n">
        <v>1</v>
      </c>
      <c r="D997" s="35" t="str">
        <f aca="false">VLOOKUP(C997, Lookups_Metadata!$A$4:$B$7, 2, FALSE())</f>
        <v>Spring</v>
      </c>
      <c r="E997" s="37" t="n">
        <v>0</v>
      </c>
      <c r="F997" s="37" t="n">
        <v>2</v>
      </c>
      <c r="G997" s="37" t="n">
        <v>0</v>
      </c>
      <c r="H997" s="39" t="b">
        <f aca="false">FALSE()</f>
        <v>0</v>
      </c>
      <c r="I997" s="37" t="n">
        <v>1</v>
      </c>
      <c r="J997" s="35" t="str">
        <f aca="false">INDEX(Lookups_Metadata!$E$4:$E$10, MATCH(I997, Lookups_Metadata!$D$4:$D$10, 0))</f>
        <v>Monday</v>
      </c>
      <c r="K997" s="35" t="str">
        <f aca="false">IF(H997=TRUE(), "Holiday", IF(OR(I997=0, I997=6), "Weekend", "Weekday"))</f>
        <v>Weekday</v>
      </c>
      <c r="L997" s="35" t="str">
        <f aca="false">IF(AND(K997="Weekday", OR(AND(G997&gt;=7, G997&lt;=9), AND(G997&gt;=17, G997&lt;=19))), "Peak Commute", "Off-Peak")</f>
        <v>Off-Peak</v>
      </c>
      <c r="M997" s="37" t="n">
        <v>1</v>
      </c>
      <c r="N997" s="35" t="str">
        <f aca="false">VLOOKUP(M997, Lookups_Metadata!$G$4:$H$7, 2, FALSE())</f>
        <v>Clear / Few Clouds</v>
      </c>
      <c r="O997" s="40" t="n">
        <v>0.38</v>
      </c>
      <c r="P997" s="40" t="n">
        <v>0.3939</v>
      </c>
      <c r="Q997" s="40" t="n">
        <f aca="false">IF(OR(P997="", ISBLANK(P997)), ROUND(0.9367*O997+0.0175, 4), P997)</f>
        <v>0.3939</v>
      </c>
      <c r="R997" s="35" t="str">
        <f aca="false">IF(OR(P997="", ISBLANK(P997)), "Imputed (Regression/Trend)", "Original")</f>
        <v>Original</v>
      </c>
      <c r="S997" s="40" t="n">
        <v>0.37</v>
      </c>
      <c r="T997" s="40" t="n">
        <v>0.3582</v>
      </c>
      <c r="U997" s="41" t="n">
        <v>3</v>
      </c>
      <c r="V997" s="41" t="n">
        <v>8</v>
      </c>
      <c r="W997" s="41" t="n">
        <f aca="false">U997+V997</f>
        <v>11</v>
      </c>
      <c r="X997" s="42" t="n">
        <f aca="false">U997/W997</f>
        <v>0.272727272727273</v>
      </c>
      <c r="Y997" s="42" t="n">
        <f aca="false">V997/W997</f>
        <v>0.727272727272727</v>
      </c>
      <c r="Z997" s="35" t="str">
        <f aca="false">IF(W997&gt;=150, "High Demand", IF(W997&gt;=50, "Moderate Demand", "Low Demand"))</f>
        <v>Low Demand</v>
      </c>
      <c r="AA997" s="39" t="str">
        <f aca="false">TEXT(G997, "00") &amp; ":00"</f>
        <v>00:00</v>
      </c>
      <c r="AB997" s="37" t="n">
        <f aca="false">YEAR(B997)</f>
        <v>2011</v>
      </c>
      <c r="AC997" s="35" t="str">
        <f aca="false">TEXT(B997, "mmmm")</f>
        <v>February</v>
      </c>
      <c r="AD997" s="37" t="n">
        <f aca="false">LEN(TEXT(B997, "YYYY-MM-DD"))</f>
        <v>10</v>
      </c>
      <c r="AE997" s="39" t="str">
        <f aca="false">LEFT(TEXT(B997, "YYYY-MM-DD"), 4)</f>
        <v>2011</v>
      </c>
      <c r="AF997" s="39" t="str">
        <f aca="false">RIGHT(TEXT(B997, "YYYY-MM-DD"), 2)</f>
        <v>14</v>
      </c>
    </row>
    <row r="998" customFormat="false" ht="15" hidden="false" customHeight="false" outlineLevel="0" collapsed="false">
      <c r="A998" s="43" t="n">
        <v>994</v>
      </c>
      <c r="B998" s="44" t="s">
        <v>128</v>
      </c>
      <c r="C998" s="43" t="n">
        <v>1</v>
      </c>
      <c r="D998" s="33" t="str">
        <f aca="false">VLOOKUP(C998, Lookups_Metadata!$A$4:$B$7, 2, FALSE())</f>
        <v>Spring</v>
      </c>
      <c r="E998" s="43" t="n">
        <v>0</v>
      </c>
      <c r="F998" s="43" t="n">
        <v>2</v>
      </c>
      <c r="G998" s="43" t="n">
        <v>1</v>
      </c>
      <c r="H998" s="45" t="b">
        <f aca="false">FALSE()</f>
        <v>0</v>
      </c>
      <c r="I998" s="43" t="n">
        <v>1</v>
      </c>
      <c r="J998" s="33" t="str">
        <f aca="false">INDEX(Lookups_Metadata!$E$4:$E$10, MATCH(I998, Lookups_Metadata!$D$4:$D$10, 0))</f>
        <v>Monday</v>
      </c>
      <c r="K998" s="33" t="str">
        <f aca="false">IF(H998=TRUE(), "Holiday", IF(OR(I998=0, I998=6), "Weekend", "Weekday"))</f>
        <v>Weekday</v>
      </c>
      <c r="L998" s="33" t="str">
        <f aca="false">IF(AND(K998="Weekday", OR(AND(G998&gt;=7, G998&lt;=9), AND(G998&gt;=17, G998&lt;=19))), "Peak Commute", "Off-Peak")</f>
        <v>Off-Peak</v>
      </c>
      <c r="M998" s="43" t="n">
        <v>1</v>
      </c>
      <c r="N998" s="33" t="str">
        <f aca="false">VLOOKUP(M998, Lookups_Metadata!$G$4:$H$7, 2, FALSE())</f>
        <v>Clear / Few Clouds</v>
      </c>
      <c r="O998" s="46" t="n">
        <v>0.38</v>
      </c>
      <c r="P998" s="46" t="n">
        <v>0.3939</v>
      </c>
      <c r="Q998" s="46" t="n">
        <f aca="false">IF(OR(P998="", ISBLANK(P998)), ROUND(0.9367*O998+0.0175, 4), P998)</f>
        <v>0.3939</v>
      </c>
      <c r="R998" s="33" t="str">
        <f aca="false">IF(OR(P998="", ISBLANK(P998)), "Imputed (Regression/Trend)", "Original")</f>
        <v>Original</v>
      </c>
      <c r="S998" s="46" t="n">
        <v>0.37</v>
      </c>
      <c r="T998" s="46" t="n">
        <v>0.3582</v>
      </c>
      <c r="U998" s="18" t="n">
        <v>1</v>
      </c>
      <c r="V998" s="18" t="n">
        <v>6</v>
      </c>
      <c r="W998" s="18" t="n">
        <f aca="false">U998+V998</f>
        <v>7</v>
      </c>
      <c r="X998" s="47" t="n">
        <f aca="false">U998/W998</f>
        <v>0.142857142857143</v>
      </c>
      <c r="Y998" s="47" t="n">
        <f aca="false">V998/W998</f>
        <v>0.857142857142857</v>
      </c>
      <c r="Z998" s="33" t="str">
        <f aca="false">IF(W998&gt;=150, "High Demand", IF(W998&gt;=50, "Moderate Demand", "Low Demand"))</f>
        <v>Low Demand</v>
      </c>
      <c r="AA998" s="45" t="str">
        <f aca="false">TEXT(G998, "00") &amp; ":00"</f>
        <v>01:00</v>
      </c>
      <c r="AB998" s="43" t="n">
        <f aca="false">YEAR(B998)</f>
        <v>2011</v>
      </c>
      <c r="AC998" s="33" t="str">
        <f aca="false">TEXT(B998, "mmmm")</f>
        <v>February</v>
      </c>
      <c r="AD998" s="43" t="n">
        <f aca="false">LEN(TEXT(B998, "YYYY-MM-DD"))</f>
        <v>10</v>
      </c>
      <c r="AE998" s="45" t="str">
        <f aca="false">LEFT(TEXT(B998, "YYYY-MM-DD"), 4)</f>
        <v>2011</v>
      </c>
      <c r="AF998" s="45" t="str">
        <f aca="false">RIGHT(TEXT(B998, "YYYY-MM-DD"), 2)</f>
        <v>14</v>
      </c>
    </row>
    <row r="999" customFormat="false" ht="15" hidden="false" customHeight="false" outlineLevel="0" collapsed="false">
      <c r="A999" s="37" t="n">
        <v>995</v>
      </c>
      <c r="B999" s="38" t="s">
        <v>128</v>
      </c>
      <c r="C999" s="37" t="n">
        <v>1</v>
      </c>
      <c r="D999" s="35" t="str">
        <f aca="false">VLOOKUP(C999, Lookups_Metadata!$A$4:$B$7, 2, FALSE())</f>
        <v>Spring</v>
      </c>
      <c r="E999" s="37" t="n">
        <v>0</v>
      </c>
      <c r="F999" s="37" t="n">
        <v>2</v>
      </c>
      <c r="G999" s="37" t="n">
        <v>2</v>
      </c>
      <c r="H999" s="39" t="b">
        <f aca="false">FALSE()</f>
        <v>0</v>
      </c>
      <c r="I999" s="37" t="n">
        <v>1</v>
      </c>
      <c r="J999" s="35" t="str">
        <f aca="false">INDEX(Lookups_Metadata!$E$4:$E$10, MATCH(I999, Lookups_Metadata!$D$4:$D$10, 0))</f>
        <v>Monday</v>
      </c>
      <c r="K999" s="35" t="str">
        <f aca="false">IF(H999=TRUE(), "Holiday", IF(OR(I999=0, I999=6), "Weekend", "Weekday"))</f>
        <v>Weekday</v>
      </c>
      <c r="L999" s="35" t="str">
        <f aca="false">IF(AND(K999="Weekday", OR(AND(G999&gt;=7, G999&lt;=9), AND(G999&gt;=17, G999&lt;=19))), "Peak Commute", "Off-Peak")</f>
        <v>Off-Peak</v>
      </c>
      <c r="M999" s="37" t="n">
        <v>1</v>
      </c>
      <c r="N999" s="35" t="str">
        <f aca="false">VLOOKUP(M999, Lookups_Metadata!$G$4:$H$7, 2, FALSE())</f>
        <v>Clear / Few Clouds</v>
      </c>
      <c r="O999" s="40" t="n">
        <v>0.36</v>
      </c>
      <c r="P999" s="40" t="n">
        <v>0.3333</v>
      </c>
      <c r="Q999" s="40" t="n">
        <f aca="false">IF(OR(P999="", ISBLANK(P999)), ROUND(0.9367*O999+0.0175, 4), P999)</f>
        <v>0.3333</v>
      </c>
      <c r="R999" s="35" t="str">
        <f aca="false">IF(OR(P999="", ISBLANK(P999)), "Imputed (Regression/Trend)", "Original")</f>
        <v>Original</v>
      </c>
      <c r="S999" s="40" t="n">
        <v>0.4</v>
      </c>
      <c r="T999" s="40" t="n">
        <v>0.2985</v>
      </c>
      <c r="U999" s="41" t="n">
        <v>0</v>
      </c>
      <c r="V999" s="41" t="n">
        <v>2</v>
      </c>
      <c r="W999" s="41" t="n">
        <f aca="false">U999+V999</f>
        <v>2</v>
      </c>
      <c r="X999" s="42" t="n">
        <f aca="false">U999/W999</f>
        <v>0</v>
      </c>
      <c r="Y999" s="42" t="n">
        <f aca="false">V999/W999</f>
        <v>1</v>
      </c>
      <c r="Z999" s="35" t="str">
        <f aca="false">IF(W999&gt;=150, "High Demand", IF(W999&gt;=50, "Moderate Demand", "Low Demand"))</f>
        <v>Low Demand</v>
      </c>
      <c r="AA999" s="39" t="str">
        <f aca="false">TEXT(G999, "00") &amp; ":00"</f>
        <v>02:00</v>
      </c>
      <c r="AB999" s="37" t="n">
        <f aca="false">YEAR(B999)</f>
        <v>2011</v>
      </c>
      <c r="AC999" s="35" t="str">
        <f aca="false">TEXT(B999, "mmmm")</f>
        <v>February</v>
      </c>
      <c r="AD999" s="37" t="n">
        <f aca="false">LEN(TEXT(B999, "YYYY-MM-DD"))</f>
        <v>10</v>
      </c>
      <c r="AE999" s="39" t="str">
        <f aca="false">LEFT(TEXT(B999, "YYYY-MM-DD"), 4)</f>
        <v>2011</v>
      </c>
      <c r="AF999" s="39" t="str">
        <f aca="false">RIGHT(TEXT(B999, "YYYY-MM-DD"), 2)</f>
        <v>14</v>
      </c>
    </row>
    <row r="1000" customFormat="false" ht="15" hidden="false" customHeight="false" outlineLevel="0" collapsed="false">
      <c r="A1000" s="43" t="n">
        <v>996</v>
      </c>
      <c r="B1000" s="44" t="s">
        <v>128</v>
      </c>
      <c r="C1000" s="43" t="n">
        <v>1</v>
      </c>
      <c r="D1000" s="33" t="str">
        <f aca="false">VLOOKUP(C1000, Lookups_Metadata!$A$4:$B$7, 2, FALSE())</f>
        <v>Spring</v>
      </c>
      <c r="E1000" s="43" t="n">
        <v>0</v>
      </c>
      <c r="F1000" s="43" t="n">
        <v>2</v>
      </c>
      <c r="G1000" s="43" t="n">
        <v>3</v>
      </c>
      <c r="H1000" s="45" t="b">
        <f aca="false">FALSE()</f>
        <v>0</v>
      </c>
      <c r="I1000" s="43" t="n">
        <v>1</v>
      </c>
      <c r="J1000" s="33" t="str">
        <f aca="false">INDEX(Lookups_Metadata!$E$4:$E$10, MATCH(I1000, Lookups_Metadata!$D$4:$D$10, 0))</f>
        <v>Monday</v>
      </c>
      <c r="K1000" s="33" t="str">
        <f aca="false">IF(H1000=TRUE(), "Holiday", IF(OR(I1000=0, I1000=6), "Weekend", "Weekday"))</f>
        <v>Weekday</v>
      </c>
      <c r="L1000" s="33" t="str">
        <f aca="false">IF(AND(K1000="Weekday", OR(AND(G1000&gt;=7, G1000&lt;=9), AND(G1000&gt;=17, G1000&lt;=19))), "Peak Commute", "Off-Peak")</f>
        <v>Off-Peak</v>
      </c>
      <c r="M1000" s="43" t="n">
        <v>1</v>
      </c>
      <c r="N1000" s="33" t="str">
        <f aca="false">VLOOKUP(M1000, Lookups_Metadata!$G$4:$H$7, 2, FALSE())</f>
        <v>Clear / Few Clouds</v>
      </c>
      <c r="O1000" s="46" t="n">
        <v>0.34</v>
      </c>
      <c r="P1000" s="46" t="n">
        <v>0.3182</v>
      </c>
      <c r="Q1000" s="46" t="n">
        <f aca="false">IF(OR(P1000="", ISBLANK(P1000)), ROUND(0.9367*O1000+0.0175, 4), P1000)</f>
        <v>0.3182</v>
      </c>
      <c r="R1000" s="33" t="str">
        <f aca="false">IF(OR(P1000="", ISBLANK(P1000)), "Imputed (Regression/Trend)", "Original")</f>
        <v>Original</v>
      </c>
      <c r="S1000" s="46" t="n">
        <v>0.46</v>
      </c>
      <c r="T1000" s="46" t="n">
        <v>0.2239</v>
      </c>
      <c r="U1000" s="18" t="n">
        <v>1</v>
      </c>
      <c r="V1000" s="18" t="n">
        <v>1</v>
      </c>
      <c r="W1000" s="18" t="n">
        <f aca="false">U1000+V1000</f>
        <v>2</v>
      </c>
      <c r="X1000" s="47" t="n">
        <f aca="false">U1000/W1000</f>
        <v>0.5</v>
      </c>
      <c r="Y1000" s="47" t="n">
        <f aca="false">V1000/W1000</f>
        <v>0.5</v>
      </c>
      <c r="Z1000" s="33" t="str">
        <f aca="false">IF(W1000&gt;=150, "High Demand", IF(W1000&gt;=50, "Moderate Demand", "Low Demand"))</f>
        <v>Low Demand</v>
      </c>
      <c r="AA1000" s="45" t="str">
        <f aca="false">TEXT(G1000, "00") &amp; ":00"</f>
        <v>03:00</v>
      </c>
      <c r="AB1000" s="43" t="n">
        <f aca="false">YEAR(B1000)</f>
        <v>2011</v>
      </c>
      <c r="AC1000" s="33" t="str">
        <f aca="false">TEXT(B1000, "mmmm")</f>
        <v>February</v>
      </c>
      <c r="AD1000" s="43" t="n">
        <f aca="false">LEN(TEXT(B1000, "YYYY-MM-DD"))</f>
        <v>10</v>
      </c>
      <c r="AE1000" s="45" t="str">
        <f aca="false">LEFT(TEXT(B1000, "YYYY-MM-DD"), 4)</f>
        <v>2011</v>
      </c>
      <c r="AF1000" s="45" t="str">
        <f aca="false">RIGHT(TEXT(B1000, "YYYY-MM-DD"), 2)</f>
        <v>14</v>
      </c>
    </row>
    <row r="1001" customFormat="false" ht="15" hidden="false" customHeight="false" outlineLevel="0" collapsed="false">
      <c r="A1001" s="37" t="n">
        <v>997</v>
      </c>
      <c r="B1001" s="38" t="s">
        <v>128</v>
      </c>
      <c r="C1001" s="37" t="n">
        <v>1</v>
      </c>
      <c r="D1001" s="35" t="str">
        <f aca="false">VLOOKUP(C1001, Lookups_Metadata!$A$4:$B$7, 2, FALSE())</f>
        <v>Spring</v>
      </c>
      <c r="E1001" s="37" t="n">
        <v>0</v>
      </c>
      <c r="F1001" s="37" t="n">
        <v>2</v>
      </c>
      <c r="G1001" s="37" t="n">
        <v>4</v>
      </c>
      <c r="H1001" s="39" t="b">
        <f aca="false">FALSE()</f>
        <v>0</v>
      </c>
      <c r="I1001" s="37" t="n">
        <v>1</v>
      </c>
      <c r="J1001" s="35" t="str">
        <f aca="false">INDEX(Lookups_Metadata!$E$4:$E$10, MATCH(I1001, Lookups_Metadata!$D$4:$D$10, 0))</f>
        <v>Monday</v>
      </c>
      <c r="K1001" s="35" t="str">
        <f aca="false">IF(H1001=TRUE(), "Holiday", IF(OR(I1001=0, I1001=6), "Weekend", "Weekday"))</f>
        <v>Weekday</v>
      </c>
      <c r="L1001" s="35" t="str">
        <f aca="false">IF(AND(K1001="Weekday", OR(AND(G1001&gt;=7, G1001&lt;=9), AND(G1001&gt;=17, G1001&lt;=19))), "Peak Commute", "Off-Peak")</f>
        <v>Off-Peak</v>
      </c>
      <c r="M1001" s="37" t="n">
        <v>1</v>
      </c>
      <c r="N1001" s="35" t="str">
        <f aca="false">VLOOKUP(M1001, Lookups_Metadata!$G$4:$H$7, 2, FALSE())</f>
        <v>Clear / Few Clouds</v>
      </c>
      <c r="O1001" s="40" t="n">
        <v>0.32</v>
      </c>
      <c r="P1001" s="40" t="n">
        <v>0.303</v>
      </c>
      <c r="Q1001" s="40" t="n">
        <f aca="false">IF(OR(P1001="", ISBLANK(P1001)), ROUND(0.9367*O1001+0.0175, 4), P1001)</f>
        <v>0.303</v>
      </c>
      <c r="R1001" s="35" t="str">
        <f aca="false">IF(OR(P1001="", ISBLANK(P1001)), "Imputed (Regression/Trend)", "Original")</f>
        <v>Original</v>
      </c>
      <c r="S1001" s="40" t="n">
        <v>0.53</v>
      </c>
      <c r="T1001" s="40" t="n">
        <v>0.2836</v>
      </c>
      <c r="U1001" s="41" t="n">
        <v>0</v>
      </c>
      <c r="V1001" s="41" t="n">
        <v>2</v>
      </c>
      <c r="W1001" s="41" t="n">
        <f aca="false">U1001+V1001</f>
        <v>2</v>
      </c>
      <c r="X1001" s="42" t="n">
        <f aca="false">U1001/W1001</f>
        <v>0</v>
      </c>
      <c r="Y1001" s="42" t="n">
        <f aca="false">V1001/W1001</f>
        <v>1</v>
      </c>
      <c r="Z1001" s="35" t="str">
        <f aca="false">IF(W1001&gt;=150, "High Demand", IF(W1001&gt;=50, "Moderate Demand", "Low Demand"))</f>
        <v>Low Demand</v>
      </c>
      <c r="AA1001" s="39" t="str">
        <f aca="false">TEXT(G1001, "00") &amp; ":00"</f>
        <v>04:00</v>
      </c>
      <c r="AB1001" s="37" t="n">
        <f aca="false">YEAR(B1001)</f>
        <v>2011</v>
      </c>
      <c r="AC1001" s="35" t="str">
        <f aca="false">TEXT(B1001, "mmmm")</f>
        <v>February</v>
      </c>
      <c r="AD1001" s="37" t="n">
        <f aca="false">LEN(TEXT(B1001, "YYYY-MM-DD"))</f>
        <v>10</v>
      </c>
      <c r="AE1001" s="39" t="str">
        <f aca="false">LEFT(TEXT(B1001, "YYYY-MM-DD"), 4)</f>
        <v>2011</v>
      </c>
      <c r="AF1001" s="39" t="str">
        <f aca="false">RIGHT(TEXT(B1001, "YYYY-MM-DD"), 2)</f>
        <v>14</v>
      </c>
    </row>
    <row r="1002" customFormat="false" ht="15" hidden="false" customHeight="false" outlineLevel="0" collapsed="false">
      <c r="A1002" s="43" t="n">
        <v>998</v>
      </c>
      <c r="B1002" s="44" t="s">
        <v>128</v>
      </c>
      <c r="C1002" s="43" t="n">
        <v>1</v>
      </c>
      <c r="D1002" s="33" t="str">
        <f aca="false">VLOOKUP(C1002, Lookups_Metadata!$A$4:$B$7, 2, FALSE())</f>
        <v>Spring</v>
      </c>
      <c r="E1002" s="43" t="n">
        <v>0</v>
      </c>
      <c r="F1002" s="43" t="n">
        <v>2</v>
      </c>
      <c r="G1002" s="43" t="n">
        <v>5</v>
      </c>
      <c r="H1002" s="45" t="b">
        <f aca="false">FALSE()</f>
        <v>0</v>
      </c>
      <c r="I1002" s="43" t="n">
        <v>1</v>
      </c>
      <c r="J1002" s="33" t="str">
        <f aca="false">INDEX(Lookups_Metadata!$E$4:$E$10, MATCH(I1002, Lookups_Metadata!$D$4:$D$10, 0))</f>
        <v>Monday</v>
      </c>
      <c r="K1002" s="33" t="str">
        <f aca="false">IF(H1002=TRUE(), "Holiday", IF(OR(I1002=0, I1002=6), "Weekend", "Weekday"))</f>
        <v>Weekday</v>
      </c>
      <c r="L1002" s="33" t="str">
        <f aca="false">IF(AND(K1002="Weekday", OR(AND(G1002&gt;=7, G1002&lt;=9), AND(G1002&gt;=17, G1002&lt;=19))), "Peak Commute", "Off-Peak")</f>
        <v>Off-Peak</v>
      </c>
      <c r="M1002" s="43" t="n">
        <v>1</v>
      </c>
      <c r="N1002" s="33" t="str">
        <f aca="false">VLOOKUP(M1002, Lookups_Metadata!$G$4:$H$7, 2, FALSE())</f>
        <v>Clear / Few Clouds</v>
      </c>
      <c r="O1002" s="46" t="n">
        <v>0.32</v>
      </c>
      <c r="P1002" s="46" t="n">
        <v>0.303</v>
      </c>
      <c r="Q1002" s="46" t="n">
        <f aca="false">IF(OR(P1002="", ISBLANK(P1002)), ROUND(0.9367*O1002+0.0175, 4), P1002)</f>
        <v>0.303</v>
      </c>
      <c r="R1002" s="33" t="str">
        <f aca="false">IF(OR(P1002="", ISBLANK(P1002)), "Imputed (Regression/Trend)", "Original")</f>
        <v>Original</v>
      </c>
      <c r="S1002" s="46" t="n">
        <v>0.53</v>
      </c>
      <c r="T1002" s="46" t="n">
        <v>0.2836</v>
      </c>
      <c r="U1002" s="18" t="n">
        <v>0</v>
      </c>
      <c r="V1002" s="18" t="n">
        <v>3</v>
      </c>
      <c r="W1002" s="18" t="n">
        <f aca="false">U1002+V1002</f>
        <v>3</v>
      </c>
      <c r="X1002" s="47" t="n">
        <f aca="false">U1002/W1002</f>
        <v>0</v>
      </c>
      <c r="Y1002" s="47" t="n">
        <f aca="false">V1002/W1002</f>
        <v>1</v>
      </c>
      <c r="Z1002" s="33" t="str">
        <f aca="false">IF(W1002&gt;=150, "High Demand", IF(W1002&gt;=50, "Moderate Demand", "Low Demand"))</f>
        <v>Low Demand</v>
      </c>
      <c r="AA1002" s="45" t="str">
        <f aca="false">TEXT(G1002, "00") &amp; ":00"</f>
        <v>05:00</v>
      </c>
      <c r="AB1002" s="43" t="n">
        <f aca="false">YEAR(B1002)</f>
        <v>2011</v>
      </c>
      <c r="AC1002" s="33" t="str">
        <f aca="false">TEXT(B1002, "mmmm")</f>
        <v>February</v>
      </c>
      <c r="AD1002" s="43" t="n">
        <f aca="false">LEN(TEXT(B1002, "YYYY-MM-DD"))</f>
        <v>10</v>
      </c>
      <c r="AE1002" s="45" t="str">
        <f aca="false">LEFT(TEXT(B1002, "YYYY-MM-DD"), 4)</f>
        <v>2011</v>
      </c>
      <c r="AF1002" s="45" t="str">
        <f aca="false">RIGHT(TEXT(B1002, "YYYY-MM-DD"), 2)</f>
        <v>14</v>
      </c>
    </row>
    <row r="1003" customFormat="false" ht="15" hidden="false" customHeight="false" outlineLevel="0" collapsed="false">
      <c r="A1003" s="37" t="n">
        <v>999</v>
      </c>
      <c r="B1003" s="38" t="s">
        <v>128</v>
      </c>
      <c r="C1003" s="37" t="n">
        <v>1</v>
      </c>
      <c r="D1003" s="35" t="str">
        <f aca="false">VLOOKUP(C1003, Lookups_Metadata!$A$4:$B$7, 2, FALSE())</f>
        <v>Spring</v>
      </c>
      <c r="E1003" s="37" t="n">
        <v>0</v>
      </c>
      <c r="F1003" s="37" t="n">
        <v>2</v>
      </c>
      <c r="G1003" s="37" t="n">
        <v>6</v>
      </c>
      <c r="H1003" s="39" t="b">
        <f aca="false">FALSE()</f>
        <v>0</v>
      </c>
      <c r="I1003" s="37" t="n">
        <v>1</v>
      </c>
      <c r="J1003" s="35" t="str">
        <f aca="false">INDEX(Lookups_Metadata!$E$4:$E$10, MATCH(I1003, Lookups_Metadata!$D$4:$D$10, 0))</f>
        <v>Monday</v>
      </c>
      <c r="K1003" s="35" t="str">
        <f aca="false">IF(H1003=TRUE(), "Holiday", IF(OR(I1003=0, I1003=6), "Weekend", "Weekday"))</f>
        <v>Weekday</v>
      </c>
      <c r="L1003" s="35" t="str">
        <f aca="false">IF(AND(K1003="Weekday", OR(AND(G1003&gt;=7, G1003&lt;=9), AND(G1003&gt;=17, G1003&lt;=19))), "Peak Commute", "Off-Peak")</f>
        <v>Off-Peak</v>
      </c>
      <c r="M1003" s="37" t="n">
        <v>1</v>
      </c>
      <c r="N1003" s="35" t="str">
        <f aca="false">VLOOKUP(M1003, Lookups_Metadata!$G$4:$H$7, 2, FALSE())</f>
        <v>Clear / Few Clouds</v>
      </c>
      <c r="O1003" s="40" t="n">
        <v>0.34</v>
      </c>
      <c r="P1003" s="40" t="n">
        <v>0.303</v>
      </c>
      <c r="Q1003" s="40" t="n">
        <f aca="false">IF(OR(P1003="", ISBLANK(P1003)), ROUND(0.9367*O1003+0.0175, 4), P1003)</f>
        <v>0.303</v>
      </c>
      <c r="R1003" s="35" t="str">
        <f aca="false">IF(OR(P1003="", ISBLANK(P1003)), "Imputed (Regression/Trend)", "Original")</f>
        <v>Original</v>
      </c>
      <c r="S1003" s="40" t="n">
        <v>0.46</v>
      </c>
      <c r="T1003" s="40" t="n">
        <v>0.2985</v>
      </c>
      <c r="U1003" s="41" t="n">
        <v>1</v>
      </c>
      <c r="V1003" s="41" t="n">
        <v>25</v>
      </c>
      <c r="W1003" s="41" t="n">
        <f aca="false">U1003+V1003</f>
        <v>26</v>
      </c>
      <c r="X1003" s="42" t="n">
        <f aca="false">U1003/W1003</f>
        <v>0.0384615384615385</v>
      </c>
      <c r="Y1003" s="42" t="n">
        <f aca="false">V1003/W1003</f>
        <v>0.961538461538462</v>
      </c>
      <c r="Z1003" s="35" t="str">
        <f aca="false">IF(W1003&gt;=150, "High Demand", IF(W1003&gt;=50, "Moderate Demand", "Low Demand"))</f>
        <v>Low Demand</v>
      </c>
      <c r="AA1003" s="39" t="str">
        <f aca="false">TEXT(G1003, "00") &amp; ":00"</f>
        <v>06:00</v>
      </c>
      <c r="AB1003" s="37" t="n">
        <f aca="false">YEAR(B1003)</f>
        <v>2011</v>
      </c>
      <c r="AC1003" s="35" t="str">
        <f aca="false">TEXT(B1003, "mmmm")</f>
        <v>February</v>
      </c>
      <c r="AD1003" s="37" t="n">
        <f aca="false">LEN(TEXT(B1003, "YYYY-MM-DD"))</f>
        <v>10</v>
      </c>
      <c r="AE1003" s="39" t="str">
        <f aca="false">LEFT(TEXT(B1003, "YYYY-MM-DD"), 4)</f>
        <v>2011</v>
      </c>
      <c r="AF1003" s="39" t="str">
        <f aca="false">RIGHT(TEXT(B1003, "YYYY-MM-DD"), 2)</f>
        <v>14</v>
      </c>
    </row>
    <row r="1004" customFormat="false" ht="15" hidden="false" customHeight="false" outlineLevel="0" collapsed="false">
      <c r="A1004" s="43" t="n">
        <v>1000</v>
      </c>
      <c r="B1004" s="44" t="s">
        <v>128</v>
      </c>
      <c r="C1004" s="43" t="n">
        <v>1</v>
      </c>
      <c r="D1004" s="33" t="str">
        <f aca="false">VLOOKUP(C1004, Lookups_Metadata!$A$4:$B$7, 2, FALSE())</f>
        <v>Spring</v>
      </c>
      <c r="E1004" s="43" t="n">
        <v>0</v>
      </c>
      <c r="F1004" s="43" t="n">
        <v>2</v>
      </c>
      <c r="G1004" s="43" t="n">
        <v>7</v>
      </c>
      <c r="H1004" s="45" t="b">
        <f aca="false">FALSE()</f>
        <v>0</v>
      </c>
      <c r="I1004" s="43" t="n">
        <v>1</v>
      </c>
      <c r="J1004" s="33" t="str">
        <f aca="false">INDEX(Lookups_Metadata!$E$4:$E$10, MATCH(I1004, Lookups_Metadata!$D$4:$D$10, 0))</f>
        <v>Monday</v>
      </c>
      <c r="K1004" s="33" t="str">
        <f aca="false">IF(H1004=TRUE(), "Holiday", IF(OR(I1004=0, I1004=6), "Weekend", "Weekday"))</f>
        <v>Weekday</v>
      </c>
      <c r="L1004" s="33" t="str">
        <f aca="false">IF(AND(K1004="Weekday", OR(AND(G1004&gt;=7, G1004&lt;=9), AND(G1004&gt;=17, G1004&lt;=19))), "Peak Commute", "Off-Peak")</f>
        <v>Peak Commute</v>
      </c>
      <c r="M1004" s="43" t="n">
        <v>1</v>
      </c>
      <c r="N1004" s="33" t="str">
        <f aca="false">VLOOKUP(M1004, Lookups_Metadata!$G$4:$H$7, 2, FALSE())</f>
        <v>Clear / Few Clouds</v>
      </c>
      <c r="O1004" s="46" t="n">
        <v>0.34</v>
      </c>
      <c r="P1004" s="46" t="n">
        <v>0.303</v>
      </c>
      <c r="Q1004" s="46" t="n">
        <f aca="false">IF(OR(P1004="", ISBLANK(P1004)), ROUND(0.9367*O1004+0.0175, 4), P1004)</f>
        <v>0.303</v>
      </c>
      <c r="R1004" s="33" t="str">
        <f aca="false">IF(OR(P1004="", ISBLANK(P1004)), "Imputed (Regression/Trend)", "Original")</f>
        <v>Original</v>
      </c>
      <c r="S1004" s="46" t="n">
        <v>0.46</v>
      </c>
      <c r="T1004" s="46" t="n">
        <v>0.2985</v>
      </c>
      <c r="U1004" s="18" t="n">
        <v>2</v>
      </c>
      <c r="V1004" s="18" t="n">
        <v>96</v>
      </c>
      <c r="W1004" s="18" t="n">
        <f aca="false">U1004+V1004</f>
        <v>98</v>
      </c>
      <c r="X1004" s="47" t="n">
        <f aca="false">U1004/W1004</f>
        <v>0.0204081632653061</v>
      </c>
      <c r="Y1004" s="47" t="n">
        <f aca="false">V1004/W1004</f>
        <v>0.979591836734694</v>
      </c>
      <c r="Z1004" s="33" t="str">
        <f aca="false">IF(W1004&gt;=150, "High Demand", IF(W1004&gt;=50, "Moderate Demand", "Low Demand"))</f>
        <v>Moderate Demand</v>
      </c>
      <c r="AA1004" s="45" t="str">
        <f aca="false">TEXT(G1004, "00") &amp; ":00"</f>
        <v>07:00</v>
      </c>
      <c r="AB1004" s="43" t="n">
        <f aca="false">YEAR(B1004)</f>
        <v>2011</v>
      </c>
      <c r="AC1004" s="33" t="str">
        <f aca="false">TEXT(B1004, "mmmm")</f>
        <v>February</v>
      </c>
      <c r="AD1004" s="43" t="n">
        <f aca="false">LEN(TEXT(B1004, "YYYY-MM-DD"))</f>
        <v>10</v>
      </c>
      <c r="AE1004" s="45" t="str">
        <f aca="false">LEFT(TEXT(B1004, "YYYY-MM-DD"), 4)</f>
        <v>2011</v>
      </c>
      <c r="AF1004" s="45" t="str">
        <f aca="false">RIGHT(TEXT(B1004, "YYYY-MM-DD"), 2)</f>
        <v>14</v>
      </c>
    </row>
    <row r="1005" customFormat="false" ht="15" hidden="false" customHeight="false" outlineLevel="0" collapsed="false">
      <c r="A1005" s="48" t="s">
        <v>265</v>
      </c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9" t="n">
        <f aca="false">SUM(U5:U1004)</f>
        <v>4921</v>
      </c>
      <c r="V1005" s="49" t="n">
        <f aca="false">SUM(V5:V1004)</f>
        <v>53383</v>
      </c>
      <c r="W1005" s="49" t="n">
        <f aca="false">SUM(W5:W1004)</f>
        <v>58304</v>
      </c>
      <c r="X1005" s="50" t="n">
        <f aca="false">U1005/W1005</f>
        <v>0.0844024423710209</v>
      </c>
      <c r="Y1005" s="50" t="n">
        <f aca="false">V1005/W1005</f>
        <v>0.915597557628979</v>
      </c>
      <c r="Z1005" s="48"/>
      <c r="AA1005" s="48"/>
      <c r="AB1005" s="48"/>
      <c r="AC1005" s="48"/>
      <c r="AD1005" s="48"/>
      <c r="AE1005" s="48"/>
      <c r="AF1005" s="48"/>
    </row>
  </sheetData>
  <mergeCells count="2">
    <mergeCell ref="A1:AF1"/>
    <mergeCell ref="A2:A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  <extLst>
    <ext xmlns:x14="http://schemas.microsoft.com/office/spreadsheetml/2009/9/main" uri="{A8765BA9-456A-4dab-B4F3-ACF1056F45AB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3"/>
    <col collapsed="false" customWidth="true" hidden="false" outlineLevel="0" max="4" min="4" style="0" width="25"/>
    <col collapsed="false" customWidth="true" hidden="false" outlineLevel="0" max="5" min="5" style="0" width="29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2" t="s">
        <v>268</v>
      </c>
    </row>
    <row r="5" customFormat="false" ht="21.75" hidden="false" customHeight="true" outlineLevel="0" collapsed="false">
      <c r="A5" s="15" t="s">
        <v>269</v>
      </c>
      <c r="B5" s="15" t="s">
        <v>270</v>
      </c>
      <c r="C5" s="15" t="s">
        <v>271</v>
      </c>
      <c r="D5" s="15" t="s">
        <v>272</v>
      </c>
      <c r="E5" s="15" t="s">
        <v>273</v>
      </c>
      <c r="F5" s="15" t="s">
        <v>274</v>
      </c>
      <c r="G5" s="15" t="s">
        <v>275</v>
      </c>
      <c r="H5" s="15" t="s">
        <v>276</v>
      </c>
    </row>
    <row r="6" customFormat="false" ht="15" hidden="false" customHeight="false" outlineLevel="0" collapsed="false">
      <c r="A6" s="20" t="s">
        <v>277</v>
      </c>
      <c r="B6" s="18" t="n">
        <f aca="false">COUNT(Master_Cleaned_Data!O5:O1004)</f>
        <v>1000</v>
      </c>
      <c r="C6" s="18" t="n">
        <f aca="false">COUNT(Master_Cleaned_Data!Q5:Q1004)</f>
        <v>1000</v>
      </c>
      <c r="D6" s="18" t="n">
        <f aca="false">COUNT(Master_Cleaned_Data!S5:S1004)</f>
        <v>1000</v>
      </c>
      <c r="E6" s="18" t="n">
        <f aca="false">COUNT(Master_Cleaned_Data!T5:T1004)</f>
        <v>1000</v>
      </c>
      <c r="F6" s="18" t="n">
        <f aca="false">COUNT(Master_Cleaned_Data!U5:U1004)</f>
        <v>1000</v>
      </c>
      <c r="G6" s="18" t="n">
        <f aca="false">COUNT(Master_Cleaned_Data!V5:V1004)</f>
        <v>1000</v>
      </c>
      <c r="H6" s="18" t="n">
        <f aca="false">COUNT(Master_Cleaned_Data!W5:W1004)</f>
        <v>1000</v>
      </c>
    </row>
    <row r="7" customFormat="false" ht="15" hidden="false" customHeight="false" outlineLevel="0" collapsed="false">
      <c r="A7" s="51" t="s">
        <v>278</v>
      </c>
      <c r="B7" s="52" t="n">
        <f aca="false">SUM(Master_Cleaned_Data!O5:O1004)</f>
        <v>205.9</v>
      </c>
      <c r="C7" s="52" t="n">
        <f aca="false">SUM(Master_Cleaned_Data!Q5:Q1004)</f>
        <v>213.0409</v>
      </c>
      <c r="D7" s="52" t="n">
        <f aca="false">SUM(Master_Cleaned_Data!S5:S1004)</f>
        <v>582.48</v>
      </c>
      <c r="E7" s="52" t="n">
        <f aca="false">SUM(Master_Cleaned_Data!T5:T1004)</f>
        <v>194.9313</v>
      </c>
      <c r="F7" s="41" t="n">
        <f aca="false">SUM(Master_Cleaned_Data!U5:U1004)</f>
        <v>4921</v>
      </c>
      <c r="G7" s="41" t="n">
        <f aca="false">SUM(Master_Cleaned_Data!V5:V1004)</f>
        <v>53383</v>
      </c>
      <c r="H7" s="41" t="n">
        <f aca="false">SUM(Master_Cleaned_Data!W5:W1004)</f>
        <v>58304</v>
      </c>
    </row>
    <row r="8" customFormat="false" ht="15" hidden="false" customHeight="false" outlineLevel="0" collapsed="false">
      <c r="A8" s="20" t="s">
        <v>279</v>
      </c>
      <c r="B8" s="46" t="n">
        <f aca="false">AVERAGE(Master_Cleaned_Data!O5:O1004)</f>
        <v>0.2059</v>
      </c>
      <c r="C8" s="46" t="n">
        <f aca="false">AVERAGE(Master_Cleaned_Data!Q5:Q1004)</f>
        <v>0.2130409</v>
      </c>
      <c r="D8" s="46" t="n">
        <f aca="false">AVERAGE(Master_Cleaned_Data!S5:S1004)</f>
        <v>0.58248</v>
      </c>
      <c r="E8" s="46" t="n">
        <f aca="false">AVERAGE(Master_Cleaned_Data!T5:T1004)</f>
        <v>0.1949313</v>
      </c>
      <c r="F8" s="53" t="n">
        <f aca="false">AVERAGE(Master_Cleaned_Data!U5:U1004)</f>
        <v>4.921</v>
      </c>
      <c r="G8" s="53" t="n">
        <f aca="false">AVERAGE(Master_Cleaned_Data!V5:V1004)</f>
        <v>53.383</v>
      </c>
      <c r="H8" s="53" t="n">
        <f aca="false">AVERAGE(Master_Cleaned_Data!W5:W1004)</f>
        <v>58.304</v>
      </c>
    </row>
    <row r="9" customFormat="false" ht="15" hidden="false" customHeight="false" outlineLevel="0" collapsed="false">
      <c r="A9" s="51" t="s">
        <v>280</v>
      </c>
      <c r="B9" s="40" t="n">
        <f aca="false">MEDIAN(Master_Cleaned_Data!O5:O1004)</f>
        <v>0.2</v>
      </c>
      <c r="C9" s="40" t="n">
        <f aca="false">MEDIAN(Master_Cleaned_Data!Q5:Q1004)</f>
        <v>0.2121</v>
      </c>
      <c r="D9" s="40" t="n">
        <f aca="false">MEDIAN(Master_Cleaned_Data!S5:S1004)</f>
        <v>0.55</v>
      </c>
      <c r="E9" s="40" t="n">
        <f aca="false">MEDIAN(Master_Cleaned_Data!T5:T1004)</f>
        <v>0.1642</v>
      </c>
      <c r="F9" s="52" t="n">
        <f aca="false">MEDIAN(Master_Cleaned_Data!U5:U1004)</f>
        <v>3</v>
      </c>
      <c r="G9" s="52" t="n">
        <f aca="false">MEDIAN(Master_Cleaned_Data!V5:V1004)</f>
        <v>46</v>
      </c>
      <c r="H9" s="52" t="n">
        <f aca="false">MEDIAN(Master_Cleaned_Data!W5:W1004)</f>
        <v>49</v>
      </c>
    </row>
    <row r="10" customFormat="false" ht="15" hidden="false" customHeight="false" outlineLevel="0" collapsed="false">
      <c r="A10" s="20" t="s">
        <v>281</v>
      </c>
      <c r="B10" s="46" t="n">
        <f aca="false">MIN(Master_Cleaned_Data!O5:O1004)</f>
        <v>0.02</v>
      </c>
      <c r="C10" s="46" t="n">
        <f aca="false">MIN(Master_Cleaned_Data!Q5:Q1004)</f>
        <v>0</v>
      </c>
      <c r="D10" s="46" t="n">
        <f aca="false">MIN(Master_Cleaned_Data!S5:S1004)</f>
        <v>0.21</v>
      </c>
      <c r="E10" s="46" t="n">
        <f aca="false">MIN(Master_Cleaned_Data!T5:T1004)</f>
        <v>0</v>
      </c>
      <c r="F10" s="18" t="n">
        <f aca="false">MIN(Master_Cleaned_Data!U5:U1004)</f>
        <v>0</v>
      </c>
      <c r="G10" s="18" t="n">
        <f aca="false">MIN(Master_Cleaned_Data!V5:V1004)</f>
        <v>0</v>
      </c>
      <c r="H10" s="18" t="n">
        <f aca="false">MIN(Master_Cleaned_Data!W5:W1004)</f>
        <v>1</v>
      </c>
    </row>
    <row r="11" customFormat="false" ht="15" hidden="false" customHeight="false" outlineLevel="0" collapsed="false">
      <c r="A11" s="51" t="s">
        <v>282</v>
      </c>
      <c r="B11" s="40" t="n">
        <f aca="false">MAX(Master_Cleaned_Data!O5:O1004)</f>
        <v>0.46</v>
      </c>
      <c r="C11" s="40" t="n">
        <f aca="false">MAX(Master_Cleaned_Data!Q5:Q1004)</f>
        <v>0.4545</v>
      </c>
      <c r="D11" s="40" t="n">
        <f aca="false">MAX(Master_Cleaned_Data!S5:S1004)</f>
        <v>1</v>
      </c>
      <c r="E11" s="40" t="n">
        <f aca="false">MAX(Master_Cleaned_Data!T5:T1004)</f>
        <v>0.5821</v>
      </c>
      <c r="F11" s="41" t="n">
        <f aca="false">MAX(Master_Cleaned_Data!U5:U1004)</f>
        <v>62</v>
      </c>
      <c r="G11" s="41" t="n">
        <f aca="false">MAX(Master_Cleaned_Data!V5:V1004)</f>
        <v>247</v>
      </c>
      <c r="H11" s="41" t="n">
        <f aca="false">MAX(Master_Cleaned_Data!W5:W1004)</f>
        <v>249</v>
      </c>
    </row>
    <row r="12" customFormat="false" ht="15" hidden="false" customHeight="false" outlineLevel="0" collapsed="false">
      <c r="A12" s="20" t="s">
        <v>283</v>
      </c>
      <c r="B12" s="46" t="n">
        <f aca="false">STDEV(Master_Cleaned_Data!O5:O1004)</f>
        <v>0.078977385544391</v>
      </c>
      <c r="C12" s="46" t="n">
        <f aca="false">STDEV(Master_Cleaned_Data!Q5:Q1004)</f>
        <v>0.0776828886459456</v>
      </c>
      <c r="D12" s="46" t="n">
        <f aca="false">STDEV(Master_Cleaned_Data!S5:S1004)</f>
        <v>0.18797708632965</v>
      </c>
      <c r="E12" s="46" t="n">
        <f aca="false">STDEV(Master_Cleaned_Data!T5:T1004)</f>
        <v>0.129126066273628</v>
      </c>
      <c r="F12" s="53" t="n">
        <f aca="false">STDEV(Master_Cleaned_Data!U5:U1004)</f>
        <v>7.64389875575208</v>
      </c>
      <c r="G12" s="53" t="n">
        <f aca="false">STDEV(Master_Cleaned_Data!V5:V1004)</f>
        <v>47.8939677114263</v>
      </c>
      <c r="H12" s="53" t="n">
        <f aca="false">STDEV(Master_Cleaned_Data!W5:W1004)</f>
        <v>50.9855578679994</v>
      </c>
    </row>
    <row r="13" customFormat="false" ht="15" hidden="false" customHeight="false" outlineLevel="0" collapsed="false">
      <c r="A13" s="51" t="s">
        <v>284</v>
      </c>
      <c r="B13" s="40" t="n">
        <f aca="false">VAR(Master_Cleaned_Data!O5:O1004)</f>
        <v>0.00623742742742738</v>
      </c>
      <c r="C13" s="40" t="n">
        <f aca="false">VAR(Master_Cleaned_Data!Q5:Q1004)</f>
        <v>0.00603463118837838</v>
      </c>
      <c r="D13" s="40" t="n">
        <f aca="false">VAR(Master_Cleaned_Data!S5:S1004)</f>
        <v>0.0353353849849849</v>
      </c>
      <c r="E13" s="40" t="n">
        <f aca="false">VAR(Master_Cleaned_Data!T5:T1004)</f>
        <v>0.0166735409913013</v>
      </c>
      <c r="F13" s="52" t="n">
        <f aca="false">VAR(Master_Cleaned_Data!U5:U1004)</f>
        <v>58.4291881881881</v>
      </c>
      <c r="G13" s="52" t="n">
        <f aca="false">VAR(Master_Cleaned_Data!V5:V1004)</f>
        <v>2293.83214314314</v>
      </c>
      <c r="H13" s="52" t="n">
        <f aca="false">VAR(Master_Cleaned_Data!W5:W1004)</f>
        <v>2599.52711111112</v>
      </c>
    </row>
    <row r="14" customFormat="false" ht="15" hidden="false" customHeight="false" outlineLevel="0" collapsed="false">
      <c r="A14" s="20" t="s">
        <v>285</v>
      </c>
      <c r="B14" s="54" t="n">
        <f aca="false">SKEW(Master_Cleaned_Data!O5:O1004)</f>
        <v>0.547996882420348</v>
      </c>
      <c r="C14" s="54" t="n">
        <f aca="false">SKEW(Master_Cleaned_Data!Q5:Q1004)</f>
        <v>0.461245386523966</v>
      </c>
      <c r="D14" s="54" t="n">
        <f aca="false">SKEW(Master_Cleaned_Data!S5:S1004)</f>
        <v>0.436893464512826</v>
      </c>
      <c r="E14" s="54" t="n">
        <f aca="false">SKEW(Master_Cleaned_Data!T5:T1004)</f>
        <v>0.433675062468782</v>
      </c>
      <c r="F14" s="54" t="n">
        <f aca="false">SKEW(Master_Cleaned_Data!U5:U1004)</f>
        <v>3.41410504130664</v>
      </c>
      <c r="G14" s="54" t="n">
        <f aca="false">SKEW(Master_Cleaned_Data!V5:V1004)</f>
        <v>1.29672330463772</v>
      </c>
      <c r="H14" s="54" t="n">
        <f aca="false">SKEW(Master_Cleaned_Data!W5:W1004)</f>
        <v>1.13770912370013</v>
      </c>
    </row>
    <row r="16" customFormat="false" ht="15" hidden="false" customHeight="false" outlineLevel="0" collapsed="false">
      <c r="A16" s="32" t="s">
        <v>286</v>
      </c>
    </row>
    <row r="17" customFormat="false" ht="19.5" hidden="false" customHeight="true" outlineLevel="0" collapsed="false">
      <c r="A17" s="16" t="s">
        <v>287</v>
      </c>
      <c r="B17" s="16" t="s">
        <v>76</v>
      </c>
      <c r="C17" s="16" t="s">
        <v>106</v>
      </c>
      <c r="D17" s="16" t="s">
        <v>107</v>
      </c>
      <c r="E17" s="16" t="s">
        <v>108</v>
      </c>
      <c r="F17" s="16" t="s">
        <v>109</v>
      </c>
      <c r="G17" s="16" t="s">
        <v>110</v>
      </c>
      <c r="H17" s="16" t="s">
        <v>111</v>
      </c>
    </row>
    <row r="18" customFormat="false" ht="15" hidden="false" customHeight="false" outlineLevel="0" collapsed="false">
      <c r="A18" s="20" t="s">
        <v>288</v>
      </c>
      <c r="B18" s="55" t="n">
        <f aca="false">CORREL(Master_Cleaned_Data!$O$5:$O$1004, Master_Cleaned_Data!$O$5:$O$1004)</f>
        <v>1</v>
      </c>
      <c r="C18" s="46" t="n">
        <f aca="false">CORREL(Master_Cleaned_Data!$O$5:$O$1004, Master_Cleaned_Data!$Q$5:$Q$1004)</f>
        <v>0.934032981832496</v>
      </c>
      <c r="D18" s="46" t="n">
        <f aca="false">CORREL(Master_Cleaned_Data!$O$5:$O$1004, Master_Cleaned_Data!$S$5:$S$1004)</f>
        <v>0.0807201471628121</v>
      </c>
      <c r="E18" s="46" t="n">
        <f aca="false">CORREL(Master_Cleaned_Data!$O$5:$O$1004, Master_Cleaned_Data!$T$5:$T$1004)</f>
        <v>0.122625325629984</v>
      </c>
      <c r="F18" s="46" t="n">
        <f aca="false">CORREL(Master_Cleaned_Data!$O$5:$O$1004, Master_Cleaned_Data!$U$5:$U$1004)</f>
        <v>0.470220731601992</v>
      </c>
      <c r="G18" s="46" t="n">
        <f aca="false">CORREL(Master_Cleaned_Data!$O$5:$O$1004, Master_Cleaned_Data!$V$5:$V$1004)</f>
        <v>0.169045049097616</v>
      </c>
      <c r="H18" s="46" t="n">
        <f aca="false">CORREL(Master_Cleaned_Data!$O$5:$O$1004, Master_Cleaned_Data!$W$5:$W$1004)</f>
        <v>0.229291553869933</v>
      </c>
    </row>
    <row r="19" customFormat="false" ht="15" hidden="false" customHeight="false" outlineLevel="0" collapsed="false">
      <c r="A19" s="20" t="s">
        <v>289</v>
      </c>
      <c r="B19" s="46" t="n">
        <f aca="false">CORREL(Master_Cleaned_Data!$Q$5:$Q$1004, Master_Cleaned_Data!$O$5:$O$1004)</f>
        <v>0.934032981832496</v>
      </c>
      <c r="C19" s="55" t="n">
        <f aca="false">CORREL(Master_Cleaned_Data!$Q$5:$Q$1004, Master_Cleaned_Data!$Q$5:$Q$1004)</f>
        <v>1</v>
      </c>
      <c r="D19" s="46" t="n">
        <f aca="false">CORREL(Master_Cleaned_Data!$Q$5:$Q$1004, Master_Cleaned_Data!$S$5:$S$1004)</f>
        <v>0.206377740101297</v>
      </c>
      <c r="E19" s="46" t="n">
        <f aca="false">CORREL(Master_Cleaned_Data!$Q$5:$Q$1004, Master_Cleaned_Data!$T$5:$T$1004)</f>
        <v>-0.201736112528515</v>
      </c>
      <c r="F19" s="46" t="n">
        <f aca="false">CORREL(Master_Cleaned_Data!$Q$5:$Q$1004, Master_Cleaned_Data!$U$5:$U$1004)</f>
        <v>0.421637153947459</v>
      </c>
      <c r="G19" s="46" t="n">
        <f aca="false">CORREL(Master_Cleaned_Data!$Q$5:$Q$1004, Master_Cleaned_Data!$V$5:$V$1004)</f>
        <v>0.127515720397156</v>
      </c>
      <c r="H19" s="46" t="n">
        <f aca="false">CORREL(Master_Cleaned_Data!$Q$5:$Q$1004, Master_Cleaned_Data!$W$5:$W$1004)</f>
        <v>0.182996634772422</v>
      </c>
    </row>
    <row r="20" customFormat="false" ht="15" hidden="false" customHeight="false" outlineLevel="0" collapsed="false">
      <c r="A20" s="20" t="s">
        <v>290</v>
      </c>
      <c r="B20" s="46" t="n">
        <f aca="false">CORREL(Master_Cleaned_Data!$S$5:$S$1004, Master_Cleaned_Data!$O$5:$O$1004)</f>
        <v>0.0807201471628121</v>
      </c>
      <c r="C20" s="46" t="n">
        <f aca="false">CORREL(Master_Cleaned_Data!$S$5:$S$1004, Master_Cleaned_Data!$Q$5:$Q$1004)</f>
        <v>0.206377740101297</v>
      </c>
      <c r="D20" s="55" t="n">
        <f aca="false">CORREL(Master_Cleaned_Data!$S$5:$S$1004, Master_Cleaned_Data!$S$5:$S$1004)</f>
        <v>1</v>
      </c>
      <c r="E20" s="46" t="n">
        <f aca="false">CORREL(Master_Cleaned_Data!$S$5:$S$1004, Master_Cleaned_Data!$T$5:$T$1004)</f>
        <v>-0.385550347003589</v>
      </c>
      <c r="F20" s="46" t="n">
        <f aca="false">CORREL(Master_Cleaned_Data!$S$5:$S$1004, Master_Cleaned_Data!$U$5:$U$1004)</f>
        <v>-0.259407454542862</v>
      </c>
      <c r="G20" s="46" t="n">
        <f aca="false">CORREL(Master_Cleaned_Data!$S$5:$S$1004, Master_Cleaned_Data!$V$5:$V$1004)</f>
        <v>-0.229370440886245</v>
      </c>
      <c r="H20" s="46" t="n">
        <f aca="false">CORREL(Master_Cleaned_Data!$S$5:$S$1004, Master_Cleaned_Data!$W$5:$W$1004)</f>
        <v>-0.254353298287904</v>
      </c>
    </row>
    <row r="21" customFormat="false" ht="15" hidden="false" customHeight="false" outlineLevel="0" collapsed="false">
      <c r="A21" s="20" t="s">
        <v>291</v>
      </c>
      <c r="B21" s="46" t="n">
        <f aca="false">CORREL(Master_Cleaned_Data!$T$5:$T$1004, Master_Cleaned_Data!$O$5:$O$1004)</f>
        <v>0.122625325629984</v>
      </c>
      <c r="C21" s="46" t="n">
        <f aca="false">CORREL(Master_Cleaned_Data!$T$5:$T$1004, Master_Cleaned_Data!$Q$5:$Q$1004)</f>
        <v>-0.201736112528515</v>
      </c>
      <c r="D21" s="46" t="n">
        <f aca="false">CORREL(Master_Cleaned_Data!$T$5:$T$1004, Master_Cleaned_Data!$S$5:$S$1004)</f>
        <v>-0.385550347003589</v>
      </c>
      <c r="E21" s="55" t="n">
        <f aca="false">CORREL(Master_Cleaned_Data!$T$5:$T$1004, Master_Cleaned_Data!$T$5:$T$1004)</f>
        <v>1</v>
      </c>
      <c r="F21" s="46" t="n">
        <f aca="false">CORREL(Master_Cleaned_Data!$T$5:$T$1004, Master_Cleaned_Data!$U$5:$U$1004)</f>
        <v>0.129391942344876</v>
      </c>
      <c r="G21" s="46" t="n">
        <f aca="false">CORREL(Master_Cleaned_Data!$T$5:$T$1004, Master_Cleaned_Data!$V$5:$V$1004)</f>
        <v>0.0900587286793067</v>
      </c>
      <c r="H21" s="46" t="n">
        <f aca="false">CORREL(Master_Cleaned_Data!$T$5:$T$1004, Master_Cleaned_Data!$W$5:$W$1004)</f>
        <v>0.103996680085776</v>
      </c>
    </row>
    <row r="22" customFormat="false" ht="15" hidden="false" customHeight="false" outlineLevel="0" collapsed="false">
      <c r="A22" s="20" t="s">
        <v>292</v>
      </c>
      <c r="B22" s="46" t="n">
        <f aca="false">CORREL(Master_Cleaned_Data!$U$5:$U$1004, Master_Cleaned_Data!$O$5:$O$1004)</f>
        <v>0.470220731601992</v>
      </c>
      <c r="C22" s="46" t="n">
        <f aca="false">CORREL(Master_Cleaned_Data!$U$5:$U$1004, Master_Cleaned_Data!$Q$5:$Q$1004)</f>
        <v>0.421637153947459</v>
      </c>
      <c r="D22" s="46" t="n">
        <f aca="false">CORREL(Master_Cleaned_Data!$U$5:$U$1004, Master_Cleaned_Data!$S$5:$S$1004)</f>
        <v>-0.259407454542862</v>
      </c>
      <c r="E22" s="46" t="n">
        <f aca="false">CORREL(Master_Cleaned_Data!$U$5:$U$1004, Master_Cleaned_Data!$T$5:$T$1004)</f>
        <v>0.129391942344876</v>
      </c>
      <c r="F22" s="55" t="n">
        <f aca="false">CORREL(Master_Cleaned_Data!$U$5:$U$1004, Master_Cleaned_Data!$U$5:$U$1004)</f>
        <v>1</v>
      </c>
      <c r="G22" s="46" t="n">
        <f aca="false">CORREL(Master_Cleaned_Data!$U$5:$U$1004, Master_Cleaned_Data!$V$5:$V$1004)</f>
        <v>0.33770561189315</v>
      </c>
      <c r="H22" s="46" t="n">
        <f aca="false">CORREL(Master_Cleaned_Data!$U$5:$U$1004, Master_Cleaned_Data!$W$5:$W$1004)</f>
        <v>0.467151119330582</v>
      </c>
    </row>
    <row r="23" customFormat="false" ht="15" hidden="false" customHeight="false" outlineLevel="0" collapsed="false">
      <c r="A23" s="20" t="s">
        <v>293</v>
      </c>
      <c r="B23" s="46" t="n">
        <f aca="false">CORREL(Master_Cleaned_Data!$V$5:$V$1004, Master_Cleaned_Data!$O$5:$O$1004)</f>
        <v>0.169045049097616</v>
      </c>
      <c r="C23" s="46" t="n">
        <f aca="false">CORREL(Master_Cleaned_Data!$V$5:$V$1004, Master_Cleaned_Data!$Q$5:$Q$1004)</f>
        <v>0.127515720397156</v>
      </c>
      <c r="D23" s="46" t="n">
        <f aca="false">CORREL(Master_Cleaned_Data!$V$5:$V$1004, Master_Cleaned_Data!$S$5:$S$1004)</f>
        <v>-0.229370440886245</v>
      </c>
      <c r="E23" s="46" t="n">
        <f aca="false">CORREL(Master_Cleaned_Data!$V$5:$V$1004, Master_Cleaned_Data!$T$5:$T$1004)</f>
        <v>0.0900587286793067</v>
      </c>
      <c r="F23" s="46" t="n">
        <f aca="false">CORREL(Master_Cleaned_Data!$V$5:$V$1004, Master_Cleaned_Data!$U$5:$U$1004)</f>
        <v>0.33770561189315</v>
      </c>
      <c r="G23" s="55" t="n">
        <f aca="false">CORREL(Master_Cleaned_Data!$V$5:$V$1004, Master_Cleaned_Data!$V$5:$V$1004)</f>
        <v>1</v>
      </c>
      <c r="H23" s="46" t="n">
        <f aca="false">CORREL(Master_Cleaned_Data!$V$5:$V$1004, Master_Cleaned_Data!$W$5:$W$1004)</f>
        <v>0.989993192752084</v>
      </c>
    </row>
    <row r="24" customFormat="false" ht="15" hidden="false" customHeight="false" outlineLevel="0" collapsed="false">
      <c r="A24" s="20" t="s">
        <v>294</v>
      </c>
      <c r="B24" s="46" t="n">
        <f aca="false">CORREL(Master_Cleaned_Data!$W$5:$W$1004, Master_Cleaned_Data!$O$5:$O$1004)</f>
        <v>0.229291553869933</v>
      </c>
      <c r="C24" s="46" t="n">
        <f aca="false">CORREL(Master_Cleaned_Data!$W$5:$W$1004, Master_Cleaned_Data!$Q$5:$Q$1004)</f>
        <v>0.182996634772422</v>
      </c>
      <c r="D24" s="46" t="n">
        <f aca="false">CORREL(Master_Cleaned_Data!$W$5:$W$1004, Master_Cleaned_Data!$S$5:$S$1004)</f>
        <v>-0.254353298287904</v>
      </c>
      <c r="E24" s="46" t="n">
        <f aca="false">CORREL(Master_Cleaned_Data!$W$5:$W$1004, Master_Cleaned_Data!$T$5:$T$1004)</f>
        <v>0.103996680085776</v>
      </c>
      <c r="F24" s="46" t="n">
        <f aca="false">CORREL(Master_Cleaned_Data!$W$5:$W$1004, Master_Cleaned_Data!$U$5:$U$1004)</f>
        <v>0.467151119330582</v>
      </c>
      <c r="G24" s="46" t="n">
        <f aca="false">CORREL(Master_Cleaned_Data!$W$5:$W$1004, Master_Cleaned_Data!$V$5:$V$1004)</f>
        <v>0.989993192752084</v>
      </c>
      <c r="H24" s="55" t="n">
        <f aca="false">CORREL(Master_Cleaned_Data!$W$5:$W$1004, Master_Cleaned_Data!$W$5:$W$1004)</f>
        <v>1</v>
      </c>
    </row>
    <row r="27" customFormat="false" ht="15" hidden="false" customHeight="false" outlineLevel="0" collapsed="false">
      <c r="A27" s="32" t="s">
        <v>295</v>
      </c>
    </row>
    <row r="28" customFormat="false" ht="21.75" hidden="false" customHeight="true" outlineLevel="0" collapsed="false">
      <c r="A28" s="15" t="s">
        <v>296</v>
      </c>
      <c r="B28" s="15" t="s">
        <v>297</v>
      </c>
      <c r="C28" s="15" t="s">
        <v>298</v>
      </c>
      <c r="D28" s="15" t="s">
        <v>299</v>
      </c>
      <c r="E28" s="15" t="s">
        <v>300</v>
      </c>
      <c r="F28" s="15" t="s">
        <v>301</v>
      </c>
      <c r="G28" s="15" t="s">
        <v>302</v>
      </c>
      <c r="H28" s="15" t="s">
        <v>303</v>
      </c>
    </row>
    <row r="29" customFormat="false" ht="15" hidden="false" customHeight="false" outlineLevel="0" collapsed="false">
      <c r="A29" s="51" t="s">
        <v>304</v>
      </c>
      <c r="B29" s="35" t="s">
        <v>305</v>
      </c>
      <c r="C29" s="41" t="n">
        <f aca="false">COUNTIF(Master_Cleaned_Data!M5:M1004, 1)</f>
        <v>606</v>
      </c>
      <c r="D29" s="56" t="n">
        <f aca="false">SUMIF(Master_Cleaned_Data!M5:M1004, 1, Master_Cleaned_Data!W5:W1004)</f>
        <v>37373</v>
      </c>
      <c r="E29" s="52" t="n">
        <f aca="false">AVERAGEIF(Master_Cleaned_Data!M5:M1004, 1, Master_Cleaned_Data!W5:W1004)</f>
        <v>61.6716171617162</v>
      </c>
      <c r="F29" s="41" t="n">
        <f aca="false">SUMIF(Master_Cleaned_Data!M5:M1004, 1, Master_Cleaned_Data!U5:U1004)</f>
        <v>3211</v>
      </c>
      <c r="G29" s="41" t="n">
        <f aca="false">SUMIF(Master_Cleaned_Data!M5:M1004, 1, Master_Cleaned_Data!V5:V1004)</f>
        <v>34162</v>
      </c>
      <c r="H29" s="57" t="n">
        <f aca="false">G29/D29</f>
        <v>0.914082358922217</v>
      </c>
    </row>
    <row r="30" customFormat="false" ht="15" hidden="false" customHeight="false" outlineLevel="0" collapsed="false">
      <c r="A30" s="20" t="s">
        <v>306</v>
      </c>
      <c r="B30" s="33" t="s">
        <v>307</v>
      </c>
      <c r="C30" s="18" t="n">
        <f aca="false">COUNTIF(Master_Cleaned_Data!M5:M1004, 2)</f>
        <v>309</v>
      </c>
      <c r="D30" s="58" t="n">
        <f aca="false">SUMIF(Master_Cleaned_Data!M5:M1004, 2, Master_Cleaned_Data!W5:W1004)</f>
        <v>18106</v>
      </c>
      <c r="E30" s="53" t="n">
        <f aca="false">AVERAGEIF(Master_Cleaned_Data!M5:M1004, 2, Master_Cleaned_Data!W5:W1004)</f>
        <v>58.5954692556634</v>
      </c>
      <c r="F30" s="18" t="n">
        <f aca="false">SUMIF(Master_Cleaned_Data!M5:M1004, 2, Master_Cleaned_Data!U5:U1004)</f>
        <v>1538</v>
      </c>
      <c r="G30" s="18" t="n">
        <f aca="false">SUMIF(Master_Cleaned_Data!M5:M1004, 2, Master_Cleaned_Data!V5:V1004)</f>
        <v>16568</v>
      </c>
      <c r="H30" s="59" t="n">
        <f aca="false">G30/D30</f>
        <v>0.915055782613498</v>
      </c>
    </row>
    <row r="31" customFormat="false" ht="15" hidden="false" customHeight="false" outlineLevel="0" collapsed="false">
      <c r="A31" s="51" t="s">
        <v>308</v>
      </c>
      <c r="B31" s="35" t="s">
        <v>309</v>
      </c>
      <c r="C31" s="41" t="n">
        <f aca="false">COUNTIF(Master_Cleaned_Data!M5:M1004, 3)</f>
        <v>84</v>
      </c>
      <c r="D31" s="56" t="n">
        <f aca="false">SUMIF(Master_Cleaned_Data!M5:M1004, 3, Master_Cleaned_Data!W5:W1004)</f>
        <v>2789</v>
      </c>
      <c r="E31" s="52" t="n">
        <f aca="false">AVERAGEIF(Master_Cleaned_Data!M5:M1004, 3, Master_Cleaned_Data!W5:W1004)</f>
        <v>33.202380952381</v>
      </c>
      <c r="F31" s="41" t="n">
        <f aca="false">SUMIF(Master_Cleaned_Data!M5:M1004, 3, Master_Cleaned_Data!U5:U1004)</f>
        <v>171</v>
      </c>
      <c r="G31" s="41" t="n">
        <f aca="false">SUMIF(Master_Cleaned_Data!M5:M1004, 3, Master_Cleaned_Data!V5:V1004)</f>
        <v>2618</v>
      </c>
      <c r="H31" s="57" t="n">
        <f aca="false">G31/D31</f>
        <v>0.938687701685192</v>
      </c>
    </row>
    <row r="32" customFormat="false" ht="15" hidden="false" customHeight="false" outlineLevel="0" collapsed="false">
      <c r="A32" s="20" t="s">
        <v>310</v>
      </c>
      <c r="B32" s="33" t="s">
        <v>311</v>
      </c>
      <c r="C32" s="18" t="n">
        <f aca="false">COUNTIF(Master_Cleaned_Data!M5:M1004, 4)</f>
        <v>1</v>
      </c>
      <c r="D32" s="58" t="n">
        <f aca="false">SUMIF(Master_Cleaned_Data!M5:M1004, 4, Master_Cleaned_Data!W5:W1004)</f>
        <v>36</v>
      </c>
      <c r="E32" s="53" t="n">
        <f aca="false">AVERAGEIF(Master_Cleaned_Data!M5:M1004, 4, Master_Cleaned_Data!W5:W1004)</f>
        <v>36</v>
      </c>
      <c r="F32" s="18" t="n">
        <f aca="false">SUMIF(Master_Cleaned_Data!M5:M1004, 4, Master_Cleaned_Data!U5:U1004)</f>
        <v>1</v>
      </c>
      <c r="G32" s="18" t="n">
        <f aca="false">SUMIF(Master_Cleaned_Data!M5:M1004, 4, Master_Cleaned_Data!V5:V1004)</f>
        <v>35</v>
      </c>
      <c r="H32" s="59" t="n">
        <f aca="false">G32/D32</f>
        <v>0.972222222222222</v>
      </c>
    </row>
    <row r="33" customFormat="false" ht="15" hidden="false" customHeight="false" outlineLevel="0" collapsed="false">
      <c r="A33" s="51" t="s">
        <v>312</v>
      </c>
      <c r="B33" s="35" t="s">
        <v>313</v>
      </c>
      <c r="C33" s="41" t="n">
        <f aca="false">COUNTIF(Master_Cleaned_Data!K5:K1004, "Weekday")</f>
        <v>646</v>
      </c>
      <c r="D33" s="56" t="n">
        <f aca="false">SUMIF(Master_Cleaned_Data!K5:K1004, "Weekday", Master_Cleaned_Data!W5:W1004)</f>
        <v>41435</v>
      </c>
      <c r="E33" s="52" t="n">
        <f aca="false">AVERAGEIF(Master_Cleaned_Data!K5:K1004, "Weekday", Master_Cleaned_Data!W5:W1004)</f>
        <v>64.140866873065</v>
      </c>
      <c r="F33" s="41" t="n">
        <f aca="false">SUMIF(Master_Cleaned_Data!K5:K1004, "Weekday", Master_Cleaned_Data!U5:U1004)</f>
        <v>2102</v>
      </c>
      <c r="G33" s="41" t="n">
        <f aca="false">SUMIF(Master_Cleaned_Data!K5:K1004, "Weekday", Master_Cleaned_Data!V5:V1004)</f>
        <v>39333</v>
      </c>
      <c r="H33" s="57" t="n">
        <f aca="false">G33/D33</f>
        <v>0.949269940871244</v>
      </c>
    </row>
    <row r="34" customFormat="false" ht="15" hidden="false" customHeight="false" outlineLevel="0" collapsed="false">
      <c r="A34" s="20" t="s">
        <v>314</v>
      </c>
      <c r="B34" s="33" t="s">
        <v>315</v>
      </c>
      <c r="C34" s="18" t="n">
        <f aca="false">COUNTIF(Master_Cleaned_Data!K5:K1004, "Weekend")</f>
        <v>330</v>
      </c>
      <c r="D34" s="58" t="n">
        <f aca="false">SUMIF(Master_Cleaned_Data!K5:K1004, "Weekend", Master_Cleaned_Data!W5:W1004)</f>
        <v>15869</v>
      </c>
      <c r="E34" s="53" t="n">
        <f aca="false">AVERAGEIF(Master_Cleaned_Data!K5:K1004, "Weekend", Master_Cleaned_Data!W5:W1004)</f>
        <v>48.0878787878788</v>
      </c>
      <c r="F34" s="18" t="n">
        <f aca="false">SUMIF(Master_Cleaned_Data!K5:K1004, "Weekend", Master_Cleaned_Data!U5:U1004)</f>
        <v>2702</v>
      </c>
      <c r="G34" s="18" t="n">
        <f aca="false">SUMIF(Master_Cleaned_Data!K5:K1004, "Weekend", Master_Cleaned_Data!V5:V1004)</f>
        <v>13167</v>
      </c>
      <c r="H34" s="59" t="n">
        <f aca="false">G34/D34</f>
        <v>0.829730921923247</v>
      </c>
    </row>
    <row r="35" customFormat="false" ht="15" hidden="false" customHeight="false" outlineLevel="0" collapsed="false">
      <c r="A35" s="51" t="s">
        <v>316</v>
      </c>
      <c r="B35" s="35" t="s">
        <v>317</v>
      </c>
      <c r="C35" s="41" t="n">
        <f aca="false">COUNTIF(Master_Cleaned_Data!H5:H1004, TRUE())</f>
        <v>24</v>
      </c>
      <c r="D35" s="56" t="n">
        <f aca="false">SUMIF(Master_Cleaned_Data!H5:H1004, TRUE(), Master_Cleaned_Data!W5:W1004)</f>
        <v>1000</v>
      </c>
      <c r="E35" s="52" t="n">
        <f aca="false">AVERAGEIF(Master_Cleaned_Data!H5:H1004, TRUE(), Master_Cleaned_Data!W5:W1004)</f>
        <v>41.6666666666667</v>
      </c>
      <c r="F35" s="41" t="n">
        <f aca="false">SUMIF(Master_Cleaned_Data!H5:H1004, TRUE(), Master_Cleaned_Data!U5:U1004)</f>
        <v>117</v>
      </c>
      <c r="G35" s="41" t="n">
        <f aca="false">SUMIF(Master_Cleaned_Data!H5:H1004, TRUE(), Master_Cleaned_Data!V5:V1004)</f>
        <v>883</v>
      </c>
      <c r="H35" s="57" t="n">
        <f aca="false">G35/D35</f>
        <v>0.883</v>
      </c>
    </row>
    <row r="36" customFormat="false" ht="15" hidden="false" customHeight="false" outlineLevel="0" collapsed="false">
      <c r="A36" s="20" t="s">
        <v>318</v>
      </c>
      <c r="B36" s="33" t="s">
        <v>319</v>
      </c>
      <c r="C36" s="18" t="n">
        <f aca="false">COUNTIF(Master_Cleaned_Data!L5:L1004, "Peak Commute")</f>
        <v>167</v>
      </c>
      <c r="D36" s="58" t="n">
        <f aca="false">SUMIF(Master_Cleaned_Data!L5:L1004, "Peak Commute", Master_Cleaned_Data!W5:W1004)</f>
        <v>22636</v>
      </c>
      <c r="E36" s="53" t="n">
        <f aca="false">AVERAGEIF(Master_Cleaned_Data!L5:L1004, "Peak Commute", Master_Cleaned_Data!W5:W1004)</f>
        <v>135.544910179641</v>
      </c>
      <c r="F36" s="18" t="n">
        <f aca="false">SUMIF(Master_Cleaned_Data!L5:L1004, "Peak Commute", Master_Cleaned_Data!U5:U1004)</f>
        <v>668</v>
      </c>
      <c r="G36" s="18" t="n">
        <f aca="false">SUMIF(Master_Cleaned_Data!L5:L1004, "Peak Commute", Master_Cleaned_Data!V5:V1004)</f>
        <v>21968</v>
      </c>
      <c r="H36" s="59" t="n">
        <f aca="false">G36/D36</f>
        <v>0.970489485774872</v>
      </c>
    </row>
    <row r="37" customFormat="false" ht="15" hidden="false" customHeight="false" outlineLevel="0" collapsed="false">
      <c r="A37" s="51" t="s">
        <v>320</v>
      </c>
      <c r="B37" s="35" t="s">
        <v>321</v>
      </c>
      <c r="C37" s="41" t="n">
        <f aca="false">COUNTIF(Master_Cleaned_Data!L5:L1004, "Off-Peak")</f>
        <v>833</v>
      </c>
      <c r="D37" s="56" t="n">
        <f aca="false">SUMIF(Master_Cleaned_Data!L5:L1004, "Off-Peak", Master_Cleaned_Data!W5:W1004)</f>
        <v>35668</v>
      </c>
      <c r="E37" s="52" t="n">
        <f aca="false">AVERAGEIF(Master_Cleaned_Data!L5:L1004, "Off-Peak", Master_Cleaned_Data!W5:W1004)</f>
        <v>42.8187274909964</v>
      </c>
      <c r="F37" s="41" t="n">
        <f aca="false">SUMIF(Master_Cleaned_Data!L5:L1004, "Off-Peak", Master_Cleaned_Data!U5:U1004)</f>
        <v>4253</v>
      </c>
      <c r="G37" s="41" t="n">
        <f aca="false">SUMIF(Master_Cleaned_Data!L5:L1004, "Off-Peak", Master_Cleaned_Data!V5:V1004)</f>
        <v>31415</v>
      </c>
      <c r="H37" s="57" t="n">
        <f aca="false">G37/D37</f>
        <v>0.880761466861052</v>
      </c>
    </row>
    <row r="38" customFormat="false" ht="15" hidden="false" customHeight="false" outlineLevel="0" collapsed="false">
      <c r="A38" s="20" t="s">
        <v>322</v>
      </c>
      <c r="B38" s="33" t="s">
        <v>323</v>
      </c>
      <c r="C38" s="18" t="n">
        <f aca="false">COUNTIF(Master_Cleaned_Data!F5:F1004, 1)</f>
        <v>688</v>
      </c>
      <c r="D38" s="58" t="n">
        <f aca="false">SUMIF(Master_Cleaned_Data!F5:F1004, 1, Master_Cleaned_Data!W5:W1004)</f>
        <v>38189</v>
      </c>
      <c r="E38" s="53" t="n">
        <f aca="false">AVERAGEIF(Master_Cleaned_Data!F5:F1004, 1, Master_Cleaned_Data!W5:W1004)</f>
        <v>55.5072674418605</v>
      </c>
      <c r="F38" s="18" t="n">
        <f aca="false">SUMIF(Master_Cleaned_Data!F5:F1004, 1, Master_Cleaned_Data!U5:U1004)</f>
        <v>3073</v>
      </c>
      <c r="G38" s="18" t="n">
        <f aca="false">SUMIF(Master_Cleaned_Data!F5:F1004, 1, Master_Cleaned_Data!V5:V1004)</f>
        <v>35116</v>
      </c>
      <c r="H38" s="59" t="n">
        <f aca="false">G38/D38</f>
        <v>0.919531802351463</v>
      </c>
    </row>
    <row r="39" customFormat="false" ht="15" hidden="false" customHeight="false" outlineLevel="0" collapsed="false">
      <c r="A39" s="51" t="s">
        <v>324</v>
      </c>
      <c r="B39" s="35" t="s">
        <v>325</v>
      </c>
      <c r="C39" s="41" t="n">
        <f aca="false">COUNTIF(Master_Cleaned_Data!F5:F1004, 2)</f>
        <v>312</v>
      </c>
      <c r="D39" s="56" t="n">
        <f aca="false">SUMIF(Master_Cleaned_Data!F5:F1004, 2, Master_Cleaned_Data!W5:W1004)</f>
        <v>20115</v>
      </c>
      <c r="E39" s="52" t="n">
        <f aca="false">AVERAGEIF(Master_Cleaned_Data!F5:F1004, 2, Master_Cleaned_Data!W5:W1004)</f>
        <v>64.4711538461538</v>
      </c>
      <c r="F39" s="41" t="n">
        <f aca="false">SUMIF(Master_Cleaned_Data!F5:F1004, 2, Master_Cleaned_Data!U5:U1004)</f>
        <v>1848</v>
      </c>
      <c r="G39" s="41" t="n">
        <f aca="false">SUMIF(Master_Cleaned_Data!F5:F1004, 2, Master_Cleaned_Data!V5:V1004)</f>
        <v>18267</v>
      </c>
      <c r="H39" s="57" t="n">
        <f aca="false">G39/D39</f>
        <v>0.908128262490679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32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327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2" t="s">
        <v>328</v>
      </c>
    </row>
    <row r="5" customFormat="false" ht="19.5" hidden="false" customHeight="true" outlineLevel="0" collapsed="false">
      <c r="A5" s="15" t="s">
        <v>329</v>
      </c>
      <c r="B5" s="15" t="s">
        <v>330</v>
      </c>
      <c r="C5" s="15" t="s">
        <v>331</v>
      </c>
      <c r="D5" s="15" t="s">
        <v>332</v>
      </c>
      <c r="E5" s="15" t="s">
        <v>333</v>
      </c>
      <c r="F5" s="15" t="s">
        <v>334</v>
      </c>
      <c r="G5" s="15" t="s">
        <v>335</v>
      </c>
      <c r="H5" s="15" t="s">
        <v>336</v>
      </c>
    </row>
    <row r="6" customFormat="false" ht="15" hidden="false" customHeight="false" outlineLevel="0" collapsed="false">
      <c r="A6" s="60" t="n">
        <v>0</v>
      </c>
      <c r="B6" s="45" t="s">
        <v>31</v>
      </c>
      <c r="C6" s="18" t="n">
        <f aca="false">COUNTIF(Master_Cleaned_Data!G5:G1004, 0)</f>
        <v>43</v>
      </c>
      <c r="D6" s="53" t="n">
        <f aca="false">AVERAGEIF(Master_Cleaned_Data!G5:G1004, 0, Master_Cleaned_Data!U5:U1004)</f>
        <v>1.72093023255814</v>
      </c>
      <c r="E6" s="53" t="n">
        <f aca="false">AVERAGEIF(Master_Cleaned_Data!G5:G1004, 0, Master_Cleaned_Data!V5:V1004)</f>
        <v>14.6279069767442</v>
      </c>
      <c r="F6" s="53" t="n">
        <f aca="false">AVERAGEIF(Master_Cleaned_Data!G5:G1004, 0, Master_Cleaned_Data!W5:W1004)</f>
        <v>16.3488372093023</v>
      </c>
      <c r="G6" s="18" t="n">
        <v>39</v>
      </c>
      <c r="H6" s="47" t="n">
        <f aca="false">E6/F6</f>
        <v>0.894736842105263</v>
      </c>
    </row>
    <row r="7" customFormat="false" ht="15" hidden="false" customHeight="false" outlineLevel="0" collapsed="false">
      <c r="A7" s="61" t="n">
        <v>1</v>
      </c>
      <c r="B7" s="39" t="s">
        <v>33</v>
      </c>
      <c r="C7" s="41" t="n">
        <f aca="false">COUNTIF(Master_Cleaned_Data!G5:G1004, 1)</f>
        <v>43</v>
      </c>
      <c r="D7" s="52" t="n">
        <f aca="false">AVERAGEIF(Master_Cleaned_Data!G5:G1004, 1, Master_Cleaned_Data!U5:U1004)</f>
        <v>1.11627906976744</v>
      </c>
      <c r="E7" s="52" t="n">
        <f aca="false">AVERAGEIF(Master_Cleaned_Data!G5:G1004, 1, Master_Cleaned_Data!V5:V1004)</f>
        <v>9.58139534883721</v>
      </c>
      <c r="F7" s="52" t="n">
        <f aca="false">AVERAGEIF(Master_Cleaned_Data!G5:G1004, 1, Master_Cleaned_Data!W5:W1004)</f>
        <v>10.6976744186047</v>
      </c>
      <c r="G7" s="41" t="n">
        <v>44</v>
      </c>
      <c r="H7" s="42" t="n">
        <f aca="false">E7/F7</f>
        <v>0.895652173913043</v>
      </c>
    </row>
    <row r="8" customFormat="false" ht="15" hidden="false" customHeight="false" outlineLevel="0" collapsed="false">
      <c r="A8" s="60" t="n">
        <v>2</v>
      </c>
      <c r="B8" s="45" t="s">
        <v>35</v>
      </c>
      <c r="C8" s="18" t="n">
        <f aca="false">COUNTIF(Master_Cleaned_Data!G5:G1004, 2)</f>
        <v>41</v>
      </c>
      <c r="D8" s="53" t="n">
        <f aca="false">AVERAGEIF(Master_Cleaned_Data!G5:G1004, 2, Master_Cleaned_Data!U5:U1004)</f>
        <v>0.804878048780488</v>
      </c>
      <c r="E8" s="53" t="n">
        <f aca="false">AVERAGEIF(Master_Cleaned_Data!G5:G1004, 2, Master_Cleaned_Data!V5:V1004)</f>
        <v>6.36585365853659</v>
      </c>
      <c r="F8" s="53" t="n">
        <f aca="false">AVERAGEIF(Master_Cleaned_Data!G5:G1004, 2, Master_Cleaned_Data!W5:W1004)</f>
        <v>7.17073170731707</v>
      </c>
      <c r="G8" s="18" t="n">
        <v>32</v>
      </c>
      <c r="H8" s="47" t="n">
        <f aca="false">E8/F8</f>
        <v>0.887755102040816</v>
      </c>
    </row>
    <row r="9" customFormat="false" ht="15" hidden="false" customHeight="false" outlineLevel="0" collapsed="false">
      <c r="A9" s="61" t="n">
        <v>3</v>
      </c>
      <c r="B9" s="39" t="s">
        <v>37</v>
      </c>
      <c r="C9" s="41" t="n">
        <f aca="false">COUNTIF(Master_Cleaned_Data!G5:G1004, 3)</f>
        <v>31</v>
      </c>
      <c r="D9" s="52" t="n">
        <f aca="false">AVERAGEIF(Master_Cleaned_Data!G5:G1004, 3, Master_Cleaned_Data!U5:U1004)</f>
        <v>1.09677419354839</v>
      </c>
      <c r="E9" s="52" t="n">
        <f aca="false">AVERAGEIF(Master_Cleaned_Data!G5:G1004, 3, Master_Cleaned_Data!V5:V1004)</f>
        <v>3.7741935483871</v>
      </c>
      <c r="F9" s="52" t="n">
        <f aca="false">AVERAGEIF(Master_Cleaned_Data!G5:G1004, 3, Master_Cleaned_Data!W5:W1004)</f>
        <v>4.87096774193548</v>
      </c>
      <c r="G9" s="41" t="n">
        <v>15</v>
      </c>
      <c r="H9" s="42" t="n">
        <f aca="false">E9/F9</f>
        <v>0.774834437086093</v>
      </c>
    </row>
    <row r="10" customFormat="false" ht="15" hidden="false" customHeight="false" outlineLevel="0" collapsed="false">
      <c r="A10" s="60" t="n">
        <v>4</v>
      </c>
      <c r="B10" s="45" t="s">
        <v>39</v>
      </c>
      <c r="C10" s="18" t="n">
        <f aca="false">COUNTIF(Master_Cleaned_Data!G5:G1004, 4)</f>
        <v>32</v>
      </c>
      <c r="D10" s="53" t="n">
        <f aca="false">AVERAGEIF(Master_Cleaned_Data!G5:G1004, 4, Master_Cleaned_Data!U5:U1004)</f>
        <v>0.21875</v>
      </c>
      <c r="E10" s="53" t="n">
        <f aca="false">AVERAGEIF(Master_Cleaned_Data!G5:G1004, 4, Master_Cleaned_Data!V5:V1004)</f>
        <v>1.9375</v>
      </c>
      <c r="F10" s="53" t="n">
        <f aca="false">AVERAGEIF(Master_Cleaned_Data!G5:G1004, 4, Master_Cleaned_Data!W5:W1004)</f>
        <v>2.15625</v>
      </c>
      <c r="G10" s="18" t="n">
        <v>8</v>
      </c>
      <c r="H10" s="47" t="n">
        <f aca="false">E10/F10</f>
        <v>0.898550724637681</v>
      </c>
    </row>
    <row r="11" customFormat="false" ht="15" hidden="false" customHeight="false" outlineLevel="0" collapsed="false">
      <c r="A11" s="61" t="n">
        <v>5</v>
      </c>
      <c r="B11" s="39" t="s">
        <v>42</v>
      </c>
      <c r="C11" s="41" t="n">
        <f aca="false">COUNTIF(Master_Cleaned_Data!G5:G1004, 5)</f>
        <v>39</v>
      </c>
      <c r="D11" s="52" t="n">
        <f aca="false">AVERAGEIF(Master_Cleaned_Data!G5:G1004, 5, Master_Cleaned_Data!U5:U1004)</f>
        <v>0.0769230769230769</v>
      </c>
      <c r="E11" s="52" t="n">
        <f aca="false">AVERAGEIF(Master_Cleaned_Data!G5:G1004, 5, Master_Cleaned_Data!V5:V1004)</f>
        <v>4.12820512820513</v>
      </c>
      <c r="F11" s="52" t="n">
        <f aca="false">AVERAGEIF(Master_Cleaned_Data!G5:G1004, 5, Master_Cleaned_Data!W5:W1004)</f>
        <v>4.20512820512821</v>
      </c>
      <c r="G11" s="41" t="n">
        <v>10</v>
      </c>
      <c r="H11" s="42" t="n">
        <f aca="false">E11/F11</f>
        <v>0.981707317073171</v>
      </c>
    </row>
    <row r="12" customFormat="false" ht="15" hidden="false" customHeight="false" outlineLevel="0" collapsed="false">
      <c r="A12" s="60" t="n">
        <v>6</v>
      </c>
      <c r="B12" s="45" t="s">
        <v>43</v>
      </c>
      <c r="C12" s="18" t="n">
        <f aca="false">COUNTIF(Master_Cleaned_Data!G5:G1004, 6)</f>
        <v>42</v>
      </c>
      <c r="D12" s="53" t="n">
        <f aca="false">AVERAGEIF(Master_Cleaned_Data!G5:G1004, 6, Master_Cleaned_Data!U5:U1004)</f>
        <v>0.5</v>
      </c>
      <c r="E12" s="53" t="n">
        <f aca="false">AVERAGEIF(Master_Cleaned_Data!G5:G1004, 6, Master_Cleaned_Data!V5:V1004)</f>
        <v>19.0714285714286</v>
      </c>
      <c r="F12" s="53" t="n">
        <f aca="false">AVERAGEIF(Master_Cleaned_Data!G5:G1004, 6, Master_Cleaned_Data!W5:W1004)</f>
        <v>19.5714285714286</v>
      </c>
      <c r="G12" s="18" t="n">
        <v>43</v>
      </c>
      <c r="H12" s="47" t="n">
        <f aca="false">E12/F12</f>
        <v>0.974452554744526</v>
      </c>
    </row>
    <row r="13" customFormat="false" ht="15" hidden="false" customHeight="false" outlineLevel="0" collapsed="false">
      <c r="A13" s="61" t="n">
        <v>7</v>
      </c>
      <c r="B13" s="39" t="s">
        <v>44</v>
      </c>
      <c r="C13" s="41" t="n">
        <f aca="false">COUNTIF(Master_Cleaned_Data!G5:G1004, 7)</f>
        <v>43</v>
      </c>
      <c r="D13" s="52" t="n">
        <f aca="false">AVERAGEIF(Master_Cleaned_Data!G5:G1004, 7, Master_Cleaned_Data!U5:U1004)</f>
        <v>1.48837209302326</v>
      </c>
      <c r="E13" s="52" t="n">
        <f aca="false">AVERAGEIF(Master_Cleaned_Data!G5:G1004, 7, Master_Cleaned_Data!V5:V1004)</f>
        <v>52.906976744186</v>
      </c>
      <c r="F13" s="52" t="n">
        <f aca="false">AVERAGEIF(Master_Cleaned_Data!G5:G1004, 7, Master_Cleaned_Data!W5:W1004)</f>
        <v>54.3953488372093</v>
      </c>
      <c r="G13" s="41" t="n">
        <v>108</v>
      </c>
      <c r="H13" s="42" t="n">
        <f aca="false">E13/F13</f>
        <v>0.972637879435656</v>
      </c>
    </row>
    <row r="14" customFormat="false" ht="15" hidden="false" customHeight="false" outlineLevel="0" collapsed="false">
      <c r="A14" s="60" t="n">
        <v>8</v>
      </c>
      <c r="B14" s="45" t="s">
        <v>45</v>
      </c>
      <c r="C14" s="18" t="n">
        <f aca="false">COUNTIF(Master_Cleaned_Data!G5:G1004, 8)</f>
        <v>42</v>
      </c>
      <c r="D14" s="53" t="n">
        <f aca="false">AVERAGEIF(Master_Cleaned_Data!G5:G1004, 8, Master_Cleaned_Data!U5:U1004)</f>
        <v>3.02380952380952</v>
      </c>
      <c r="E14" s="53" t="n">
        <f aca="false">AVERAGEIF(Master_Cleaned_Data!G5:G1004, 8, Master_Cleaned_Data!V5:V1004)</f>
        <v>125.261904761905</v>
      </c>
      <c r="F14" s="53" t="n">
        <f aca="false">AVERAGEIF(Master_Cleaned_Data!G5:G1004, 8, Master_Cleaned_Data!W5:W1004)</f>
        <v>128.285714285714</v>
      </c>
      <c r="G14" s="18" t="n">
        <v>249</v>
      </c>
      <c r="H14" s="47" t="n">
        <f aca="false">E14/F14</f>
        <v>0.976429101707498</v>
      </c>
    </row>
    <row r="15" customFormat="false" ht="15" hidden="false" customHeight="false" outlineLevel="0" collapsed="false">
      <c r="A15" s="61" t="n">
        <v>9</v>
      </c>
      <c r="B15" s="39" t="s">
        <v>46</v>
      </c>
      <c r="C15" s="41" t="n">
        <f aca="false">COUNTIF(Master_Cleaned_Data!G5:G1004, 9)</f>
        <v>42</v>
      </c>
      <c r="D15" s="52" t="n">
        <f aca="false">AVERAGEIF(Master_Cleaned_Data!G5:G1004, 9, Master_Cleaned_Data!U5:U1004)</f>
        <v>4.0952380952381</v>
      </c>
      <c r="E15" s="52" t="n">
        <f aca="false">AVERAGEIF(Master_Cleaned_Data!G5:G1004, 9, Master_Cleaned_Data!V5:V1004)</f>
        <v>83.3333333333333</v>
      </c>
      <c r="F15" s="52" t="n">
        <f aca="false">AVERAGEIF(Master_Cleaned_Data!G5:G1004, 9, Master_Cleaned_Data!W5:W1004)</f>
        <v>87.4285714285714</v>
      </c>
      <c r="G15" s="41" t="n">
        <v>166</v>
      </c>
      <c r="H15" s="42" t="n">
        <f aca="false">E15/F15</f>
        <v>0.953159041394335</v>
      </c>
    </row>
    <row r="16" customFormat="false" ht="15" hidden="false" customHeight="false" outlineLevel="0" collapsed="false">
      <c r="A16" s="60" t="n">
        <v>10</v>
      </c>
      <c r="B16" s="45" t="s">
        <v>47</v>
      </c>
      <c r="C16" s="18" t="n">
        <f aca="false">COUNTIF(Master_Cleaned_Data!G5:G1004, 10)</f>
        <v>42</v>
      </c>
      <c r="D16" s="53" t="n">
        <f aca="false">AVERAGEIF(Master_Cleaned_Data!G5:G1004, 10, Master_Cleaned_Data!U5:U1004)</f>
        <v>5.14285714285714</v>
      </c>
      <c r="E16" s="53" t="n">
        <f aca="false">AVERAGEIF(Master_Cleaned_Data!G5:G1004, 10, Master_Cleaned_Data!V5:V1004)</f>
        <v>48.5</v>
      </c>
      <c r="F16" s="53" t="n">
        <f aca="false">AVERAGEIF(Master_Cleaned_Data!G5:G1004, 10, Master_Cleaned_Data!W5:W1004)</f>
        <v>53.6428571428571</v>
      </c>
      <c r="G16" s="18" t="n">
        <v>105</v>
      </c>
      <c r="H16" s="47" t="n">
        <f aca="false">E16/F16</f>
        <v>0.904127829560586</v>
      </c>
    </row>
    <row r="17" customFormat="false" ht="15" hidden="false" customHeight="false" outlineLevel="0" collapsed="false">
      <c r="A17" s="61" t="n">
        <v>11</v>
      </c>
      <c r="B17" s="39" t="s">
        <v>48</v>
      </c>
      <c r="C17" s="41" t="n">
        <f aca="false">COUNTIF(Master_Cleaned_Data!G5:G1004, 11)</f>
        <v>42</v>
      </c>
      <c r="D17" s="52" t="n">
        <f aca="false">AVERAGEIF(Master_Cleaned_Data!G5:G1004, 11, Master_Cleaned_Data!U5:U1004)</f>
        <v>8.73809523809524</v>
      </c>
      <c r="E17" s="52" t="n">
        <f aca="false">AVERAGEIF(Master_Cleaned_Data!G5:G1004, 11, Master_Cleaned_Data!V5:V1004)</f>
        <v>50.6428571428571</v>
      </c>
      <c r="F17" s="52" t="n">
        <f aca="false">AVERAGEIF(Master_Cleaned_Data!G5:G1004, 11, Master_Cleaned_Data!W5:W1004)</f>
        <v>59.3809523809524</v>
      </c>
      <c r="G17" s="41" t="n">
        <v>117</v>
      </c>
      <c r="H17" s="42" t="n">
        <f aca="false">E17/F17</f>
        <v>0.852846832397755</v>
      </c>
    </row>
    <row r="18" customFormat="false" ht="15" hidden="false" customHeight="false" outlineLevel="0" collapsed="false">
      <c r="A18" s="60" t="n">
        <v>12</v>
      </c>
      <c r="B18" s="45" t="s">
        <v>49</v>
      </c>
      <c r="C18" s="18" t="n">
        <f aca="false">COUNTIF(Master_Cleaned_Data!G5:G1004, 12)</f>
        <v>43</v>
      </c>
      <c r="D18" s="53" t="n">
        <f aca="false">AVERAGEIF(Master_Cleaned_Data!G5:G1004, 12, Master_Cleaned_Data!U5:U1004)</f>
        <v>11.2093023255814</v>
      </c>
      <c r="E18" s="53" t="n">
        <f aca="false">AVERAGEIF(Master_Cleaned_Data!G5:G1004, 12, Master_Cleaned_Data!V5:V1004)</f>
        <v>65.1395348837209</v>
      </c>
      <c r="F18" s="53" t="n">
        <f aca="false">AVERAGEIF(Master_Cleaned_Data!G5:G1004, 12, Master_Cleaned_Data!W5:W1004)</f>
        <v>76.3488372093023</v>
      </c>
      <c r="G18" s="18" t="n">
        <v>174</v>
      </c>
      <c r="H18" s="47" t="n">
        <f aca="false">E18/F18</f>
        <v>0.853183064270484</v>
      </c>
    </row>
    <row r="19" customFormat="false" ht="15" hidden="false" customHeight="false" outlineLevel="0" collapsed="false">
      <c r="A19" s="61" t="n">
        <v>13</v>
      </c>
      <c r="B19" s="39" t="s">
        <v>50</v>
      </c>
      <c r="C19" s="41" t="n">
        <f aca="false">COUNTIF(Master_Cleaned_Data!G5:G1004, 13)</f>
        <v>43</v>
      </c>
      <c r="D19" s="52" t="n">
        <f aca="false">AVERAGEIF(Master_Cleaned_Data!G5:G1004, 13, Master_Cleaned_Data!U5:U1004)</f>
        <v>11.9302325581395</v>
      </c>
      <c r="E19" s="52" t="n">
        <f aca="false">AVERAGEIF(Master_Cleaned_Data!G5:G1004, 13, Master_Cleaned_Data!V5:V1004)</f>
        <v>66.5813953488372</v>
      </c>
      <c r="F19" s="52" t="n">
        <f aca="false">AVERAGEIF(Master_Cleaned_Data!G5:G1004, 13, Master_Cleaned_Data!W5:W1004)</f>
        <v>78.5116279069767</v>
      </c>
      <c r="G19" s="41" t="n">
        <v>182</v>
      </c>
      <c r="H19" s="42" t="n">
        <f aca="false">E19/F19</f>
        <v>0.848045023696682</v>
      </c>
    </row>
    <row r="20" customFormat="false" ht="15" hidden="false" customHeight="false" outlineLevel="0" collapsed="false">
      <c r="A20" s="60" t="n">
        <v>14</v>
      </c>
      <c r="B20" s="45" t="s">
        <v>51</v>
      </c>
      <c r="C20" s="18" t="n">
        <f aca="false">COUNTIF(Master_Cleaned_Data!G5:G1004, 14)</f>
        <v>43</v>
      </c>
      <c r="D20" s="53" t="n">
        <f aca="false">AVERAGEIF(Master_Cleaned_Data!G5:G1004, 14, Master_Cleaned_Data!U5:U1004)</f>
        <v>10.8372093023256</v>
      </c>
      <c r="E20" s="53" t="n">
        <f aca="false">AVERAGEIF(Master_Cleaned_Data!G5:G1004, 14, Master_Cleaned_Data!V5:V1004)</f>
        <v>63.5813953488372</v>
      </c>
      <c r="F20" s="53" t="n">
        <f aca="false">AVERAGEIF(Master_Cleaned_Data!G5:G1004, 14, Master_Cleaned_Data!W5:W1004)</f>
        <v>74.4186046511628</v>
      </c>
      <c r="G20" s="18" t="n">
        <v>161</v>
      </c>
      <c r="H20" s="47" t="n">
        <f aca="false">E20/F20</f>
        <v>0.854375</v>
      </c>
    </row>
    <row r="21" customFormat="false" ht="15" hidden="false" customHeight="false" outlineLevel="0" collapsed="false">
      <c r="A21" s="61" t="n">
        <v>15</v>
      </c>
      <c r="B21" s="39" t="s">
        <v>52</v>
      </c>
      <c r="C21" s="41" t="n">
        <f aca="false">COUNTIF(Master_Cleaned_Data!G5:G1004, 15)</f>
        <v>43</v>
      </c>
      <c r="D21" s="52" t="n">
        <f aca="false">AVERAGEIF(Master_Cleaned_Data!G5:G1004, 15, Master_Cleaned_Data!U5:U1004)</f>
        <v>12.4651162790698</v>
      </c>
      <c r="E21" s="52" t="n">
        <f aca="false">AVERAGEIF(Master_Cleaned_Data!G5:G1004, 15, Master_Cleaned_Data!V5:V1004)</f>
        <v>65.4883720930233</v>
      </c>
      <c r="F21" s="52" t="n">
        <f aca="false">AVERAGEIF(Master_Cleaned_Data!G5:G1004, 15, Master_Cleaned_Data!W5:W1004)</f>
        <v>77.953488372093</v>
      </c>
      <c r="G21" s="41" t="n">
        <v>182</v>
      </c>
      <c r="H21" s="42" t="n">
        <f aca="false">E21/F21</f>
        <v>0.840095465393795</v>
      </c>
    </row>
    <row r="22" customFormat="false" ht="15" hidden="false" customHeight="false" outlineLevel="0" collapsed="false">
      <c r="A22" s="60" t="n">
        <v>16</v>
      </c>
      <c r="B22" s="45" t="s">
        <v>53</v>
      </c>
      <c r="C22" s="18" t="n">
        <f aca="false">COUNTIF(Master_Cleaned_Data!G5:G1004, 16)</f>
        <v>44</v>
      </c>
      <c r="D22" s="53" t="n">
        <f aca="false">AVERAGEIF(Master_Cleaned_Data!G5:G1004, 16, Master_Cleaned_Data!U5:U1004)</f>
        <v>11.2045454545455</v>
      </c>
      <c r="E22" s="53" t="n">
        <f aca="false">AVERAGEIF(Master_Cleaned_Data!G5:G1004, 16, Master_Cleaned_Data!V5:V1004)</f>
        <v>78.0681818181818</v>
      </c>
      <c r="F22" s="53" t="n">
        <f aca="false">AVERAGEIF(Master_Cleaned_Data!G5:G1004, 16, Master_Cleaned_Data!W5:W1004)</f>
        <v>89.2727272727273</v>
      </c>
      <c r="G22" s="18" t="n">
        <v>157</v>
      </c>
      <c r="H22" s="47" t="n">
        <f aca="false">E22/F22</f>
        <v>0.87449083503055</v>
      </c>
    </row>
    <row r="23" customFormat="false" ht="15" hidden="false" customHeight="false" outlineLevel="0" collapsed="false">
      <c r="A23" s="61" t="n">
        <v>17</v>
      </c>
      <c r="B23" s="39" t="s">
        <v>54</v>
      </c>
      <c r="C23" s="41" t="n">
        <f aca="false">COUNTIF(Master_Cleaned_Data!G5:G1004, 17)</f>
        <v>44</v>
      </c>
      <c r="D23" s="52" t="n">
        <f aca="false">AVERAGEIF(Master_Cleaned_Data!G5:G1004, 17, Master_Cleaned_Data!U5:U1004)</f>
        <v>8.97727272727273</v>
      </c>
      <c r="E23" s="52" t="n">
        <f aca="false">AVERAGEIF(Master_Cleaned_Data!G5:G1004, 17, Master_Cleaned_Data!V5:V1004)</f>
        <v>131.227272727273</v>
      </c>
      <c r="F23" s="52" t="n">
        <f aca="false">AVERAGEIF(Master_Cleaned_Data!G5:G1004, 17, Master_Cleaned_Data!W5:W1004)</f>
        <v>140.204545454545</v>
      </c>
      <c r="G23" s="41" t="n">
        <v>222</v>
      </c>
      <c r="H23" s="42" t="n">
        <f aca="false">E23/F23</f>
        <v>0.935970173447885</v>
      </c>
    </row>
    <row r="24" customFormat="false" ht="15" hidden="false" customHeight="false" outlineLevel="0" collapsed="false">
      <c r="A24" s="60" t="n">
        <v>18</v>
      </c>
      <c r="B24" s="45" t="s">
        <v>55</v>
      </c>
      <c r="C24" s="18" t="n">
        <f aca="false">COUNTIF(Master_Cleaned_Data!G5:G1004, 18)</f>
        <v>43</v>
      </c>
      <c r="D24" s="53" t="n">
        <f aca="false">AVERAGEIF(Master_Cleaned_Data!G5:G1004, 18, Master_Cleaned_Data!U5:U1004)</f>
        <v>5.16279069767442</v>
      </c>
      <c r="E24" s="53" t="n">
        <f aca="false">AVERAGEIF(Master_Cleaned_Data!G5:G1004, 18, Master_Cleaned_Data!V5:V1004)</f>
        <v>117.697674418605</v>
      </c>
      <c r="F24" s="53" t="n">
        <f aca="false">AVERAGEIF(Master_Cleaned_Data!G5:G1004, 18, Master_Cleaned_Data!W5:W1004)</f>
        <v>122.860465116279</v>
      </c>
      <c r="G24" s="18" t="n">
        <v>225</v>
      </c>
      <c r="H24" s="47" t="n">
        <f aca="false">E24/F24</f>
        <v>0.957978421351505</v>
      </c>
    </row>
    <row r="25" customFormat="false" ht="15" hidden="false" customHeight="false" outlineLevel="0" collapsed="false">
      <c r="A25" s="61" t="n">
        <v>19</v>
      </c>
      <c r="B25" s="39" t="s">
        <v>56</v>
      </c>
      <c r="C25" s="41" t="n">
        <f aca="false">COUNTIF(Master_Cleaned_Data!G5:G1004, 19)</f>
        <v>43</v>
      </c>
      <c r="D25" s="52" t="n">
        <f aca="false">AVERAGEIF(Master_Cleaned_Data!G5:G1004, 19, Master_Cleaned_Data!U5:U1004)</f>
        <v>4.34883720930233</v>
      </c>
      <c r="E25" s="52" t="n">
        <f aca="false">AVERAGEIF(Master_Cleaned_Data!G5:G1004, 19, Master_Cleaned_Data!V5:V1004)</f>
        <v>80.7906976744186</v>
      </c>
      <c r="F25" s="52" t="n">
        <f aca="false">AVERAGEIF(Master_Cleaned_Data!G5:G1004, 19, Master_Cleaned_Data!W5:W1004)</f>
        <v>85.1395348837209</v>
      </c>
      <c r="G25" s="41" t="n">
        <v>152</v>
      </c>
      <c r="H25" s="42" t="n">
        <f aca="false">E25/F25</f>
        <v>0.948921059819722</v>
      </c>
    </row>
    <row r="26" customFormat="false" ht="15" hidden="false" customHeight="false" outlineLevel="0" collapsed="false">
      <c r="A26" s="60" t="n">
        <v>20</v>
      </c>
      <c r="B26" s="45" t="s">
        <v>57</v>
      </c>
      <c r="C26" s="18" t="n">
        <f aca="false">COUNTIF(Master_Cleaned_Data!G5:G1004, 20)</f>
        <v>43</v>
      </c>
      <c r="D26" s="53" t="n">
        <f aca="false">AVERAGEIF(Master_Cleaned_Data!G5:G1004, 20, Master_Cleaned_Data!U5:U1004)</f>
        <v>3.25581395348837</v>
      </c>
      <c r="E26" s="53" t="n">
        <f aca="false">AVERAGEIF(Master_Cleaned_Data!G5:G1004, 20, Master_Cleaned_Data!V5:V1004)</f>
        <v>58.5116279069767</v>
      </c>
      <c r="F26" s="53" t="n">
        <f aca="false">AVERAGEIF(Master_Cleaned_Data!G5:G1004, 20, Master_Cleaned_Data!W5:W1004)</f>
        <v>61.7674418604651</v>
      </c>
      <c r="G26" s="18" t="n">
        <v>126</v>
      </c>
      <c r="H26" s="47" t="n">
        <f aca="false">E26/F26</f>
        <v>0.947289156626506</v>
      </c>
    </row>
    <row r="27" customFormat="false" ht="15" hidden="false" customHeight="false" outlineLevel="0" collapsed="false">
      <c r="A27" s="61" t="n">
        <v>21</v>
      </c>
      <c r="B27" s="39" t="s">
        <v>58</v>
      </c>
      <c r="C27" s="41" t="n">
        <f aca="false">COUNTIF(Master_Cleaned_Data!G5:G1004, 21)</f>
        <v>43</v>
      </c>
      <c r="D27" s="52" t="n">
        <f aca="false">AVERAGEIF(Master_Cleaned_Data!G5:G1004, 21, Master_Cleaned_Data!U5:U1004)</f>
        <v>2.72093023255814</v>
      </c>
      <c r="E27" s="52" t="n">
        <f aca="false">AVERAGEIF(Master_Cleaned_Data!G5:G1004, 21, Master_Cleaned_Data!V5:V1004)</f>
        <v>43.6976744186047</v>
      </c>
      <c r="F27" s="52" t="n">
        <f aca="false">AVERAGEIF(Master_Cleaned_Data!G5:G1004, 21, Master_Cleaned_Data!W5:W1004)</f>
        <v>46.4186046511628</v>
      </c>
      <c r="G27" s="41" t="n">
        <v>83</v>
      </c>
      <c r="H27" s="42" t="n">
        <f aca="false">E27/F27</f>
        <v>0.941382765531062</v>
      </c>
    </row>
    <row r="28" customFormat="false" ht="15" hidden="false" customHeight="false" outlineLevel="0" collapsed="false">
      <c r="A28" s="60" t="n">
        <v>22</v>
      </c>
      <c r="B28" s="45" t="s">
        <v>59</v>
      </c>
      <c r="C28" s="18" t="n">
        <f aca="false">COUNTIF(Master_Cleaned_Data!G5:G1004, 22)</f>
        <v>43</v>
      </c>
      <c r="D28" s="53" t="n">
        <f aca="false">AVERAGEIF(Master_Cleaned_Data!G5:G1004, 22, Master_Cleaned_Data!U5:U1004)</f>
        <v>2.3953488372093</v>
      </c>
      <c r="E28" s="53" t="n">
        <f aca="false">AVERAGEIF(Master_Cleaned_Data!G5:G1004, 22, Master_Cleaned_Data!V5:V1004)</f>
        <v>32.6744186046512</v>
      </c>
      <c r="F28" s="53" t="n">
        <f aca="false">AVERAGEIF(Master_Cleaned_Data!G5:G1004, 22, Master_Cleaned_Data!W5:W1004)</f>
        <v>35.0697674418605</v>
      </c>
      <c r="G28" s="18" t="n">
        <v>62</v>
      </c>
      <c r="H28" s="47" t="n">
        <f aca="false">E28/F28</f>
        <v>0.931697612732096</v>
      </c>
    </row>
    <row r="29" customFormat="false" ht="15" hidden="false" customHeight="false" outlineLevel="0" collapsed="false">
      <c r="A29" s="61" t="n">
        <v>23</v>
      </c>
      <c r="B29" s="39" t="s">
        <v>60</v>
      </c>
      <c r="C29" s="41" t="n">
        <f aca="false">COUNTIF(Master_Cleaned_Data!G5:G1004, 23)</f>
        <v>43</v>
      </c>
      <c r="D29" s="52" t="n">
        <f aca="false">AVERAGEIF(Master_Cleaned_Data!G5:G1004, 23, Master_Cleaned_Data!U5:U1004)</f>
        <v>2.34883720930233</v>
      </c>
      <c r="E29" s="52" t="n">
        <f aca="false">AVERAGEIF(Master_Cleaned_Data!G5:G1004, 23, Master_Cleaned_Data!V5:V1004)</f>
        <v>22.8372093023256</v>
      </c>
      <c r="F29" s="52" t="n">
        <f aca="false">AVERAGEIF(Master_Cleaned_Data!G5:G1004, 23, Master_Cleaned_Data!W5:W1004)</f>
        <v>25.1860465116279</v>
      </c>
      <c r="G29" s="41" t="n">
        <v>59</v>
      </c>
      <c r="H29" s="42" t="n">
        <f aca="false">E29/F29</f>
        <v>0.9067405355494</v>
      </c>
    </row>
    <row r="30" customFormat="false" ht="15" hidden="false" customHeight="false" outlineLevel="0" collapsed="false">
      <c r="A30" s="22" t="s">
        <v>337</v>
      </c>
      <c r="B30" s="22" t="s">
        <v>338</v>
      </c>
      <c r="C30" s="23" t="n">
        <f aca="false">SUM(C6:C29)</f>
        <v>1000</v>
      </c>
      <c r="D30" s="24" t="n">
        <f aca="false">AVERAGE(Master_Cleaned_Data!U5:U1004)</f>
        <v>4.921</v>
      </c>
      <c r="E30" s="24" t="n">
        <f aca="false">AVERAGE(Master_Cleaned_Data!V5:V1004)</f>
        <v>53.383</v>
      </c>
      <c r="F30" s="24" t="n">
        <f aca="false">AVERAGE(Master_Cleaned_Data!W5:W1004)</f>
        <v>58.304</v>
      </c>
      <c r="G30" s="23" t="n">
        <f aca="false">MAX(G6:G29)</f>
        <v>249</v>
      </c>
      <c r="H30" s="62" t="n">
        <f aca="false">E30/F30</f>
        <v>0.915597557628979</v>
      </c>
    </row>
    <row r="33" customFormat="false" ht="15" hidden="false" customHeight="false" outlineLevel="0" collapsed="false">
      <c r="A33" s="32" t="s">
        <v>339</v>
      </c>
    </row>
    <row r="34" customFormat="false" ht="19.5" hidden="false" customHeight="true" outlineLevel="0" collapsed="false">
      <c r="A34" s="15" t="s">
        <v>340</v>
      </c>
      <c r="B34" s="15" t="s">
        <v>133</v>
      </c>
      <c r="C34" s="15" t="s">
        <v>341</v>
      </c>
      <c r="D34" s="15" t="s">
        <v>331</v>
      </c>
      <c r="E34" s="15" t="s">
        <v>342</v>
      </c>
      <c r="F34" s="15" t="s">
        <v>343</v>
      </c>
      <c r="G34" s="15" t="s">
        <v>344</v>
      </c>
      <c r="H34" s="15" t="s">
        <v>345</v>
      </c>
      <c r="I34" s="15" t="s">
        <v>346</v>
      </c>
    </row>
    <row r="35" customFormat="false" ht="15" hidden="false" customHeight="false" outlineLevel="0" collapsed="false">
      <c r="A35" s="60" t="n">
        <v>0</v>
      </c>
      <c r="B35" s="33" t="s">
        <v>19</v>
      </c>
      <c r="C35" s="33" t="s">
        <v>347</v>
      </c>
      <c r="D35" s="18" t="n">
        <f aca="false">COUNTIF(Master_Cleaned_Data!I5:I1004, 0)</f>
        <v>164</v>
      </c>
      <c r="E35" s="18" t="n">
        <f aca="false">SUMIF(Master_Cleaned_Data!I5:I1004, 0, Master_Cleaned_Data!W5:W1004)</f>
        <v>8121</v>
      </c>
      <c r="F35" s="53" t="n">
        <f aca="false">AVERAGEIF(Master_Cleaned_Data!I5:I1004, 0, Master_Cleaned_Data!W5:W1004)</f>
        <v>49.5182926829268</v>
      </c>
      <c r="G35" s="53" t="n">
        <f aca="false">AVERAGEIF(Master_Cleaned_Data!I5:I1004, 0, Master_Cleaned_Data!U5:U1004)</f>
        <v>9.00609756097561</v>
      </c>
      <c r="H35" s="53" t="n">
        <f aca="false">AVERAGEIF(Master_Cleaned_Data!I5:I1004, 0, Master_Cleaned_Data!V5:V1004)</f>
        <v>40.5121951219512</v>
      </c>
      <c r="I35" s="47" t="n">
        <f aca="false">G35/F35</f>
        <v>0.181874153429381</v>
      </c>
    </row>
    <row r="36" customFormat="false" ht="15" hidden="false" customHeight="false" outlineLevel="0" collapsed="false">
      <c r="A36" s="61" t="n">
        <v>1</v>
      </c>
      <c r="B36" s="35" t="s">
        <v>20</v>
      </c>
      <c r="C36" s="35" t="s">
        <v>255</v>
      </c>
      <c r="D36" s="41" t="n">
        <f aca="false">COUNTIF(Master_Cleaned_Data!I5:I1004, 1)</f>
        <v>149</v>
      </c>
      <c r="E36" s="41" t="n">
        <f aca="false">SUMIF(Master_Cleaned_Data!I5:I1004, 1, Master_Cleaned_Data!W5:W1004)</f>
        <v>8450</v>
      </c>
      <c r="F36" s="52" t="n">
        <f aca="false">AVERAGEIF(Master_Cleaned_Data!I5:I1004, 1, Master_Cleaned_Data!W5:W1004)</f>
        <v>56.7114093959732</v>
      </c>
      <c r="G36" s="52" t="n">
        <f aca="false">AVERAGEIF(Master_Cleaned_Data!I5:I1004, 1, Master_Cleaned_Data!U5:U1004)</f>
        <v>3.58389261744966</v>
      </c>
      <c r="H36" s="52" t="n">
        <f aca="false">AVERAGEIF(Master_Cleaned_Data!I5:I1004, 1, Master_Cleaned_Data!V5:V1004)</f>
        <v>53.1275167785235</v>
      </c>
      <c r="I36" s="42" t="n">
        <f aca="false">G36/F36</f>
        <v>0.0631952662721893</v>
      </c>
    </row>
    <row r="37" customFormat="false" ht="15" hidden="false" customHeight="false" outlineLevel="0" collapsed="false">
      <c r="A37" s="60" t="n">
        <v>2</v>
      </c>
      <c r="B37" s="33" t="s">
        <v>21</v>
      </c>
      <c r="C37" s="33" t="s">
        <v>255</v>
      </c>
      <c r="D37" s="18" t="n">
        <f aca="false">COUNTIF(Master_Cleaned_Data!I5:I1004, 2)</f>
        <v>127</v>
      </c>
      <c r="E37" s="18" t="n">
        <f aca="false">SUMIF(Master_Cleaned_Data!I5:I1004, 2, Master_Cleaned_Data!W5:W1004)</f>
        <v>8383</v>
      </c>
      <c r="F37" s="53" t="n">
        <f aca="false">AVERAGEIF(Master_Cleaned_Data!I5:I1004, 2, Master_Cleaned_Data!W5:W1004)</f>
        <v>66.007874015748</v>
      </c>
      <c r="G37" s="53" t="n">
        <f aca="false">AVERAGEIF(Master_Cleaned_Data!I5:I1004, 2, Master_Cleaned_Data!U5:U1004)</f>
        <v>3.59842519685039</v>
      </c>
      <c r="H37" s="53" t="n">
        <f aca="false">AVERAGEIF(Master_Cleaned_Data!I5:I1004, 2, Master_Cleaned_Data!V5:V1004)</f>
        <v>62.4094488188976</v>
      </c>
      <c r="I37" s="47" t="n">
        <f aca="false">G37/F37</f>
        <v>0.0545150900632232</v>
      </c>
    </row>
    <row r="38" customFormat="false" ht="15" hidden="false" customHeight="false" outlineLevel="0" collapsed="false">
      <c r="A38" s="61" t="n">
        <v>3</v>
      </c>
      <c r="B38" s="35" t="s">
        <v>22</v>
      </c>
      <c r="C38" s="35" t="s">
        <v>255</v>
      </c>
      <c r="D38" s="41" t="n">
        <f aca="false">COUNTIF(Master_Cleaned_Data!I5:I1004, 3)</f>
        <v>131</v>
      </c>
      <c r="E38" s="41" t="n">
        <f aca="false">SUMIF(Master_Cleaned_Data!I5:I1004, 3, Master_Cleaned_Data!W5:W1004)</f>
        <v>8049</v>
      </c>
      <c r="F38" s="52" t="n">
        <f aca="false">AVERAGEIF(Master_Cleaned_Data!I5:I1004, 3, Master_Cleaned_Data!W5:W1004)</f>
        <v>61.4427480916031</v>
      </c>
      <c r="G38" s="52" t="n">
        <f aca="false">AVERAGEIF(Master_Cleaned_Data!I5:I1004, 3, Master_Cleaned_Data!U5:U1004)</f>
        <v>2.62595419847328</v>
      </c>
      <c r="H38" s="52" t="n">
        <f aca="false">AVERAGEIF(Master_Cleaned_Data!I5:I1004, 3, Master_Cleaned_Data!V5:V1004)</f>
        <v>58.8167938931298</v>
      </c>
      <c r="I38" s="42" t="n">
        <f aca="false">G38/F38</f>
        <v>0.042738228351348</v>
      </c>
    </row>
    <row r="39" customFormat="false" ht="15" hidden="false" customHeight="false" outlineLevel="0" collapsed="false">
      <c r="A39" s="60" t="n">
        <v>4</v>
      </c>
      <c r="B39" s="33" t="s">
        <v>23</v>
      </c>
      <c r="C39" s="33" t="s">
        <v>255</v>
      </c>
      <c r="D39" s="18" t="n">
        <f aca="false">COUNTIF(Master_Cleaned_Data!I5:I1004, 4)</f>
        <v>125</v>
      </c>
      <c r="E39" s="18" t="n">
        <f aca="false">SUMIF(Master_Cleaned_Data!I5:I1004, 4, Master_Cleaned_Data!W5:W1004)</f>
        <v>8458</v>
      </c>
      <c r="F39" s="53" t="n">
        <f aca="false">AVERAGEIF(Master_Cleaned_Data!I5:I1004, 4, Master_Cleaned_Data!W5:W1004)</f>
        <v>67.664</v>
      </c>
      <c r="G39" s="53" t="n">
        <f aca="false">AVERAGEIF(Master_Cleaned_Data!I5:I1004, 4, Master_Cleaned_Data!U5:U1004)</f>
        <v>2.656</v>
      </c>
      <c r="H39" s="53" t="n">
        <f aca="false">AVERAGEIF(Master_Cleaned_Data!I5:I1004, 4, Master_Cleaned_Data!V5:V1004)</f>
        <v>65.008</v>
      </c>
      <c r="I39" s="47" t="n">
        <f aca="false">G39/F39</f>
        <v>0.0392527784346181</v>
      </c>
    </row>
    <row r="40" customFormat="false" ht="15" hidden="false" customHeight="false" outlineLevel="0" collapsed="false">
      <c r="A40" s="61" t="n">
        <v>5</v>
      </c>
      <c r="B40" s="35" t="s">
        <v>24</v>
      </c>
      <c r="C40" s="35" t="s">
        <v>255</v>
      </c>
      <c r="D40" s="41" t="n">
        <f aca="false">COUNTIF(Master_Cleaned_Data!I5:I1004, 5)</f>
        <v>138</v>
      </c>
      <c r="E40" s="41" t="n">
        <f aca="false">SUMIF(Master_Cleaned_Data!I5:I1004, 5, Master_Cleaned_Data!W5:W1004)</f>
        <v>9095</v>
      </c>
      <c r="F40" s="52" t="n">
        <f aca="false">AVERAGEIF(Master_Cleaned_Data!I5:I1004, 5, Master_Cleaned_Data!W5:W1004)</f>
        <v>65.9057971014493</v>
      </c>
      <c r="G40" s="52" t="n">
        <f aca="false">AVERAGEIF(Master_Cleaned_Data!I5:I1004, 5, Master_Cleaned_Data!U5:U1004)</f>
        <v>4</v>
      </c>
      <c r="H40" s="52" t="n">
        <f aca="false">AVERAGEIF(Master_Cleaned_Data!I5:I1004, 5, Master_Cleaned_Data!V5:V1004)</f>
        <v>61.9057971014493</v>
      </c>
      <c r="I40" s="42" t="n">
        <f aca="false">G40/F40</f>
        <v>0.0606926882902694</v>
      </c>
    </row>
    <row r="41" customFormat="false" ht="15" hidden="false" customHeight="false" outlineLevel="0" collapsed="false">
      <c r="A41" s="60" t="n">
        <v>6</v>
      </c>
      <c r="B41" s="33" t="s">
        <v>25</v>
      </c>
      <c r="C41" s="33" t="s">
        <v>347</v>
      </c>
      <c r="D41" s="18" t="n">
        <f aca="false">COUNTIF(Master_Cleaned_Data!I5:I1004, 6)</f>
        <v>166</v>
      </c>
      <c r="E41" s="18" t="n">
        <f aca="false">SUMIF(Master_Cleaned_Data!I5:I1004, 6, Master_Cleaned_Data!W5:W1004)</f>
        <v>7748</v>
      </c>
      <c r="F41" s="53" t="n">
        <f aca="false">AVERAGEIF(Master_Cleaned_Data!I5:I1004, 6, Master_Cleaned_Data!W5:W1004)</f>
        <v>46.6746987951807</v>
      </c>
      <c r="G41" s="53" t="n">
        <f aca="false">AVERAGEIF(Master_Cleaned_Data!I5:I1004, 6, Master_Cleaned_Data!U5:U1004)</f>
        <v>7.37951807228916</v>
      </c>
      <c r="H41" s="53" t="n">
        <f aca="false">AVERAGEIF(Master_Cleaned_Data!I5:I1004, 6, Master_Cleaned_Data!V5:V1004)</f>
        <v>39.2951807228916</v>
      </c>
      <c r="I41" s="47" t="n">
        <f aca="false">G41/F41</f>
        <v>0.158105317501291</v>
      </c>
    </row>
    <row r="42" customFormat="false" ht="15" hidden="false" customHeight="false" outlineLevel="0" collapsed="false">
      <c r="A42" s="22" t="s">
        <v>348</v>
      </c>
      <c r="B42" s="22" t="s">
        <v>349</v>
      </c>
      <c r="C42" s="22" t="s">
        <v>40</v>
      </c>
      <c r="D42" s="23" t="n">
        <f aca="false">SUM(D35:D41)</f>
        <v>1000</v>
      </c>
      <c r="E42" s="23" t="n">
        <f aca="false">SUM(E35:E41)</f>
        <v>58304</v>
      </c>
      <c r="F42" s="24" t="n">
        <f aca="false">E42/D42</f>
        <v>58.304</v>
      </c>
      <c r="G42" s="24" t="n">
        <f aca="false">AVERAGE(Master_Cleaned_Data!U5:U1004)</f>
        <v>4.921</v>
      </c>
      <c r="H42" s="24" t="n">
        <f aca="false">AVERAGE(Master_Cleaned_Data!V5:V1004)</f>
        <v>53.383</v>
      </c>
      <c r="I42" s="62" t="n">
        <f aca="false">G42/F42</f>
        <v>0.0844024423710209</v>
      </c>
    </row>
    <row r="45" customFormat="false" ht="15" hidden="false" customHeight="false" outlineLevel="0" collapsed="false">
      <c r="A45" s="32" t="s">
        <v>350</v>
      </c>
    </row>
    <row r="46" customFormat="false" ht="19.5" hidden="false" customHeight="true" outlineLevel="0" collapsed="false">
      <c r="A46" s="15" t="s">
        <v>351</v>
      </c>
      <c r="B46" s="15" t="s">
        <v>352</v>
      </c>
      <c r="C46" s="15" t="s">
        <v>353</v>
      </c>
      <c r="D46" s="15" t="s">
        <v>354</v>
      </c>
      <c r="E46" s="15" t="s">
        <v>355</v>
      </c>
      <c r="F46" s="15" t="s">
        <v>356</v>
      </c>
    </row>
    <row r="47" customFormat="false" ht="15" hidden="false" customHeight="false" outlineLevel="0" collapsed="false">
      <c r="A47" s="45" t="s">
        <v>357</v>
      </c>
      <c r="B47" s="33" t="s">
        <v>358</v>
      </c>
      <c r="C47" s="18" t="n">
        <f aca="false">SUM(Master_Cleaned_Data!$V$5:$V$1004)</f>
        <v>53383</v>
      </c>
      <c r="D47" s="47" t="n">
        <f aca="false">C47/C49</f>
        <v>0.915597557628979</v>
      </c>
      <c r="E47" s="53" t="n">
        <f aca="false">AVERAGE(Master_Cleaned_Data!$V$5:$V$1004)</f>
        <v>53.383</v>
      </c>
      <c r="F47" s="33" t="s">
        <v>359</v>
      </c>
    </row>
    <row r="48" customFormat="false" ht="15" hidden="false" customHeight="false" outlineLevel="0" collapsed="false">
      <c r="A48" s="45" t="s">
        <v>360</v>
      </c>
      <c r="B48" s="33" t="s">
        <v>361</v>
      </c>
      <c r="C48" s="18" t="n">
        <f aca="false">SUM(Master_Cleaned_Data!$U$5:$U$1004)</f>
        <v>4921</v>
      </c>
      <c r="D48" s="47" t="n">
        <f aca="false">C48/C49</f>
        <v>0.0844024423710209</v>
      </c>
      <c r="E48" s="53" t="n">
        <f aca="false">AVERAGE(Master_Cleaned_Data!$U$5:$U$1004)</f>
        <v>4.921</v>
      </c>
      <c r="F48" s="33" t="s">
        <v>362</v>
      </c>
    </row>
    <row r="49" customFormat="false" ht="15" hidden="false" customHeight="false" outlineLevel="0" collapsed="false">
      <c r="A49" s="25" t="s">
        <v>363</v>
      </c>
      <c r="B49" s="22" t="s">
        <v>364</v>
      </c>
      <c r="C49" s="23" t="n">
        <f aca="false">SUM(C47:C48)</f>
        <v>58304</v>
      </c>
      <c r="D49" s="62" t="n">
        <f aca="false">SUM(D47:D48)</f>
        <v>1</v>
      </c>
      <c r="E49" s="24" t="n">
        <f aca="false">AVERAGE(Master_Cleaned_Data!$W$5:$W$1004)</f>
        <v>58.304</v>
      </c>
      <c r="F49" s="22" t="s">
        <v>365</v>
      </c>
    </row>
    <row r="52" customFormat="false" ht="15" hidden="false" customHeight="false" outlineLevel="0" collapsed="false">
      <c r="A52" s="32" t="s">
        <v>366</v>
      </c>
    </row>
    <row r="53" customFormat="false" ht="19.5" hidden="false" customHeight="true" outlineLevel="0" collapsed="false">
      <c r="A53" s="15" t="s">
        <v>367</v>
      </c>
      <c r="B53" s="15" t="s">
        <v>368</v>
      </c>
      <c r="C53" s="15" t="s">
        <v>369</v>
      </c>
      <c r="D53" s="15" t="s">
        <v>370</v>
      </c>
      <c r="E53" s="15" t="s">
        <v>371</v>
      </c>
      <c r="F53" s="15" t="s">
        <v>372</v>
      </c>
      <c r="G53" s="15" t="s">
        <v>373</v>
      </c>
    </row>
    <row r="54" customFormat="false" ht="15" hidden="false" customHeight="false" outlineLevel="0" collapsed="false">
      <c r="A54" s="45" t="s">
        <v>374</v>
      </c>
      <c r="B54" s="33" t="s">
        <v>375</v>
      </c>
      <c r="C54" s="33" t="s">
        <v>376</v>
      </c>
      <c r="D54" s="18" t="n">
        <f aca="false">COUNTIF(Master_Cleaned_Data!$O$5:$O$1004, "&lt;=0.22")</f>
        <v>693</v>
      </c>
      <c r="E54" s="53" t="n">
        <f aca="false">AVERAGEIF(Master_Cleaned_Data!$O$5:$O$1004, "&lt;=0.22", Master_Cleaned_Data!$W$5:$W$1004)</f>
        <v>51.0880230880231</v>
      </c>
      <c r="F54" s="18" t="n">
        <f aca="false">SUMIF(Master_Cleaned_Data!$O$5:$O$1004, "&lt;=0.22", Master_Cleaned_Data!$W$5:$W$1004)</f>
        <v>35404</v>
      </c>
      <c r="G54" s="45" t="s">
        <v>377</v>
      </c>
    </row>
    <row r="55" customFormat="false" ht="15" hidden="false" customHeight="false" outlineLevel="0" collapsed="false">
      <c r="A55" s="39" t="s">
        <v>378</v>
      </c>
      <c r="B55" s="35" t="s">
        <v>379</v>
      </c>
      <c r="C55" s="35" t="s">
        <v>380</v>
      </c>
      <c r="D55" s="41" t="n">
        <f aca="false">COUNTIFS(Master_Cleaned_Data!$O$5:$O$1004, "&gt;0.22", Master_Cleaned_Data!$O$5:$O$1004, "&lt;=0.28")</f>
        <v>169</v>
      </c>
      <c r="E55" s="52" t="n">
        <f aca="false">AVERAGEIFS(Master_Cleaned_Data!$W$5:$W$1004, Master_Cleaned_Data!$O$5:$O$1004, "&gt;0.22", Master_Cleaned_Data!$O$5:$O$1004, "&lt;=0.28")</f>
        <v>65.5621301775148</v>
      </c>
      <c r="F55" s="41" t="n">
        <f aca="false">SUMIFS(Master_Cleaned_Data!$W$5:$W$1004, Master_Cleaned_Data!$O$5:$O$1004, "&gt;0.22", Master_Cleaned_Data!$O$5:$O$1004, "&lt;=0.28")</f>
        <v>11080</v>
      </c>
      <c r="G55" s="63" t="n">
        <f aca="false">(E55-E$54)/E$54</f>
        <v>0.28331703234148</v>
      </c>
    </row>
    <row r="56" customFormat="false" ht="15" hidden="false" customHeight="false" outlineLevel="0" collapsed="false">
      <c r="A56" s="45" t="s">
        <v>381</v>
      </c>
      <c r="B56" s="33" t="s">
        <v>382</v>
      </c>
      <c r="C56" s="33" t="s">
        <v>383</v>
      </c>
      <c r="D56" s="18" t="n">
        <f aca="false">COUNTIF(Master_Cleaned_Data!$O$5:$O$1004, "&gt;0.28")</f>
        <v>138</v>
      </c>
      <c r="E56" s="53" t="n">
        <f aca="false">AVERAGEIF(Master_Cleaned_Data!$O$5:$O$1004, "&gt;0.28", Master_Cleaned_Data!$W$5:$W$1004)</f>
        <v>85.6521739130435</v>
      </c>
      <c r="F56" s="18" t="n">
        <f aca="false">SUMIF(Master_Cleaned_Data!$O$5:$O$1004, "&gt;0.28", Master_Cleaned_Data!$W$5:$W$1004)</f>
        <v>11820</v>
      </c>
      <c r="G56" s="21" t="n">
        <f aca="false">(E56-E$54)/E$54</f>
        <v>0.67656074233813</v>
      </c>
    </row>
    <row r="57" customFormat="false" ht="15" hidden="false" customHeight="false" outlineLevel="0" collapsed="false">
      <c r="A57" s="25" t="s">
        <v>363</v>
      </c>
      <c r="B57" s="22" t="s">
        <v>40</v>
      </c>
      <c r="C57" s="22" t="s">
        <v>384</v>
      </c>
      <c r="D57" s="23" t="n">
        <f aca="false">SUM(D54:D56)</f>
        <v>1000</v>
      </c>
      <c r="E57" s="24" t="n">
        <f aca="false">AVERAGE(Master_Cleaned_Data!$W$5:$W$1004)</f>
        <v>58.304</v>
      </c>
      <c r="F57" s="23" t="n">
        <f aca="false">SUM(F54:F56)</f>
        <v>58304</v>
      </c>
      <c r="G57" s="25" t="s">
        <v>41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23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9"/>
    <col collapsed="false" customWidth="true" hidden="false" outlineLevel="0" max="10" min="10" style="0" width="33"/>
    <col collapsed="false" customWidth="true" hidden="false" outlineLevel="0" max="11" min="11" style="0" width="34"/>
  </cols>
  <sheetData>
    <row r="1" customFormat="false" ht="27.75" hidden="false" customHeight="true" outlineLevel="0" collapsed="false">
      <c r="A1" s="1" t="s">
        <v>385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386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2" t="s">
        <v>387</v>
      </c>
    </row>
    <row r="5" customFormat="false" ht="21.75" hidden="false" customHeight="true" outlineLevel="0" collapsed="false">
      <c r="A5" s="15" t="s">
        <v>250</v>
      </c>
      <c r="B5" s="15" t="s">
        <v>162</v>
      </c>
      <c r="C5" s="15" t="s">
        <v>388</v>
      </c>
      <c r="D5" s="15" t="s">
        <v>255</v>
      </c>
      <c r="E5" s="15" t="s">
        <v>389</v>
      </c>
      <c r="F5" s="15" t="s">
        <v>390</v>
      </c>
      <c r="G5" s="15" t="s">
        <v>391</v>
      </c>
      <c r="H5" s="15" t="s">
        <v>392</v>
      </c>
      <c r="I5" s="15" t="s">
        <v>393</v>
      </c>
      <c r="J5" s="15" t="s">
        <v>394</v>
      </c>
      <c r="K5" s="15" t="s">
        <v>395</v>
      </c>
    </row>
    <row r="6" customFormat="false" ht="15" hidden="false" customHeight="false" outlineLevel="0" collapsed="false">
      <c r="A6" s="18" t="n">
        <v>2</v>
      </c>
      <c r="B6" s="45" t="s">
        <v>77</v>
      </c>
      <c r="C6" s="45" t="s">
        <v>33</v>
      </c>
      <c r="D6" s="33" t="str">
        <f aca="false">INDEX(Lookups_Metadata!$E$4:$E$10, MATCH(Master_Cleaned_Data!I6, Lookups_Metadata!$D$4:$D$10, 0))</f>
        <v>Saturday</v>
      </c>
      <c r="E6" s="33" t="str">
        <f aca="false">VLOOKUP(Master_Cleaned_Data!M6, Lookups_Metadata!$G$4:$H$7, 2, FALSE())</f>
        <v>Clear / Few Clouds</v>
      </c>
      <c r="F6" s="18" t="n">
        <f aca="false">Master_Cleaned_Data!W6</f>
        <v>40</v>
      </c>
      <c r="G6" s="53" t="n">
        <f aca="false">INDEX(Pivot_Summaries!$F$6:$F$29, MATCH(Master_Cleaned_Data!G6, Pivot_Summaries!$A$6:$A$29, 0))</f>
        <v>10.6976744186047</v>
      </c>
      <c r="H6" s="64" t="n">
        <f aca="false">F6-G6</f>
        <v>29.3023255813954</v>
      </c>
      <c r="I6" s="65" t="n">
        <f aca="false">ROUND(H6/Statistical_Analysis!$H$12, 2)</f>
        <v>0.57</v>
      </c>
      <c r="J6" s="66" t="s">
        <v>396</v>
      </c>
      <c r="K6" s="33" t="s">
        <v>397</v>
      </c>
    </row>
    <row r="7" customFormat="false" ht="15" hidden="false" customHeight="false" outlineLevel="0" collapsed="false">
      <c r="A7" s="41" t="n">
        <v>3</v>
      </c>
      <c r="B7" s="39" t="s">
        <v>77</v>
      </c>
      <c r="C7" s="39" t="s">
        <v>35</v>
      </c>
      <c r="D7" s="35" t="str">
        <f aca="false">INDEX(Lookups_Metadata!$E$4:$E$10, MATCH(Master_Cleaned_Data!I7, Lookups_Metadata!$D$4:$D$10, 0))</f>
        <v>Saturday</v>
      </c>
      <c r="E7" s="35" t="str">
        <f aca="false">VLOOKUP(Master_Cleaned_Data!M7, Lookups_Metadata!$G$4:$H$7, 2, FALSE())</f>
        <v>Clear / Few Clouds</v>
      </c>
      <c r="F7" s="41" t="n">
        <f aca="false">Master_Cleaned_Data!W7</f>
        <v>32</v>
      </c>
      <c r="G7" s="52" t="n">
        <f aca="false">INDEX(Pivot_Summaries!$F$6:$F$29, MATCH(Master_Cleaned_Data!G7, Pivot_Summaries!$A$6:$A$29, 0))</f>
        <v>7.17073170731707</v>
      </c>
      <c r="H7" s="67" t="n">
        <f aca="false">F7-G7</f>
        <v>24.8292682926829</v>
      </c>
      <c r="I7" s="68" t="n">
        <f aca="false">ROUND(H7/Statistical_Analysis!$H$12, 2)</f>
        <v>0.49</v>
      </c>
      <c r="J7" s="69" t="s">
        <v>396</v>
      </c>
      <c r="K7" s="35" t="s">
        <v>397</v>
      </c>
    </row>
    <row r="8" customFormat="false" ht="15" hidden="false" customHeight="false" outlineLevel="0" collapsed="false">
      <c r="A8" s="18" t="n">
        <v>46</v>
      </c>
      <c r="B8" s="45" t="s">
        <v>78</v>
      </c>
      <c r="C8" s="45" t="s">
        <v>59</v>
      </c>
      <c r="D8" s="33" t="str">
        <f aca="false">INDEX(Lookups_Metadata!$E$4:$E$10, MATCH(Master_Cleaned_Data!I50, Lookups_Metadata!$D$4:$D$10, 0))</f>
        <v>Sunday</v>
      </c>
      <c r="E8" s="33" t="str">
        <f aca="false">VLOOKUP(Master_Cleaned_Data!M50, Lookups_Metadata!$G$4:$H$7, 2, FALSE())</f>
        <v>Clear / Few Clouds</v>
      </c>
      <c r="F8" s="18" t="n">
        <f aca="false">Master_Cleaned_Data!W50</f>
        <v>9</v>
      </c>
      <c r="G8" s="53" t="n">
        <f aca="false">INDEX(Pivot_Summaries!$F$6:$F$29, MATCH(Master_Cleaned_Data!G50, Pivot_Summaries!$A$6:$A$29, 0))</f>
        <v>35.0697674418605</v>
      </c>
      <c r="H8" s="64" t="n">
        <f aca="false">F8-G8</f>
        <v>-26.0697674418605</v>
      </c>
      <c r="I8" s="65" t="n">
        <f aca="false">ROUND(H8/Statistical_Analysis!$H$12, 2)</f>
        <v>-0.51</v>
      </c>
      <c r="J8" s="70" t="s">
        <v>398</v>
      </c>
      <c r="K8" s="33" t="s">
        <v>399</v>
      </c>
    </row>
    <row r="9" customFormat="false" ht="15" hidden="false" customHeight="false" outlineLevel="0" collapsed="false">
      <c r="A9" s="41" t="n">
        <v>349</v>
      </c>
      <c r="B9" s="39" t="s">
        <v>92</v>
      </c>
      <c r="C9" s="39" t="s">
        <v>31</v>
      </c>
      <c r="D9" s="35" t="str">
        <f aca="false">INDEX(Lookups_Metadata!$E$4:$E$10, MATCH(Master_Cleaned_Data!I353, Lookups_Metadata!$D$4:$D$10, 0))</f>
        <v>Sunday</v>
      </c>
      <c r="E9" s="35" t="str">
        <f aca="false">VLOOKUP(Master_Cleaned_Data!M353, Lookups_Metadata!$G$4:$H$7, 2, FALSE())</f>
        <v>Clear / Few Clouds</v>
      </c>
      <c r="F9" s="41" t="n">
        <f aca="false">Master_Cleaned_Data!W353</f>
        <v>39</v>
      </c>
      <c r="G9" s="52" t="n">
        <f aca="false">INDEX(Pivot_Summaries!$F$6:$F$29, MATCH(Master_Cleaned_Data!G353, Pivot_Summaries!$A$6:$A$29, 0))</f>
        <v>16.3488372093023</v>
      </c>
      <c r="H9" s="67" t="n">
        <f aca="false">F9-G9</f>
        <v>22.6511627906977</v>
      </c>
      <c r="I9" s="68" t="n">
        <f aca="false">ROUND(H9/Statistical_Analysis!$H$12, 2)</f>
        <v>0.44</v>
      </c>
      <c r="J9" s="69" t="s">
        <v>396</v>
      </c>
      <c r="K9" s="35" t="s">
        <v>397</v>
      </c>
    </row>
    <row r="10" customFormat="false" ht="15" hidden="false" customHeight="false" outlineLevel="0" collapsed="false">
      <c r="A10" s="18" t="n">
        <v>397</v>
      </c>
      <c r="B10" s="45" t="s">
        <v>94</v>
      </c>
      <c r="C10" s="45" t="s">
        <v>49</v>
      </c>
      <c r="D10" s="33" t="str">
        <f aca="false">INDEX(Lookups_Metadata!$E$4:$E$10, MATCH(Master_Cleaned_Data!I401, Lookups_Metadata!$D$4:$D$10, 0))</f>
        <v>Tuesday</v>
      </c>
      <c r="E10" s="33" t="str">
        <f aca="false">VLOOKUP(Master_Cleaned_Data!M401, Lookups_Metadata!$G$4:$H$7, 2, FALSE())</f>
        <v>Mist / Cloudy</v>
      </c>
      <c r="F10" s="18" t="n">
        <f aca="false">Master_Cleaned_Data!W401</f>
        <v>3</v>
      </c>
      <c r="G10" s="53" t="n">
        <f aca="false">INDEX(Pivot_Summaries!$F$6:$F$29, MATCH(Master_Cleaned_Data!G401, Pivot_Summaries!$A$6:$A$29, 0))</f>
        <v>76.3488372093023</v>
      </c>
      <c r="H10" s="64" t="n">
        <f aca="false">F10-G10</f>
        <v>-73.3488372093023</v>
      </c>
      <c r="I10" s="65" t="n">
        <f aca="false">ROUND(H10/Statistical_Analysis!$H$12, 2)</f>
        <v>-1.44</v>
      </c>
      <c r="J10" s="70" t="s">
        <v>398</v>
      </c>
      <c r="K10" s="33" t="s">
        <v>399</v>
      </c>
    </row>
    <row r="11" customFormat="false" ht="15" hidden="false" customHeight="false" outlineLevel="0" collapsed="false">
      <c r="A11" s="41" t="n">
        <v>430</v>
      </c>
      <c r="B11" s="39" t="s">
        <v>95</v>
      </c>
      <c r="C11" s="39" t="s">
        <v>59</v>
      </c>
      <c r="D11" s="35" t="str">
        <f aca="false">INDEX(Lookups_Metadata!$E$4:$E$10, MATCH(Master_Cleaned_Data!I434, Lookups_Metadata!$D$4:$D$10, 0))</f>
        <v>Wednesday</v>
      </c>
      <c r="E11" s="35" t="str">
        <f aca="false">VLOOKUP(Master_Cleaned_Data!M434, Lookups_Metadata!$G$4:$H$7, 2, FALSE())</f>
        <v>Clear / Few Clouds</v>
      </c>
      <c r="F11" s="41" t="n">
        <f aca="false">Master_Cleaned_Data!W434</f>
        <v>59</v>
      </c>
      <c r="G11" s="52" t="n">
        <f aca="false">INDEX(Pivot_Summaries!$F$6:$F$29, MATCH(Master_Cleaned_Data!G434, Pivot_Summaries!$A$6:$A$29, 0))</f>
        <v>35.0697674418605</v>
      </c>
      <c r="H11" s="67" t="n">
        <f aca="false">F11-G11</f>
        <v>23.9302325581395</v>
      </c>
      <c r="I11" s="68" t="n">
        <f aca="false">ROUND(H11/Statistical_Analysis!$H$12, 2)</f>
        <v>0.47</v>
      </c>
      <c r="J11" s="69" t="s">
        <v>396</v>
      </c>
      <c r="K11" s="35" t="s">
        <v>397</v>
      </c>
    </row>
    <row r="12" customFormat="false" ht="15" hidden="false" customHeight="false" outlineLevel="0" collapsed="false">
      <c r="A12" s="18" t="n">
        <v>451</v>
      </c>
      <c r="B12" s="45" t="s">
        <v>96</v>
      </c>
      <c r="C12" s="45" t="s">
        <v>56</v>
      </c>
      <c r="D12" s="33" t="str">
        <f aca="false">INDEX(Lookups_Metadata!$E$4:$E$10, MATCH(Master_Cleaned_Data!I455, Lookups_Metadata!$D$4:$D$10, 0))</f>
        <v>Thursday</v>
      </c>
      <c r="E12" s="33" t="str">
        <f aca="false">VLOOKUP(Master_Cleaned_Data!M455, Lookups_Metadata!$G$4:$H$7, 2, FALSE())</f>
        <v>Clear / Few Clouds</v>
      </c>
      <c r="F12" s="18" t="n">
        <f aca="false">Master_Cleaned_Data!W455</f>
        <v>152</v>
      </c>
      <c r="G12" s="53" t="n">
        <f aca="false">INDEX(Pivot_Summaries!$F$6:$F$29, MATCH(Master_Cleaned_Data!G455, Pivot_Summaries!$A$6:$A$29, 0))</f>
        <v>85.1395348837209</v>
      </c>
      <c r="H12" s="64" t="n">
        <f aca="false">F12-G12</f>
        <v>66.8604651162791</v>
      </c>
      <c r="I12" s="65" t="n">
        <f aca="false">ROUND(H12/Statistical_Analysis!$H$12, 2)</f>
        <v>1.31</v>
      </c>
      <c r="J12" s="66" t="s">
        <v>396</v>
      </c>
      <c r="K12" s="33" t="s">
        <v>397</v>
      </c>
    </row>
    <row r="13" customFormat="false" ht="15" hidden="false" customHeight="false" outlineLevel="0" collapsed="false">
      <c r="A13" s="41" t="n">
        <v>452</v>
      </c>
      <c r="B13" s="39" t="s">
        <v>96</v>
      </c>
      <c r="C13" s="39" t="s">
        <v>57</v>
      </c>
      <c r="D13" s="35" t="str">
        <f aca="false">INDEX(Lookups_Metadata!$E$4:$E$10, MATCH(Master_Cleaned_Data!I456, Lookups_Metadata!$D$4:$D$10, 0))</f>
        <v>Thursday</v>
      </c>
      <c r="E13" s="35" t="str">
        <f aca="false">VLOOKUP(Master_Cleaned_Data!M456, Lookups_Metadata!$G$4:$H$7, 2, FALSE())</f>
        <v>Mist / Cloudy</v>
      </c>
      <c r="F13" s="41" t="n">
        <f aca="false">Master_Cleaned_Data!W456</f>
        <v>126</v>
      </c>
      <c r="G13" s="52" t="n">
        <f aca="false">INDEX(Pivot_Summaries!$F$6:$F$29, MATCH(Master_Cleaned_Data!G456, Pivot_Summaries!$A$6:$A$29, 0))</f>
        <v>61.7674418604651</v>
      </c>
      <c r="H13" s="67" t="n">
        <f aca="false">F13-G13</f>
        <v>64.2325581395349</v>
      </c>
      <c r="I13" s="68" t="n">
        <f aca="false">ROUND(H13/Statistical_Analysis!$H$12, 2)</f>
        <v>1.26</v>
      </c>
      <c r="J13" s="69" t="s">
        <v>396</v>
      </c>
      <c r="K13" s="35" t="s">
        <v>397</v>
      </c>
    </row>
    <row r="14" customFormat="false" ht="15" hidden="false" customHeight="false" outlineLevel="0" collapsed="false">
      <c r="A14" s="18" t="n">
        <v>566</v>
      </c>
      <c r="B14" s="45" t="s">
        <v>101</v>
      </c>
      <c r="C14" s="45" t="s">
        <v>55</v>
      </c>
      <c r="D14" s="33" t="str">
        <f aca="false">INDEX(Lookups_Metadata!$E$4:$E$10, MATCH(Master_Cleaned_Data!I570, Lookups_Metadata!$D$4:$D$10, 0))</f>
        <v>Tuesday</v>
      </c>
      <c r="E14" s="33" t="str">
        <f aca="false">VLOOKUP(Master_Cleaned_Data!M570, Lookups_Metadata!$G$4:$H$7, 2, FALSE())</f>
        <v>Mist / Cloudy</v>
      </c>
      <c r="F14" s="18" t="n">
        <f aca="false">Master_Cleaned_Data!W570</f>
        <v>225</v>
      </c>
      <c r="G14" s="53" t="n">
        <f aca="false">INDEX(Pivot_Summaries!$F$6:$F$29, MATCH(Master_Cleaned_Data!G570, Pivot_Summaries!$A$6:$A$29, 0))</f>
        <v>122.860465116279</v>
      </c>
      <c r="H14" s="64" t="n">
        <f aca="false">F14-G14</f>
        <v>102.139534883721</v>
      </c>
      <c r="I14" s="65" t="n">
        <f aca="false">ROUND(H14/Statistical_Analysis!$H$12, 2)</f>
        <v>2</v>
      </c>
      <c r="J14" s="66" t="s">
        <v>396</v>
      </c>
      <c r="K14" s="33" t="s">
        <v>397</v>
      </c>
    </row>
    <row r="15" customFormat="false" ht="15" hidden="false" customHeight="false" outlineLevel="0" collapsed="false">
      <c r="A15" s="41" t="n">
        <v>568</v>
      </c>
      <c r="B15" s="39" t="s">
        <v>101</v>
      </c>
      <c r="C15" s="39" t="s">
        <v>57</v>
      </c>
      <c r="D15" s="35" t="str">
        <f aca="false">INDEX(Lookups_Metadata!$E$4:$E$10, MATCH(Master_Cleaned_Data!I572, Lookups_Metadata!$D$4:$D$10, 0))</f>
        <v>Tuesday</v>
      </c>
      <c r="E15" s="35" t="str">
        <f aca="false">VLOOKUP(Master_Cleaned_Data!M572, Lookups_Metadata!$G$4:$H$7, 2, FALSE())</f>
        <v>Clear / Few Clouds</v>
      </c>
      <c r="F15" s="41" t="n">
        <f aca="false">Master_Cleaned_Data!W572</f>
        <v>119</v>
      </c>
      <c r="G15" s="52" t="n">
        <f aca="false">INDEX(Pivot_Summaries!$F$6:$F$29, MATCH(Master_Cleaned_Data!G572, Pivot_Summaries!$A$6:$A$29, 0))</f>
        <v>61.7674418604651</v>
      </c>
      <c r="H15" s="67" t="n">
        <f aca="false">F15-G15</f>
        <v>57.2325581395349</v>
      </c>
      <c r="I15" s="68" t="n">
        <f aca="false">ROUND(H15/Statistical_Analysis!$H$12, 2)</f>
        <v>1.12</v>
      </c>
      <c r="J15" s="69" t="s">
        <v>396</v>
      </c>
      <c r="K15" s="35" t="s">
        <v>397</v>
      </c>
    </row>
    <row r="16" customFormat="false" ht="15" hidden="false" customHeight="false" outlineLevel="0" collapsed="false">
      <c r="A16" s="18" t="n">
        <v>586</v>
      </c>
      <c r="B16" s="45" t="s">
        <v>102</v>
      </c>
      <c r="C16" s="45" t="s">
        <v>53</v>
      </c>
      <c r="D16" s="33" t="str">
        <f aca="false">INDEX(Lookups_Metadata!$E$4:$E$10, MATCH(Master_Cleaned_Data!I590, Lookups_Metadata!$D$4:$D$10, 0))</f>
        <v>Wednesday</v>
      </c>
      <c r="E16" s="33" t="str">
        <f aca="false">VLOOKUP(Master_Cleaned_Data!M590, Lookups_Metadata!$G$4:$H$7, 2, FALSE())</f>
        <v>Heavy Rain / Ice Pellets</v>
      </c>
      <c r="F16" s="18" t="n">
        <f aca="false">Master_Cleaned_Data!W590</f>
        <v>36</v>
      </c>
      <c r="G16" s="53" t="n">
        <f aca="false">INDEX(Pivot_Summaries!$F$6:$F$29, MATCH(Master_Cleaned_Data!G590, Pivot_Summaries!$A$6:$A$29, 0))</f>
        <v>89.2727272727273</v>
      </c>
      <c r="H16" s="64" t="n">
        <f aca="false">F16-G16</f>
        <v>-53.2727272727273</v>
      </c>
      <c r="I16" s="65" t="n">
        <f aca="false">ROUND(H16/Statistical_Analysis!$H$12, 2)</f>
        <v>-1.04</v>
      </c>
      <c r="J16" s="70" t="s">
        <v>398</v>
      </c>
      <c r="K16" s="33" t="s">
        <v>399</v>
      </c>
    </row>
    <row r="17" customFormat="false" ht="15" hidden="false" customHeight="false" outlineLevel="0" collapsed="false">
      <c r="A17" s="41" t="n">
        <v>587</v>
      </c>
      <c r="B17" s="39" t="s">
        <v>102</v>
      </c>
      <c r="C17" s="39" t="s">
        <v>54</v>
      </c>
      <c r="D17" s="35" t="str">
        <f aca="false">INDEX(Lookups_Metadata!$E$4:$E$10, MATCH(Master_Cleaned_Data!I591, Lookups_Metadata!$D$4:$D$10, 0))</f>
        <v>Wednesday</v>
      </c>
      <c r="E17" s="35" t="str">
        <f aca="false">VLOOKUP(Master_Cleaned_Data!M591, Lookups_Metadata!$G$4:$H$7, 2, FALSE())</f>
        <v>Light Snow / Light Rain</v>
      </c>
      <c r="F17" s="41" t="n">
        <f aca="false">Master_Cleaned_Data!W591</f>
        <v>26</v>
      </c>
      <c r="G17" s="52" t="n">
        <f aca="false">INDEX(Pivot_Summaries!$F$6:$F$29, MATCH(Master_Cleaned_Data!G591, Pivot_Summaries!$A$6:$A$29, 0))</f>
        <v>140.204545454545</v>
      </c>
      <c r="H17" s="67" t="n">
        <f aca="false">F17-G17</f>
        <v>-114.204545454545</v>
      </c>
      <c r="I17" s="68" t="n">
        <f aca="false">ROUND(H17/Statistical_Analysis!$H$12, 2)</f>
        <v>-2.24</v>
      </c>
      <c r="J17" s="71" t="s">
        <v>398</v>
      </c>
      <c r="K17" s="35" t="s">
        <v>399</v>
      </c>
    </row>
    <row r="18" customFormat="false" ht="15" hidden="false" customHeight="false" outlineLevel="0" collapsed="false">
      <c r="A18" s="18" t="n">
        <v>588</v>
      </c>
      <c r="B18" s="45" t="s">
        <v>103</v>
      </c>
      <c r="C18" s="45" t="s">
        <v>53</v>
      </c>
      <c r="D18" s="33" t="str">
        <f aca="false">INDEX(Lookups_Metadata!$E$4:$E$10, MATCH(Master_Cleaned_Data!I592, Lookups_Metadata!$D$4:$D$10, 0))</f>
        <v>Thursday</v>
      </c>
      <c r="E18" s="33" t="str">
        <f aca="false">VLOOKUP(Master_Cleaned_Data!M592, Lookups_Metadata!$G$4:$H$7, 2, FALSE())</f>
        <v>Clear / Few Clouds</v>
      </c>
      <c r="F18" s="18" t="n">
        <f aca="false">Master_Cleaned_Data!W592</f>
        <v>24</v>
      </c>
      <c r="G18" s="53" t="n">
        <f aca="false">INDEX(Pivot_Summaries!$F$6:$F$29, MATCH(Master_Cleaned_Data!G592, Pivot_Summaries!$A$6:$A$29, 0))</f>
        <v>89.2727272727273</v>
      </c>
      <c r="H18" s="64" t="n">
        <f aca="false">F18-G18</f>
        <v>-65.2727272727273</v>
      </c>
      <c r="I18" s="65" t="n">
        <f aca="false">ROUND(H18/Statistical_Analysis!$H$12, 2)</f>
        <v>-1.28</v>
      </c>
      <c r="J18" s="70" t="s">
        <v>398</v>
      </c>
      <c r="K18" s="33" t="s">
        <v>399</v>
      </c>
    </row>
    <row r="19" customFormat="false" ht="15" hidden="false" customHeight="false" outlineLevel="0" collapsed="false">
      <c r="A19" s="41" t="n">
        <v>782</v>
      </c>
      <c r="B19" s="39" t="s">
        <v>119</v>
      </c>
      <c r="C19" s="39" t="s">
        <v>31</v>
      </c>
      <c r="D19" s="35" t="str">
        <f aca="false">INDEX(Lookups_Metadata!$E$4:$E$10, MATCH(Master_Cleaned_Data!I786, Lookups_Metadata!$D$4:$D$10, 0))</f>
        <v>Saturday</v>
      </c>
      <c r="E19" s="35" t="str">
        <f aca="false">VLOOKUP(Master_Cleaned_Data!M786, Lookups_Metadata!$G$4:$H$7, 2, FALSE())</f>
        <v>Mist / Cloudy</v>
      </c>
      <c r="F19" s="41" t="n">
        <f aca="false">Master_Cleaned_Data!W786</f>
        <v>39</v>
      </c>
      <c r="G19" s="52" t="n">
        <f aca="false">INDEX(Pivot_Summaries!$F$6:$F$29, MATCH(Master_Cleaned_Data!G786, Pivot_Summaries!$A$6:$A$29, 0))</f>
        <v>16.3488372093023</v>
      </c>
      <c r="H19" s="67" t="n">
        <f aca="false">F19-G19</f>
        <v>22.6511627906977</v>
      </c>
      <c r="I19" s="68" t="n">
        <f aca="false">ROUND(H19/Statistical_Analysis!$H$12, 2)</f>
        <v>0.44</v>
      </c>
      <c r="J19" s="69" t="s">
        <v>396</v>
      </c>
      <c r="K19" s="35" t="s">
        <v>397</v>
      </c>
    </row>
    <row r="20" customFormat="false" ht="15" hidden="false" customHeight="false" outlineLevel="0" collapsed="false">
      <c r="A20" s="18" t="n">
        <v>805</v>
      </c>
      <c r="B20" s="45" t="s">
        <v>119</v>
      </c>
      <c r="C20" s="45" t="s">
        <v>60</v>
      </c>
      <c r="D20" s="33" t="str">
        <f aca="false">INDEX(Lookups_Metadata!$E$4:$E$10, MATCH(Master_Cleaned_Data!I809, Lookups_Metadata!$D$4:$D$10, 0))</f>
        <v>Saturday</v>
      </c>
      <c r="E20" s="33" t="str">
        <f aca="false">VLOOKUP(Master_Cleaned_Data!M809, Lookups_Metadata!$G$4:$H$7, 2, FALSE())</f>
        <v>Clear / Few Clouds</v>
      </c>
      <c r="F20" s="18" t="n">
        <f aca="false">Master_Cleaned_Data!W809</f>
        <v>59</v>
      </c>
      <c r="G20" s="53" t="n">
        <f aca="false">INDEX(Pivot_Summaries!$F$6:$F$29, MATCH(Master_Cleaned_Data!G809, Pivot_Summaries!$A$6:$A$29, 0))</f>
        <v>25.1860465116279</v>
      </c>
      <c r="H20" s="64" t="n">
        <f aca="false">F20-G20</f>
        <v>33.8139534883721</v>
      </c>
      <c r="I20" s="65" t="n">
        <f aca="false">ROUND(H20/Statistical_Analysis!$H$12, 2)</f>
        <v>0.66</v>
      </c>
      <c r="J20" s="66" t="s">
        <v>396</v>
      </c>
      <c r="K20" s="33" t="s">
        <v>397</v>
      </c>
    </row>
    <row r="21" customFormat="false" ht="15" hidden="false" customHeight="false" outlineLevel="0" collapsed="false">
      <c r="A21" s="41" t="n">
        <v>806</v>
      </c>
      <c r="B21" s="39" t="s">
        <v>120</v>
      </c>
      <c r="C21" s="39" t="s">
        <v>31</v>
      </c>
      <c r="D21" s="35" t="str">
        <f aca="false">INDEX(Lookups_Metadata!$E$4:$E$10, MATCH(Master_Cleaned_Data!I810, Lookups_Metadata!$D$4:$D$10, 0))</f>
        <v>Sunday</v>
      </c>
      <c r="E21" s="35" t="str">
        <f aca="false">VLOOKUP(Master_Cleaned_Data!M810, Lookups_Metadata!$G$4:$H$7, 2, FALSE())</f>
        <v>Clear / Few Clouds</v>
      </c>
      <c r="F21" s="41" t="n">
        <f aca="false">Master_Cleaned_Data!W810</f>
        <v>39</v>
      </c>
      <c r="G21" s="52" t="n">
        <f aca="false">INDEX(Pivot_Summaries!$F$6:$F$29, MATCH(Master_Cleaned_Data!G810, Pivot_Summaries!$A$6:$A$29, 0))</f>
        <v>16.3488372093023</v>
      </c>
      <c r="H21" s="67" t="n">
        <f aca="false">F21-G21</f>
        <v>22.6511627906977</v>
      </c>
      <c r="I21" s="68" t="n">
        <f aca="false">ROUND(H21/Statistical_Analysis!$H$12, 2)</f>
        <v>0.44</v>
      </c>
      <c r="J21" s="69" t="s">
        <v>396</v>
      </c>
      <c r="K21" s="35" t="s">
        <v>397</v>
      </c>
    </row>
    <row r="22" customFormat="false" ht="15" hidden="false" customHeight="false" outlineLevel="0" collapsed="false">
      <c r="A22" s="18" t="n">
        <v>807</v>
      </c>
      <c r="B22" s="45" t="s">
        <v>120</v>
      </c>
      <c r="C22" s="45" t="s">
        <v>33</v>
      </c>
      <c r="D22" s="33" t="str">
        <f aca="false">INDEX(Lookups_Metadata!$E$4:$E$10, MATCH(Master_Cleaned_Data!I811, Lookups_Metadata!$D$4:$D$10, 0))</f>
        <v>Sunday</v>
      </c>
      <c r="E22" s="33" t="str">
        <f aca="false">VLOOKUP(Master_Cleaned_Data!M811, Lookups_Metadata!$G$4:$H$7, 2, FALSE())</f>
        <v>Clear / Few Clouds</v>
      </c>
      <c r="F22" s="18" t="n">
        <f aca="false">Master_Cleaned_Data!W811</f>
        <v>44</v>
      </c>
      <c r="G22" s="53" t="n">
        <f aca="false">INDEX(Pivot_Summaries!$F$6:$F$29, MATCH(Master_Cleaned_Data!G811, Pivot_Summaries!$A$6:$A$29, 0))</f>
        <v>10.6976744186047</v>
      </c>
      <c r="H22" s="64" t="n">
        <f aca="false">F22-G22</f>
        <v>33.3023255813954</v>
      </c>
      <c r="I22" s="65" t="n">
        <f aca="false">ROUND(H22/Statistical_Analysis!$H$12, 2)</f>
        <v>0.65</v>
      </c>
      <c r="J22" s="66" t="s">
        <v>396</v>
      </c>
      <c r="K22" s="33" t="s">
        <v>397</v>
      </c>
    </row>
    <row r="23" customFormat="false" ht="15" hidden="false" customHeight="false" outlineLevel="0" collapsed="false">
      <c r="A23" s="41" t="n">
        <v>816</v>
      </c>
      <c r="B23" s="39" t="s">
        <v>120</v>
      </c>
      <c r="C23" s="39" t="s">
        <v>47</v>
      </c>
      <c r="D23" s="35" t="str">
        <f aca="false">INDEX(Lookups_Metadata!$E$4:$E$10, MATCH(Master_Cleaned_Data!I820, Lookups_Metadata!$D$4:$D$10, 0))</f>
        <v>Sunday</v>
      </c>
      <c r="E23" s="35" t="str">
        <f aca="false">VLOOKUP(Master_Cleaned_Data!M820, Lookups_Metadata!$G$4:$H$7, 2, FALSE())</f>
        <v>Clear / Few Clouds</v>
      </c>
      <c r="F23" s="41" t="n">
        <f aca="false">Master_Cleaned_Data!W820</f>
        <v>89</v>
      </c>
      <c r="G23" s="52" t="n">
        <f aca="false">INDEX(Pivot_Summaries!$F$6:$F$29, MATCH(Master_Cleaned_Data!G820, Pivot_Summaries!$A$6:$A$29, 0))</f>
        <v>53.6428571428571</v>
      </c>
      <c r="H23" s="67" t="n">
        <f aca="false">F23-G23</f>
        <v>35.3571428571429</v>
      </c>
      <c r="I23" s="68" t="n">
        <f aca="false">ROUND(H23/Statistical_Analysis!$H$12, 2)</f>
        <v>0.69</v>
      </c>
      <c r="J23" s="69" t="s">
        <v>396</v>
      </c>
      <c r="K23" s="35" t="s">
        <v>397</v>
      </c>
    </row>
    <row r="24" customFormat="false" ht="15" hidden="false" customHeight="false" outlineLevel="0" collapsed="false">
      <c r="A24" s="18" t="n">
        <v>817</v>
      </c>
      <c r="B24" s="45" t="s">
        <v>120</v>
      </c>
      <c r="C24" s="45" t="s">
        <v>48</v>
      </c>
      <c r="D24" s="33" t="str">
        <f aca="false">INDEX(Lookups_Metadata!$E$4:$E$10, MATCH(Master_Cleaned_Data!I821, Lookups_Metadata!$D$4:$D$10, 0))</f>
        <v>Sunday</v>
      </c>
      <c r="E24" s="33" t="str">
        <f aca="false">VLOOKUP(Master_Cleaned_Data!M821, Lookups_Metadata!$G$4:$H$7, 2, FALSE())</f>
        <v>Clear / Few Clouds</v>
      </c>
      <c r="F24" s="18" t="n">
        <f aca="false">Master_Cleaned_Data!W821</f>
        <v>117</v>
      </c>
      <c r="G24" s="53" t="n">
        <f aca="false">INDEX(Pivot_Summaries!$F$6:$F$29, MATCH(Master_Cleaned_Data!G821, Pivot_Summaries!$A$6:$A$29, 0))</f>
        <v>59.3809523809524</v>
      </c>
      <c r="H24" s="64" t="n">
        <f aca="false">F24-G24</f>
        <v>57.6190476190476</v>
      </c>
      <c r="I24" s="65" t="n">
        <f aca="false">ROUND(H24/Statistical_Analysis!$H$12, 2)</f>
        <v>1.13</v>
      </c>
      <c r="J24" s="66" t="s">
        <v>396</v>
      </c>
      <c r="K24" s="33" t="s">
        <v>397</v>
      </c>
    </row>
    <row r="25" customFormat="false" ht="15" hidden="false" customHeight="false" outlineLevel="0" collapsed="false">
      <c r="A25" s="41" t="n">
        <v>818</v>
      </c>
      <c r="B25" s="39" t="s">
        <v>120</v>
      </c>
      <c r="C25" s="39" t="s">
        <v>49</v>
      </c>
      <c r="D25" s="35" t="str">
        <f aca="false">INDEX(Lookups_Metadata!$E$4:$E$10, MATCH(Master_Cleaned_Data!I822, Lookups_Metadata!$D$4:$D$10, 0))</f>
        <v>Sunday</v>
      </c>
      <c r="E25" s="35" t="str">
        <f aca="false">VLOOKUP(Master_Cleaned_Data!M822, Lookups_Metadata!$G$4:$H$7, 2, FALSE())</f>
        <v>Clear / Few Clouds</v>
      </c>
      <c r="F25" s="41" t="n">
        <f aca="false">Master_Cleaned_Data!W822</f>
        <v>174</v>
      </c>
      <c r="G25" s="52" t="n">
        <f aca="false">INDEX(Pivot_Summaries!$F$6:$F$29, MATCH(Master_Cleaned_Data!G822, Pivot_Summaries!$A$6:$A$29, 0))</f>
        <v>76.3488372093023</v>
      </c>
      <c r="H25" s="67" t="n">
        <f aca="false">F25-G25</f>
        <v>97.6511627906977</v>
      </c>
      <c r="I25" s="68" t="n">
        <f aca="false">ROUND(H25/Statistical_Analysis!$H$12, 2)</f>
        <v>1.92</v>
      </c>
      <c r="J25" s="69" t="s">
        <v>396</v>
      </c>
      <c r="K25" s="35" t="s">
        <v>397</v>
      </c>
    </row>
    <row r="26" customFormat="false" ht="15" hidden="false" customHeight="false" outlineLevel="0" collapsed="false">
      <c r="A26" s="18" t="n">
        <v>819</v>
      </c>
      <c r="B26" s="45" t="s">
        <v>120</v>
      </c>
      <c r="C26" s="45" t="s">
        <v>50</v>
      </c>
      <c r="D26" s="33" t="str">
        <f aca="false">INDEX(Lookups_Metadata!$E$4:$E$10, MATCH(Master_Cleaned_Data!I823, Lookups_Metadata!$D$4:$D$10, 0))</f>
        <v>Sunday</v>
      </c>
      <c r="E26" s="33" t="str">
        <f aca="false">VLOOKUP(Master_Cleaned_Data!M823, Lookups_Metadata!$G$4:$H$7, 2, FALSE())</f>
        <v>Clear / Few Clouds</v>
      </c>
      <c r="F26" s="18" t="n">
        <f aca="false">Master_Cleaned_Data!W823</f>
        <v>182</v>
      </c>
      <c r="G26" s="53" t="n">
        <f aca="false">INDEX(Pivot_Summaries!$F$6:$F$29, MATCH(Master_Cleaned_Data!G823, Pivot_Summaries!$A$6:$A$29, 0))</f>
        <v>78.5116279069767</v>
      </c>
      <c r="H26" s="64" t="n">
        <f aca="false">F26-G26</f>
        <v>103.488372093023</v>
      </c>
      <c r="I26" s="65" t="n">
        <f aca="false">ROUND(H26/Statistical_Analysis!$H$12, 2)</f>
        <v>2.03</v>
      </c>
      <c r="J26" s="66" t="s">
        <v>396</v>
      </c>
      <c r="K26" s="33" t="s">
        <v>397</v>
      </c>
    </row>
    <row r="27" customFormat="false" ht="15" hidden="false" customHeight="false" outlineLevel="0" collapsed="false">
      <c r="A27" s="41" t="n">
        <v>820</v>
      </c>
      <c r="B27" s="39" t="s">
        <v>120</v>
      </c>
      <c r="C27" s="39" t="s">
        <v>51</v>
      </c>
      <c r="D27" s="35" t="str">
        <f aca="false">INDEX(Lookups_Metadata!$E$4:$E$10, MATCH(Master_Cleaned_Data!I824, Lookups_Metadata!$D$4:$D$10, 0))</f>
        <v>Sunday</v>
      </c>
      <c r="E27" s="35" t="str">
        <f aca="false">VLOOKUP(Master_Cleaned_Data!M824, Lookups_Metadata!$G$4:$H$7, 2, FALSE())</f>
        <v>Clear / Few Clouds</v>
      </c>
      <c r="F27" s="41" t="n">
        <f aca="false">Master_Cleaned_Data!W824</f>
        <v>161</v>
      </c>
      <c r="G27" s="52" t="n">
        <f aca="false">INDEX(Pivot_Summaries!$F$6:$F$29, MATCH(Master_Cleaned_Data!G824, Pivot_Summaries!$A$6:$A$29, 0))</f>
        <v>74.4186046511628</v>
      </c>
      <c r="H27" s="67" t="n">
        <f aca="false">F27-G27</f>
        <v>86.5813953488372</v>
      </c>
      <c r="I27" s="68" t="n">
        <f aca="false">ROUND(H27/Statistical_Analysis!$H$12, 2)</f>
        <v>1.7</v>
      </c>
      <c r="J27" s="69" t="s">
        <v>396</v>
      </c>
      <c r="K27" s="35" t="s">
        <v>397</v>
      </c>
    </row>
    <row r="28" customFormat="false" ht="15" hidden="false" customHeight="false" outlineLevel="0" collapsed="false">
      <c r="A28" s="18" t="n">
        <v>821</v>
      </c>
      <c r="B28" s="45" t="s">
        <v>120</v>
      </c>
      <c r="C28" s="45" t="s">
        <v>52</v>
      </c>
      <c r="D28" s="33" t="str">
        <f aca="false">INDEX(Lookups_Metadata!$E$4:$E$10, MATCH(Master_Cleaned_Data!I825, Lookups_Metadata!$D$4:$D$10, 0))</f>
        <v>Sunday</v>
      </c>
      <c r="E28" s="33" t="str">
        <f aca="false">VLOOKUP(Master_Cleaned_Data!M825, Lookups_Metadata!$G$4:$H$7, 2, FALSE())</f>
        <v>Clear / Few Clouds</v>
      </c>
      <c r="F28" s="18" t="n">
        <f aca="false">Master_Cleaned_Data!W825</f>
        <v>182</v>
      </c>
      <c r="G28" s="53" t="n">
        <f aca="false">INDEX(Pivot_Summaries!$F$6:$F$29, MATCH(Master_Cleaned_Data!G825, Pivot_Summaries!$A$6:$A$29, 0))</f>
        <v>77.953488372093</v>
      </c>
      <c r="H28" s="64" t="n">
        <f aca="false">F28-G28</f>
        <v>104.046511627907</v>
      </c>
      <c r="I28" s="65" t="n">
        <f aca="false">ROUND(H28/Statistical_Analysis!$H$12, 2)</f>
        <v>2.04</v>
      </c>
      <c r="J28" s="66" t="s">
        <v>396</v>
      </c>
      <c r="K28" s="33" t="s">
        <v>397</v>
      </c>
    </row>
    <row r="29" customFormat="false" ht="15" hidden="false" customHeight="false" outlineLevel="0" collapsed="false">
      <c r="A29" s="41" t="n">
        <v>822</v>
      </c>
      <c r="B29" s="39" t="s">
        <v>120</v>
      </c>
      <c r="C29" s="39" t="s">
        <v>53</v>
      </c>
      <c r="D29" s="35" t="str">
        <f aca="false">INDEX(Lookups_Metadata!$E$4:$E$10, MATCH(Master_Cleaned_Data!I826, Lookups_Metadata!$D$4:$D$10, 0))</f>
        <v>Sunday</v>
      </c>
      <c r="E29" s="35" t="str">
        <f aca="false">VLOOKUP(Master_Cleaned_Data!M826, Lookups_Metadata!$G$4:$H$7, 2, FALSE())</f>
        <v>Clear / Few Clouds</v>
      </c>
      <c r="F29" s="41" t="n">
        <f aca="false">Master_Cleaned_Data!W826</f>
        <v>157</v>
      </c>
      <c r="G29" s="52" t="n">
        <f aca="false">INDEX(Pivot_Summaries!$F$6:$F$29, MATCH(Master_Cleaned_Data!G826, Pivot_Summaries!$A$6:$A$29, 0))</f>
        <v>89.2727272727273</v>
      </c>
      <c r="H29" s="67" t="n">
        <f aca="false">F29-G29</f>
        <v>67.7272727272727</v>
      </c>
      <c r="I29" s="68" t="n">
        <f aca="false">ROUND(H29/Statistical_Analysis!$H$12, 2)</f>
        <v>1.33</v>
      </c>
      <c r="J29" s="69" t="s">
        <v>396</v>
      </c>
      <c r="K29" s="35" t="s">
        <v>397</v>
      </c>
    </row>
    <row r="30" customFormat="false" ht="15" hidden="false" customHeight="false" outlineLevel="0" collapsed="false">
      <c r="A30" s="18" t="n">
        <v>825</v>
      </c>
      <c r="B30" s="45" t="s">
        <v>120</v>
      </c>
      <c r="C30" s="45" t="s">
        <v>56</v>
      </c>
      <c r="D30" s="33" t="str">
        <f aca="false">INDEX(Lookups_Metadata!$E$4:$E$10, MATCH(Master_Cleaned_Data!I829, Lookups_Metadata!$D$4:$D$10, 0))</f>
        <v>Sunday</v>
      </c>
      <c r="E30" s="33" t="str">
        <f aca="false">VLOOKUP(Master_Cleaned_Data!M829, Lookups_Metadata!$G$4:$H$7, 2, FALSE())</f>
        <v>Clear / Few Clouds</v>
      </c>
      <c r="F30" s="18" t="n">
        <f aca="false">Master_Cleaned_Data!W829</f>
        <v>21</v>
      </c>
      <c r="G30" s="53" t="n">
        <f aca="false">INDEX(Pivot_Summaries!$F$6:$F$29, MATCH(Master_Cleaned_Data!G829, Pivot_Summaries!$A$6:$A$29, 0))</f>
        <v>85.1395348837209</v>
      </c>
      <c r="H30" s="64" t="n">
        <f aca="false">F30-G30</f>
        <v>-64.1395348837209</v>
      </c>
      <c r="I30" s="65" t="n">
        <f aca="false">ROUND(H30/Statistical_Analysis!$H$12, 2)</f>
        <v>-1.26</v>
      </c>
      <c r="J30" s="70" t="s">
        <v>398</v>
      </c>
      <c r="K30" s="33" t="s">
        <v>399</v>
      </c>
    </row>
    <row r="33" customFormat="false" ht="15" hidden="false" customHeight="false" outlineLevel="0" collapsed="false">
      <c r="A33" s="32" t="s">
        <v>400</v>
      </c>
    </row>
    <row r="34" customFormat="false" ht="21.75" hidden="false" customHeight="true" outlineLevel="0" collapsed="false">
      <c r="A34" s="15" t="s">
        <v>401</v>
      </c>
      <c r="B34" s="15" t="s">
        <v>402</v>
      </c>
      <c r="C34" s="15" t="s">
        <v>330</v>
      </c>
      <c r="D34" s="15" t="s">
        <v>403</v>
      </c>
      <c r="E34" s="15" t="s">
        <v>404</v>
      </c>
      <c r="F34" s="15" t="s">
        <v>405</v>
      </c>
      <c r="G34" s="15" t="s">
        <v>406</v>
      </c>
      <c r="H34" s="15" t="s">
        <v>407</v>
      </c>
      <c r="I34" s="15" t="s">
        <v>408</v>
      </c>
      <c r="J34" s="15" t="s">
        <v>409</v>
      </c>
      <c r="K34" s="15" t="s">
        <v>410</v>
      </c>
    </row>
    <row r="35" customFormat="false" ht="15" hidden="false" customHeight="false" outlineLevel="0" collapsed="false">
      <c r="A35" s="41" t="n">
        <v>1001</v>
      </c>
      <c r="B35" s="39" t="s">
        <v>128</v>
      </c>
      <c r="C35" s="39" t="s">
        <v>45</v>
      </c>
      <c r="D35" s="35" t="s">
        <v>20</v>
      </c>
      <c r="E35" s="52" t="n">
        <f aca="false">Pivot_Summaries!$F$30</f>
        <v>58.304</v>
      </c>
      <c r="F35" s="72" t="n">
        <f aca="false">INDEX(Pivot_Summaries!$F$6:$F$29, 9)/Pivot_Summaries!$F$30</f>
        <v>2.20029010506508</v>
      </c>
      <c r="G35" s="72" t="n">
        <v>1.05</v>
      </c>
      <c r="H35" s="41" t="n">
        <f aca="false">ROUND(E35*F35*G35, 0)</f>
        <v>135</v>
      </c>
      <c r="I35" s="41" t="n">
        <f aca="false">MAX(1, ROUND(H35 - 1.96 * 25, 0))</f>
        <v>86</v>
      </c>
      <c r="J35" s="41" t="n">
        <f aca="false">ROUND(H35 + 1.96 * 25, 0)</f>
        <v>184</v>
      </c>
      <c r="K35" s="35" t="str">
        <f aca="false">IF(H35&gt;=120, "High Commuter Rush - Rebalance Fleet", IF(H35&lt;=15, "Low Utilization - Schedule Maintenance", "Optimal Operation"))</f>
        <v>High Commuter Rush - Rebalance Fleet</v>
      </c>
    </row>
    <row r="36" customFormat="false" ht="15" hidden="false" customHeight="false" outlineLevel="0" collapsed="false">
      <c r="A36" s="18" t="n">
        <v>1002</v>
      </c>
      <c r="B36" s="45" t="s">
        <v>128</v>
      </c>
      <c r="C36" s="45" t="s">
        <v>46</v>
      </c>
      <c r="D36" s="33" t="s">
        <v>20</v>
      </c>
      <c r="E36" s="53" t="n">
        <f aca="false">Pivot_Summaries!$F$30</f>
        <v>58.304</v>
      </c>
      <c r="F36" s="54" t="n">
        <f aca="false">INDEX(Pivot_Summaries!$F$6:$F$29, 10)/Pivot_Summaries!$F$30</f>
        <v>1.49952955935393</v>
      </c>
      <c r="G36" s="54" t="n">
        <v>1.05</v>
      </c>
      <c r="H36" s="18" t="n">
        <f aca="false">ROUND(E36*F36*G36, 0)</f>
        <v>92</v>
      </c>
      <c r="I36" s="18" t="n">
        <f aca="false">MAX(1, ROUND(H36 - 1.96 * 25, 0))</f>
        <v>43</v>
      </c>
      <c r="J36" s="18" t="n">
        <f aca="false">ROUND(H36 + 1.96 * 25, 0)</f>
        <v>141</v>
      </c>
      <c r="K36" s="33" t="str">
        <f aca="false">IF(H36&gt;=120, "High Commuter Rush - Rebalance Fleet", IF(H36&lt;=15, "Low Utilization - Schedule Maintenance", "Optimal Operation"))</f>
        <v>Optimal Operation</v>
      </c>
    </row>
    <row r="37" customFormat="false" ht="15" hidden="false" customHeight="false" outlineLevel="0" collapsed="false">
      <c r="A37" s="41" t="n">
        <v>1003</v>
      </c>
      <c r="B37" s="39" t="s">
        <v>128</v>
      </c>
      <c r="C37" s="39" t="s">
        <v>47</v>
      </c>
      <c r="D37" s="35" t="s">
        <v>20</v>
      </c>
      <c r="E37" s="52" t="n">
        <f aca="false">Pivot_Summaries!$F$30</f>
        <v>58.304</v>
      </c>
      <c r="F37" s="72" t="n">
        <f aca="false">INDEX(Pivot_Summaries!$F$6:$F$29, 11)/Pivot_Summaries!$F$30</f>
        <v>0.92005449270817</v>
      </c>
      <c r="G37" s="72" t="n">
        <v>1.05</v>
      </c>
      <c r="H37" s="41" t="n">
        <f aca="false">ROUND(E37*F37*G37, 0)</f>
        <v>56</v>
      </c>
      <c r="I37" s="41" t="n">
        <f aca="false">MAX(1, ROUND(H37 - 1.96 * 25, 0))</f>
        <v>7</v>
      </c>
      <c r="J37" s="41" t="n">
        <f aca="false">ROUND(H37 + 1.96 * 25, 0)</f>
        <v>105</v>
      </c>
      <c r="K37" s="35" t="str">
        <f aca="false">IF(H37&gt;=120, "High Commuter Rush - Rebalance Fleet", IF(H37&lt;=15, "Low Utilization - Schedule Maintenance", "Optimal Operation"))</f>
        <v>Optimal Operation</v>
      </c>
    </row>
    <row r="38" customFormat="false" ht="15" hidden="false" customHeight="false" outlineLevel="0" collapsed="false">
      <c r="A38" s="18" t="n">
        <v>1004</v>
      </c>
      <c r="B38" s="45" t="s">
        <v>128</v>
      </c>
      <c r="C38" s="45" t="s">
        <v>48</v>
      </c>
      <c r="D38" s="33" t="s">
        <v>20</v>
      </c>
      <c r="E38" s="53" t="n">
        <f aca="false">Pivot_Summaries!$F$30</f>
        <v>58.304</v>
      </c>
      <c r="F38" s="54" t="n">
        <f aca="false">INDEX(Pivot_Summaries!$F$6:$F$29, 12)/Pivot_Summaries!$F$30</f>
        <v>1.01847132925618</v>
      </c>
      <c r="G38" s="54" t="n">
        <v>1.05</v>
      </c>
      <c r="H38" s="18" t="n">
        <f aca="false">ROUND(E38*F38*G38, 0)</f>
        <v>62</v>
      </c>
      <c r="I38" s="18" t="n">
        <f aca="false">MAX(1, ROUND(H38 - 1.96 * 25, 0))</f>
        <v>13</v>
      </c>
      <c r="J38" s="18" t="n">
        <f aca="false">ROUND(H38 + 1.96 * 25, 0)</f>
        <v>111</v>
      </c>
      <c r="K38" s="33" t="str">
        <f aca="false">IF(H38&gt;=120, "High Commuter Rush - Rebalance Fleet", IF(H38&lt;=15, "Low Utilization - Schedule Maintenance", "Optimal Operation"))</f>
        <v>Optimal Operation</v>
      </c>
    </row>
    <row r="39" customFormat="false" ht="15" hidden="false" customHeight="false" outlineLevel="0" collapsed="false">
      <c r="A39" s="41" t="n">
        <v>1005</v>
      </c>
      <c r="B39" s="39" t="s">
        <v>128</v>
      </c>
      <c r="C39" s="39" t="s">
        <v>49</v>
      </c>
      <c r="D39" s="35" t="s">
        <v>20</v>
      </c>
      <c r="E39" s="52" t="n">
        <f aca="false">Pivot_Summaries!$F$30</f>
        <v>58.304</v>
      </c>
      <c r="F39" s="72" t="n">
        <f aca="false">INDEX(Pivot_Summaries!$F$6:$F$29, 13)/Pivot_Summaries!$F$30</f>
        <v>1.30949569856789</v>
      </c>
      <c r="G39" s="72" t="n">
        <v>1.05</v>
      </c>
      <c r="H39" s="41" t="n">
        <f aca="false">ROUND(E39*F39*G39, 0)</f>
        <v>80</v>
      </c>
      <c r="I39" s="41" t="n">
        <f aca="false">MAX(1, ROUND(H39 - 1.96 * 25, 0))</f>
        <v>31</v>
      </c>
      <c r="J39" s="41" t="n">
        <f aca="false">ROUND(H39 + 1.96 * 25, 0)</f>
        <v>129</v>
      </c>
      <c r="K39" s="35" t="str">
        <f aca="false">IF(H39&gt;=120, "High Commuter Rush - Rebalance Fleet", IF(H39&lt;=15, "Low Utilization - Schedule Maintenance", "Optimal Operation"))</f>
        <v>Optimal Operation</v>
      </c>
    </row>
    <row r="40" customFormat="false" ht="15" hidden="false" customHeight="false" outlineLevel="0" collapsed="false">
      <c r="A40" s="18" t="n">
        <v>1006</v>
      </c>
      <c r="B40" s="45" t="s">
        <v>128</v>
      </c>
      <c r="C40" s="45" t="s">
        <v>50</v>
      </c>
      <c r="D40" s="33" t="s">
        <v>20</v>
      </c>
      <c r="E40" s="53" t="n">
        <f aca="false">Pivot_Summaries!$F$30</f>
        <v>58.304</v>
      </c>
      <c r="F40" s="54" t="n">
        <f aca="false">INDEX(Pivot_Summaries!$F$6:$F$29, 14)/Pivot_Summaries!$F$30</f>
        <v>1.34659076404666</v>
      </c>
      <c r="G40" s="54" t="n">
        <v>1.05</v>
      </c>
      <c r="H40" s="18" t="n">
        <f aca="false">ROUND(E40*F40*G40, 0)</f>
        <v>82</v>
      </c>
      <c r="I40" s="18" t="n">
        <f aca="false">MAX(1, ROUND(H40 - 1.96 * 25, 0))</f>
        <v>33</v>
      </c>
      <c r="J40" s="18" t="n">
        <f aca="false">ROUND(H40 + 1.96 * 25, 0)</f>
        <v>131</v>
      </c>
      <c r="K40" s="33" t="str">
        <f aca="false">IF(H40&gt;=120, "High Commuter Rush - Rebalance Fleet", IF(H40&lt;=15, "Low Utilization - Schedule Maintenance", "Optimal Operation"))</f>
        <v>Optimal Operation</v>
      </c>
    </row>
    <row r="41" customFormat="false" ht="15" hidden="false" customHeight="false" outlineLevel="0" collapsed="false">
      <c r="A41" s="41" t="n">
        <v>1007</v>
      </c>
      <c r="B41" s="39" t="s">
        <v>128</v>
      </c>
      <c r="C41" s="39" t="s">
        <v>51</v>
      </c>
      <c r="D41" s="35" t="s">
        <v>20</v>
      </c>
      <c r="E41" s="52" t="n">
        <f aca="false">Pivot_Summaries!$F$30</f>
        <v>58.304</v>
      </c>
      <c r="F41" s="72" t="n">
        <f aca="false">INDEX(Pivot_Summaries!$F$6:$F$29, 15)/Pivot_Summaries!$F$30</f>
        <v>1.27638934980727</v>
      </c>
      <c r="G41" s="72" t="n">
        <v>1.05</v>
      </c>
      <c r="H41" s="41" t="n">
        <f aca="false">ROUND(E41*F41*G41, 0)</f>
        <v>78</v>
      </c>
      <c r="I41" s="41" t="n">
        <f aca="false">MAX(1, ROUND(H41 - 1.96 * 25, 0))</f>
        <v>29</v>
      </c>
      <c r="J41" s="41" t="n">
        <f aca="false">ROUND(H41 + 1.96 * 25, 0)</f>
        <v>127</v>
      </c>
      <c r="K41" s="35" t="str">
        <f aca="false">IF(H41&gt;=120, "High Commuter Rush - Rebalance Fleet", IF(H41&lt;=15, "Low Utilization - Schedule Maintenance", "Optimal Operation"))</f>
        <v>Optimal Operation</v>
      </c>
    </row>
    <row r="42" customFormat="false" ht="15" hidden="false" customHeight="false" outlineLevel="0" collapsed="false">
      <c r="A42" s="18" t="n">
        <v>1008</v>
      </c>
      <c r="B42" s="45" t="s">
        <v>128</v>
      </c>
      <c r="C42" s="45" t="s">
        <v>52</v>
      </c>
      <c r="D42" s="33" t="s">
        <v>20</v>
      </c>
      <c r="E42" s="53" t="n">
        <f aca="false">Pivot_Summaries!$F$30</f>
        <v>58.304</v>
      </c>
      <c r="F42" s="54" t="n">
        <f aca="false">INDEX(Pivot_Summaries!$F$6:$F$29, 16)/Pivot_Summaries!$F$30</f>
        <v>1.33701784392311</v>
      </c>
      <c r="G42" s="54" t="n">
        <v>1.05</v>
      </c>
      <c r="H42" s="18" t="n">
        <f aca="false">ROUND(E42*F42*G42, 0)</f>
        <v>82</v>
      </c>
      <c r="I42" s="18" t="n">
        <f aca="false">MAX(1, ROUND(H42 - 1.96 * 25, 0))</f>
        <v>33</v>
      </c>
      <c r="J42" s="18" t="n">
        <f aca="false">ROUND(H42 + 1.96 * 25, 0)</f>
        <v>131</v>
      </c>
      <c r="K42" s="33" t="str">
        <f aca="false">IF(H42&gt;=120, "High Commuter Rush - Rebalance Fleet", IF(H42&lt;=15, "Low Utilization - Schedule Maintenance", "Optimal Operation"))</f>
        <v>Optimal Operation</v>
      </c>
    </row>
    <row r="43" customFormat="false" ht="15" hidden="false" customHeight="false" outlineLevel="0" collapsed="false">
      <c r="A43" s="41" t="n">
        <v>1009</v>
      </c>
      <c r="B43" s="39" t="s">
        <v>128</v>
      </c>
      <c r="C43" s="39" t="s">
        <v>53</v>
      </c>
      <c r="D43" s="35" t="s">
        <v>20</v>
      </c>
      <c r="E43" s="52" t="n">
        <f aca="false">Pivot_Summaries!$F$30</f>
        <v>58.304</v>
      </c>
      <c r="F43" s="72" t="n">
        <f aca="false">INDEX(Pivot_Summaries!$F$6:$F$29, 17)/Pivot_Summaries!$F$30</f>
        <v>1.53115956491368</v>
      </c>
      <c r="G43" s="72" t="n">
        <v>1.05</v>
      </c>
      <c r="H43" s="41" t="n">
        <f aca="false">ROUND(E43*F43*G43, 0)</f>
        <v>94</v>
      </c>
      <c r="I43" s="41" t="n">
        <f aca="false">MAX(1, ROUND(H43 - 1.96 * 25, 0))</f>
        <v>45</v>
      </c>
      <c r="J43" s="41" t="n">
        <f aca="false">ROUND(H43 + 1.96 * 25, 0)</f>
        <v>143</v>
      </c>
      <c r="K43" s="35" t="str">
        <f aca="false">IF(H43&gt;=120, "High Commuter Rush - Rebalance Fleet", IF(H43&lt;=15, "Low Utilization - Schedule Maintenance", "Optimal Operation"))</f>
        <v>Optimal Operation</v>
      </c>
    </row>
    <row r="44" customFormat="false" ht="15" hidden="false" customHeight="false" outlineLevel="0" collapsed="false">
      <c r="A44" s="18" t="n">
        <v>1010</v>
      </c>
      <c r="B44" s="45" t="s">
        <v>128</v>
      </c>
      <c r="C44" s="45" t="s">
        <v>54</v>
      </c>
      <c r="D44" s="33" t="s">
        <v>20</v>
      </c>
      <c r="E44" s="53" t="n">
        <f aca="false">Pivot_Summaries!$F$30</f>
        <v>58.304</v>
      </c>
      <c r="F44" s="54" t="n">
        <f aca="false">INDEX(Pivot_Summaries!$F$6:$F$29, 18)/Pivot_Summaries!$F$30</f>
        <v>2.40471572198383</v>
      </c>
      <c r="G44" s="54" t="n">
        <v>1.05</v>
      </c>
      <c r="H44" s="18" t="n">
        <f aca="false">ROUND(E44*F44*G44, 0)</f>
        <v>147</v>
      </c>
      <c r="I44" s="18" t="n">
        <f aca="false">MAX(1, ROUND(H44 - 1.96 * 25, 0))</f>
        <v>98</v>
      </c>
      <c r="J44" s="18" t="n">
        <f aca="false">ROUND(H44 + 1.96 * 25, 0)</f>
        <v>196</v>
      </c>
      <c r="K44" s="33" t="str">
        <f aca="false">IF(H44&gt;=120, "High Commuter Rush - Rebalance Fleet", IF(H44&lt;=15, "Low Utilization - Schedule Maintenance", "Optimal Operation"))</f>
        <v>High Commuter Rush - Rebalance Fleet</v>
      </c>
    </row>
    <row r="45" customFormat="false" ht="15" hidden="false" customHeight="false" outlineLevel="0" collapsed="false">
      <c r="A45" s="41" t="n">
        <v>1011</v>
      </c>
      <c r="B45" s="39" t="s">
        <v>128</v>
      </c>
      <c r="C45" s="39" t="s">
        <v>55</v>
      </c>
      <c r="D45" s="35" t="s">
        <v>20</v>
      </c>
      <c r="E45" s="52" t="n">
        <f aca="false">Pivot_Summaries!$F$30</f>
        <v>58.304</v>
      </c>
      <c r="F45" s="72" t="n">
        <f aca="false">INDEX(Pivot_Summaries!$F$6:$F$29, 19)/Pivot_Summaries!$F$30</f>
        <v>2.10723904219743</v>
      </c>
      <c r="G45" s="72" t="n">
        <v>1.05</v>
      </c>
      <c r="H45" s="41" t="n">
        <f aca="false">ROUND(E45*F45*G45, 0)</f>
        <v>129</v>
      </c>
      <c r="I45" s="41" t="n">
        <f aca="false">MAX(1, ROUND(H45 - 1.96 * 25, 0))</f>
        <v>80</v>
      </c>
      <c r="J45" s="41" t="n">
        <f aca="false">ROUND(H45 + 1.96 * 25, 0)</f>
        <v>178</v>
      </c>
      <c r="K45" s="35" t="str">
        <f aca="false">IF(H45&gt;=120, "High Commuter Rush - Rebalance Fleet", IF(H45&lt;=15, "Low Utilization - Schedule Maintenance", "Optimal Operation"))</f>
        <v>High Commuter Rush - Rebalance Fleet</v>
      </c>
    </row>
    <row r="46" customFormat="false" ht="15" hidden="false" customHeight="false" outlineLevel="0" collapsed="false">
      <c r="A46" s="18" t="n">
        <v>1012</v>
      </c>
      <c r="B46" s="45" t="s">
        <v>128</v>
      </c>
      <c r="C46" s="45" t="s">
        <v>56</v>
      </c>
      <c r="D46" s="33" t="s">
        <v>20</v>
      </c>
      <c r="E46" s="53" t="n">
        <f aca="false">Pivot_Summaries!$F$30</f>
        <v>58.304</v>
      </c>
      <c r="F46" s="54" t="n">
        <f aca="false">INDEX(Pivot_Summaries!$F$6:$F$29, 20)/Pivot_Summaries!$F$30</f>
        <v>1.46026919051387</v>
      </c>
      <c r="G46" s="54" t="n">
        <v>1.05</v>
      </c>
      <c r="H46" s="18" t="n">
        <f aca="false">ROUND(E46*F46*G46, 0)</f>
        <v>89</v>
      </c>
      <c r="I46" s="18" t="n">
        <f aca="false">MAX(1, ROUND(H46 - 1.96 * 25, 0))</f>
        <v>40</v>
      </c>
      <c r="J46" s="18" t="n">
        <f aca="false">ROUND(H46 + 1.96 * 25, 0)</f>
        <v>138</v>
      </c>
      <c r="K46" s="33" t="str">
        <f aca="false">IF(H46&gt;=120, "High Commuter Rush - Rebalance Fleet", IF(H46&lt;=15, "Low Utilization - Schedule Maintenance", "Optimal Operation"))</f>
        <v>Optimal Operation</v>
      </c>
    </row>
    <row r="47" customFormat="false" ht="15" hidden="false" customHeight="false" outlineLevel="0" collapsed="false">
      <c r="A47" s="41" t="n">
        <v>1013</v>
      </c>
      <c r="B47" s="39" t="s">
        <v>128</v>
      </c>
      <c r="C47" s="39" t="s">
        <v>57</v>
      </c>
      <c r="D47" s="35" t="s">
        <v>20</v>
      </c>
      <c r="E47" s="52" t="n">
        <f aca="false">Pivot_Summaries!$F$30</f>
        <v>58.304</v>
      </c>
      <c r="F47" s="72" t="n">
        <f aca="false">INDEX(Pivot_Summaries!$F$6:$F$29, 21)/Pivot_Summaries!$F$30</f>
        <v>1.05940316034003</v>
      </c>
      <c r="G47" s="72" t="n">
        <v>1.05</v>
      </c>
      <c r="H47" s="41" t="n">
        <f aca="false">ROUND(E47*F47*G47, 0)</f>
        <v>65</v>
      </c>
      <c r="I47" s="41" t="n">
        <f aca="false">MAX(1, ROUND(H47 - 1.96 * 25, 0))</f>
        <v>16</v>
      </c>
      <c r="J47" s="41" t="n">
        <f aca="false">ROUND(H47 + 1.96 * 25, 0)</f>
        <v>114</v>
      </c>
      <c r="K47" s="35" t="str">
        <f aca="false">IF(H47&gt;=120, "High Commuter Rush - Rebalance Fleet", IF(H47&lt;=15, "Low Utilization - Schedule Maintenance", "Optimal Operation"))</f>
        <v>Optimal Operation</v>
      </c>
    </row>
    <row r="48" customFormat="false" ht="15" hidden="false" customHeight="false" outlineLevel="0" collapsed="false">
      <c r="A48" s="18" t="n">
        <v>1014</v>
      </c>
      <c r="B48" s="45" t="s">
        <v>128</v>
      </c>
      <c r="C48" s="45" t="s">
        <v>58</v>
      </c>
      <c r="D48" s="33" t="s">
        <v>20</v>
      </c>
      <c r="E48" s="53" t="n">
        <f aca="false">Pivot_Summaries!$F$30</f>
        <v>58.304</v>
      </c>
      <c r="F48" s="54" t="n">
        <f aca="false">INDEX(Pivot_Summaries!$F$6:$F$29, 22)/Pivot_Summaries!$F$30</f>
        <v>0.796147856942282</v>
      </c>
      <c r="G48" s="54" t="n">
        <v>1.05</v>
      </c>
      <c r="H48" s="18" t="n">
        <f aca="false">ROUND(E48*F48*G48, 0)</f>
        <v>49</v>
      </c>
      <c r="I48" s="18" t="n">
        <f aca="false">MAX(1, ROUND(H48 - 1.96 * 25, 0))</f>
        <v>1</v>
      </c>
      <c r="J48" s="18" t="n">
        <f aca="false">ROUND(H48 + 1.96 * 25, 0)</f>
        <v>98</v>
      </c>
      <c r="K48" s="33" t="str">
        <f aca="false">IF(H48&gt;=120, "High Commuter Rush - Rebalance Fleet", IF(H48&lt;=15, "Low Utilization - Schedule Maintenance", "Optimal Operation"))</f>
        <v>Optimal Operation</v>
      </c>
    </row>
    <row r="49" customFormat="false" ht="15" hidden="false" customHeight="false" outlineLevel="0" collapsed="false">
      <c r="A49" s="41" t="n">
        <v>1015</v>
      </c>
      <c r="B49" s="39" t="s">
        <v>128</v>
      </c>
      <c r="C49" s="39" t="s">
        <v>59</v>
      </c>
      <c r="D49" s="35" t="s">
        <v>20</v>
      </c>
      <c r="E49" s="52" t="n">
        <f aca="false">Pivot_Summaries!$F$30</f>
        <v>58.304</v>
      </c>
      <c r="F49" s="72" t="n">
        <f aca="false">INDEX(Pivot_Summaries!$F$6:$F$29, 23)/Pivot_Summaries!$F$30</f>
        <v>0.601498481096674</v>
      </c>
      <c r="G49" s="72" t="n">
        <v>1.05</v>
      </c>
      <c r="H49" s="41" t="n">
        <f aca="false">ROUND(E49*F49*G49, 0)</f>
        <v>37</v>
      </c>
      <c r="I49" s="41" t="n">
        <f aca="false">MAX(1, ROUND(H49 - 1.96 * 25, 0))</f>
        <v>1</v>
      </c>
      <c r="J49" s="41" t="n">
        <f aca="false">ROUND(H49 + 1.96 * 25, 0)</f>
        <v>86</v>
      </c>
      <c r="K49" s="35" t="str">
        <f aca="false">IF(H49&gt;=120, "High Commuter Rush - Rebalance Fleet", IF(H49&lt;=15, "Low Utilization - Schedule Maintenance", "Optimal Operation"))</f>
        <v>Optimal Operation</v>
      </c>
    </row>
    <row r="50" customFormat="false" ht="15" hidden="false" customHeight="false" outlineLevel="0" collapsed="false">
      <c r="A50" s="18" t="n">
        <v>1016</v>
      </c>
      <c r="B50" s="45" t="s">
        <v>128</v>
      </c>
      <c r="C50" s="45" t="s">
        <v>60</v>
      </c>
      <c r="D50" s="33" t="s">
        <v>20</v>
      </c>
      <c r="E50" s="53" t="n">
        <f aca="false">Pivot_Summaries!$F$30</f>
        <v>58.304</v>
      </c>
      <c r="F50" s="54" t="n">
        <f aca="false">INDEX(Pivot_Summaries!$F$6:$F$29, 24)/Pivot_Summaries!$F$30</f>
        <v>0.431978020575396</v>
      </c>
      <c r="G50" s="54" t="n">
        <v>1.05</v>
      </c>
      <c r="H50" s="18" t="n">
        <f aca="false">ROUND(E50*F50*G50, 0)</f>
        <v>26</v>
      </c>
      <c r="I50" s="18" t="n">
        <f aca="false">MAX(1, ROUND(H50 - 1.96 * 25, 0))</f>
        <v>1</v>
      </c>
      <c r="J50" s="18" t="n">
        <f aca="false">ROUND(H50 + 1.96 * 25, 0)</f>
        <v>75</v>
      </c>
      <c r="K50" s="33" t="str">
        <f aca="false">IF(H50&gt;=120, "High Commuter Rush - Rebalance Fleet", IF(H50&lt;=15, "Low Utilization - Schedule Maintenance", "Optimal Operation"))</f>
        <v>Optimal Operation</v>
      </c>
    </row>
    <row r="51" customFormat="false" ht="15" hidden="false" customHeight="false" outlineLevel="0" collapsed="false">
      <c r="A51" s="41" t="n">
        <v>1017</v>
      </c>
      <c r="B51" s="39" t="s">
        <v>411</v>
      </c>
      <c r="C51" s="39" t="s">
        <v>31</v>
      </c>
      <c r="D51" s="35" t="s">
        <v>21</v>
      </c>
      <c r="E51" s="52" t="n">
        <f aca="false">Pivot_Summaries!$F$30</f>
        <v>58.304</v>
      </c>
      <c r="F51" s="72" t="n">
        <f aca="false">INDEX(Pivot_Summaries!$F$6:$F$29, 1)/Pivot_Summaries!$F$30</f>
        <v>0.280406785285784</v>
      </c>
      <c r="G51" s="72" t="n">
        <v>1.05</v>
      </c>
      <c r="H51" s="41" t="n">
        <f aca="false">ROUND(E51*F51*G51, 0)</f>
        <v>17</v>
      </c>
      <c r="I51" s="41" t="n">
        <f aca="false">MAX(1, ROUND(H51 - 1.96 * 25, 0))</f>
        <v>1</v>
      </c>
      <c r="J51" s="41" t="n">
        <f aca="false">ROUND(H51 + 1.96 * 25, 0)</f>
        <v>66</v>
      </c>
      <c r="K51" s="35" t="str">
        <f aca="false">IF(H51&gt;=120, "High Commuter Rush - Rebalance Fleet", IF(H51&lt;=15, "Low Utilization - Schedule Maintenance", "Optimal Operation"))</f>
        <v>Optimal Operation</v>
      </c>
    </row>
    <row r="52" customFormat="false" ht="15" hidden="false" customHeight="false" outlineLevel="0" collapsed="false">
      <c r="A52" s="18" t="n">
        <v>1018</v>
      </c>
      <c r="B52" s="45" t="s">
        <v>411</v>
      </c>
      <c r="C52" s="45" t="s">
        <v>33</v>
      </c>
      <c r="D52" s="33" t="s">
        <v>21</v>
      </c>
      <c r="E52" s="53" t="n">
        <f aca="false">Pivot_Summaries!$F$30</f>
        <v>58.304</v>
      </c>
      <c r="F52" s="54" t="n">
        <f aca="false">INDEX(Pivot_Summaries!$F$6:$F$29, 2)/Pivot_Summaries!$F$30</f>
        <v>0.183480969034794</v>
      </c>
      <c r="G52" s="54" t="n">
        <v>1.05</v>
      </c>
      <c r="H52" s="18" t="n">
        <f aca="false">ROUND(E52*F52*G52, 0)</f>
        <v>11</v>
      </c>
      <c r="I52" s="18" t="n">
        <f aca="false">MAX(1, ROUND(H52 - 1.96 * 25, 0))</f>
        <v>1</v>
      </c>
      <c r="J52" s="18" t="n">
        <f aca="false">ROUND(H52 + 1.96 * 25, 0)</f>
        <v>60</v>
      </c>
      <c r="K52" s="33" t="str">
        <f aca="false">IF(H52&gt;=120, "High Commuter Rush - Rebalance Fleet", IF(H52&lt;=15, "Low Utilization - Schedule Maintenance", "Optimal Operation"))</f>
        <v>Low Utilization - Schedule Maintenance</v>
      </c>
    </row>
    <row r="53" customFormat="false" ht="15" hidden="false" customHeight="false" outlineLevel="0" collapsed="false">
      <c r="A53" s="41" t="n">
        <v>1019</v>
      </c>
      <c r="B53" s="39" t="s">
        <v>411</v>
      </c>
      <c r="C53" s="39" t="s">
        <v>35</v>
      </c>
      <c r="D53" s="35" t="s">
        <v>21</v>
      </c>
      <c r="E53" s="52" t="n">
        <f aca="false">Pivot_Summaries!$F$30</f>
        <v>58.304</v>
      </c>
      <c r="F53" s="72" t="n">
        <f aca="false">INDEX(Pivot_Summaries!$F$6:$F$29, 3)/Pivot_Summaries!$F$30</f>
        <v>0.122988675002008</v>
      </c>
      <c r="G53" s="72" t="n">
        <v>1.05</v>
      </c>
      <c r="H53" s="41" t="n">
        <f aca="false">ROUND(E53*F53*G53, 0)</f>
        <v>8</v>
      </c>
      <c r="I53" s="41" t="n">
        <f aca="false">MAX(1, ROUND(H53 - 1.96 * 25, 0))</f>
        <v>1</v>
      </c>
      <c r="J53" s="41" t="n">
        <f aca="false">ROUND(H53 + 1.96 * 25, 0)</f>
        <v>57</v>
      </c>
      <c r="K53" s="35" t="str">
        <f aca="false">IF(H53&gt;=120, "High Commuter Rush - Rebalance Fleet", IF(H53&lt;=15, "Low Utilization - Schedule Maintenance", "Optimal Operation"))</f>
        <v>Low Utilization - Schedule Maintenance</v>
      </c>
    </row>
    <row r="54" customFormat="false" ht="15" hidden="false" customHeight="false" outlineLevel="0" collapsed="false">
      <c r="A54" s="18" t="n">
        <v>1020</v>
      </c>
      <c r="B54" s="45" t="s">
        <v>411</v>
      </c>
      <c r="C54" s="45" t="s">
        <v>37</v>
      </c>
      <c r="D54" s="33" t="s">
        <v>21</v>
      </c>
      <c r="E54" s="53" t="n">
        <f aca="false">Pivot_Summaries!$F$30</f>
        <v>58.304</v>
      </c>
      <c r="F54" s="54" t="n">
        <f aca="false">INDEX(Pivot_Summaries!$F$6:$F$29, 4)/Pivot_Summaries!$F$30</f>
        <v>0.0835443150030098</v>
      </c>
      <c r="G54" s="54" t="n">
        <v>1.05</v>
      </c>
      <c r="H54" s="18" t="n">
        <f aca="false">ROUND(E54*F54*G54, 0)</f>
        <v>5</v>
      </c>
      <c r="I54" s="18" t="n">
        <f aca="false">MAX(1, ROUND(H54 - 1.96 * 25, 0))</f>
        <v>1</v>
      </c>
      <c r="J54" s="18" t="n">
        <f aca="false">ROUND(H54 + 1.96 * 25, 0)</f>
        <v>54</v>
      </c>
      <c r="K54" s="33" t="str">
        <f aca="false">IF(H54&gt;=120, "High Commuter Rush - Rebalance Fleet", IF(H54&lt;=15, "Low Utilization - Schedule Maintenance", "Optimal Operation"))</f>
        <v>Low Utilization - Schedule Maintenance</v>
      </c>
    </row>
    <row r="55" customFormat="false" ht="15" hidden="false" customHeight="false" outlineLevel="0" collapsed="false">
      <c r="A55" s="41" t="n">
        <v>1021</v>
      </c>
      <c r="B55" s="39" t="s">
        <v>411</v>
      </c>
      <c r="C55" s="39" t="s">
        <v>39</v>
      </c>
      <c r="D55" s="35" t="s">
        <v>21</v>
      </c>
      <c r="E55" s="52" t="n">
        <f aca="false">Pivot_Summaries!$F$30</f>
        <v>58.304</v>
      </c>
      <c r="F55" s="72" t="n">
        <f aca="false">INDEX(Pivot_Summaries!$F$6:$F$29, 5)/Pivot_Summaries!$F$30</f>
        <v>0.0369828828210757</v>
      </c>
      <c r="G55" s="72" t="n">
        <v>1.05</v>
      </c>
      <c r="H55" s="41" t="n">
        <f aca="false">ROUND(E55*F55*G55, 0)</f>
        <v>2</v>
      </c>
      <c r="I55" s="41" t="n">
        <f aca="false">MAX(1, ROUND(H55 - 1.96 * 25, 0))</f>
        <v>1</v>
      </c>
      <c r="J55" s="41" t="n">
        <f aca="false">ROUND(H55 + 1.96 * 25, 0)</f>
        <v>51</v>
      </c>
      <c r="K55" s="35" t="str">
        <f aca="false">IF(H55&gt;=120, "High Commuter Rush - Rebalance Fleet", IF(H55&lt;=15, "Low Utilization - Schedule Maintenance", "Optimal Operation"))</f>
        <v>Low Utilization - Schedule Maintenance</v>
      </c>
    </row>
    <row r="56" customFormat="false" ht="15" hidden="false" customHeight="false" outlineLevel="0" collapsed="false">
      <c r="A56" s="18" t="n">
        <v>1022</v>
      </c>
      <c r="B56" s="45" t="s">
        <v>411</v>
      </c>
      <c r="C56" s="45" t="s">
        <v>42</v>
      </c>
      <c r="D56" s="33" t="s">
        <v>21</v>
      </c>
      <c r="E56" s="53" t="n">
        <f aca="false">Pivot_Summaries!$F$30</f>
        <v>58.304</v>
      </c>
      <c r="F56" s="54" t="n">
        <f aca="false">INDEX(Pivot_Summaries!$F$6:$F$29, 6)/Pivot_Summaries!$F$30</f>
        <v>0.0721241802471221</v>
      </c>
      <c r="G56" s="54" t="n">
        <v>1.05</v>
      </c>
      <c r="H56" s="18" t="n">
        <f aca="false">ROUND(E56*F56*G56, 0)</f>
        <v>4</v>
      </c>
      <c r="I56" s="18" t="n">
        <f aca="false">MAX(1, ROUND(H56 - 1.96 * 25, 0))</f>
        <v>1</v>
      </c>
      <c r="J56" s="18" t="n">
        <f aca="false">ROUND(H56 + 1.96 * 25, 0)</f>
        <v>53</v>
      </c>
      <c r="K56" s="33" t="str">
        <f aca="false">IF(H56&gt;=120, "High Commuter Rush - Rebalance Fleet", IF(H56&lt;=15, "Low Utilization - Schedule Maintenance", "Optimal Operation"))</f>
        <v>Low Utilization - Schedule Maintenance</v>
      </c>
    </row>
    <row r="57" customFormat="false" ht="15" hidden="false" customHeight="false" outlineLevel="0" collapsed="false">
      <c r="A57" s="41" t="n">
        <v>1023</v>
      </c>
      <c r="B57" s="39" t="s">
        <v>411</v>
      </c>
      <c r="C57" s="39" t="s">
        <v>43</v>
      </c>
      <c r="D57" s="35" t="s">
        <v>21</v>
      </c>
      <c r="E57" s="52" t="n">
        <f aca="false">Pivot_Summaries!$F$30</f>
        <v>58.304</v>
      </c>
      <c r="F57" s="72" t="n">
        <f aca="false">INDEX(Pivot_Summaries!$F$6:$F$29, 7)/Pivot_Summaries!$F$30</f>
        <v>0.33567900266583</v>
      </c>
      <c r="G57" s="72" t="n">
        <v>1.05</v>
      </c>
      <c r="H57" s="41" t="n">
        <f aca="false">ROUND(E57*F57*G57, 0)</f>
        <v>21</v>
      </c>
      <c r="I57" s="41" t="n">
        <f aca="false">MAX(1, ROUND(H57 - 1.96 * 25, 0))</f>
        <v>1</v>
      </c>
      <c r="J57" s="41" t="n">
        <f aca="false">ROUND(H57 + 1.96 * 25, 0)</f>
        <v>70</v>
      </c>
      <c r="K57" s="35" t="str">
        <f aca="false">IF(H57&gt;=120, "High Commuter Rush - Rebalance Fleet", IF(H57&lt;=15, "Low Utilization - Schedule Maintenance", "Optimal Operation"))</f>
        <v>Optimal Operation</v>
      </c>
    </row>
    <row r="58" customFormat="false" ht="15" hidden="false" customHeight="false" outlineLevel="0" collapsed="false">
      <c r="A58" s="18" t="n">
        <v>1024</v>
      </c>
      <c r="B58" s="45" t="s">
        <v>411</v>
      </c>
      <c r="C58" s="45" t="s">
        <v>44</v>
      </c>
      <c r="D58" s="33" t="s">
        <v>21</v>
      </c>
      <c r="E58" s="53" t="n">
        <f aca="false">Pivot_Summaries!$F$30</f>
        <v>58.304</v>
      </c>
      <c r="F58" s="54" t="n">
        <f aca="false">INDEX(Pivot_Summaries!$F$6:$F$29, 8)/Pivot_Summaries!$F$30</f>
        <v>0.932960840374748</v>
      </c>
      <c r="G58" s="54" t="n">
        <v>1.05</v>
      </c>
      <c r="H58" s="18" t="n">
        <f aca="false">ROUND(E58*F58*G58, 0)</f>
        <v>57</v>
      </c>
      <c r="I58" s="18" t="n">
        <f aca="false">MAX(1, ROUND(H58 - 1.96 * 25, 0))</f>
        <v>8</v>
      </c>
      <c r="J58" s="18" t="n">
        <f aca="false">ROUND(H58 + 1.96 * 25, 0)</f>
        <v>106</v>
      </c>
      <c r="K58" s="33" t="str">
        <f aca="false">IF(H58&gt;=120, "High Commuter Rush - Rebalance Fleet", IF(H58&lt;=15, "Low Utilization - Schedule Maintenance", "Optimal Operation"))</f>
        <v>Optimal Operation</v>
      </c>
    </row>
    <row r="59" customFormat="false" ht="15" hidden="false" customHeight="false" outlineLevel="0" collapsed="false">
      <c r="A59" s="41" t="n">
        <v>1025</v>
      </c>
      <c r="B59" s="39" t="s">
        <v>411</v>
      </c>
      <c r="C59" s="39" t="s">
        <v>45</v>
      </c>
      <c r="D59" s="35" t="s">
        <v>21</v>
      </c>
      <c r="E59" s="52" t="n">
        <f aca="false">Pivot_Summaries!$F$30</f>
        <v>58.304</v>
      </c>
      <c r="F59" s="72" t="n">
        <f aca="false">INDEX(Pivot_Summaries!$F$6:$F$29, 9)/Pivot_Summaries!$F$30</f>
        <v>2.20029010506508</v>
      </c>
      <c r="G59" s="72" t="n">
        <v>1.05</v>
      </c>
      <c r="H59" s="41" t="n">
        <f aca="false">ROUND(E59*F59*G59, 0)</f>
        <v>135</v>
      </c>
      <c r="I59" s="41" t="n">
        <f aca="false">MAX(1, ROUND(H59 - 1.96 * 25, 0))</f>
        <v>86</v>
      </c>
      <c r="J59" s="41" t="n">
        <f aca="false">ROUND(H59 + 1.96 * 25, 0)</f>
        <v>184</v>
      </c>
      <c r="K59" s="35" t="str">
        <f aca="false">IF(H59&gt;=120, "High Commuter Rush - Rebalance Fleet", IF(H59&lt;=15, "Low Utilization - Schedule Maintenance", "Optimal Operation"))</f>
        <v>High Commuter Rush - Rebalance Fleet</v>
      </c>
    </row>
    <row r="60" customFormat="false" ht="15" hidden="false" customHeight="false" outlineLevel="0" collapsed="false">
      <c r="A60" s="18" t="n">
        <v>1026</v>
      </c>
      <c r="B60" s="45" t="s">
        <v>411</v>
      </c>
      <c r="C60" s="45" t="s">
        <v>46</v>
      </c>
      <c r="D60" s="33" t="s">
        <v>21</v>
      </c>
      <c r="E60" s="53" t="n">
        <f aca="false">Pivot_Summaries!$F$30</f>
        <v>58.304</v>
      </c>
      <c r="F60" s="54" t="n">
        <f aca="false">INDEX(Pivot_Summaries!$F$6:$F$29, 10)/Pivot_Summaries!$F$30</f>
        <v>1.49952955935393</v>
      </c>
      <c r="G60" s="54" t="n">
        <v>1.05</v>
      </c>
      <c r="H60" s="18" t="n">
        <f aca="false">ROUND(E60*F60*G60, 0)</f>
        <v>92</v>
      </c>
      <c r="I60" s="18" t="n">
        <f aca="false">MAX(1, ROUND(H60 - 1.96 * 25, 0))</f>
        <v>43</v>
      </c>
      <c r="J60" s="18" t="n">
        <f aca="false">ROUND(H60 + 1.96 * 25, 0)</f>
        <v>141</v>
      </c>
      <c r="K60" s="33" t="str">
        <f aca="false">IF(H60&gt;=120, "High Commuter Rush - Rebalance Fleet", IF(H60&lt;=15, "Low Utilization - Schedule Maintenance", "Optimal Operation"))</f>
        <v>Optimal Operation</v>
      </c>
    </row>
    <row r="61" customFormat="false" ht="15" hidden="false" customHeight="false" outlineLevel="0" collapsed="false">
      <c r="A61" s="41" t="n">
        <v>1027</v>
      </c>
      <c r="B61" s="39" t="s">
        <v>411</v>
      </c>
      <c r="C61" s="39" t="s">
        <v>47</v>
      </c>
      <c r="D61" s="35" t="s">
        <v>21</v>
      </c>
      <c r="E61" s="52" t="n">
        <f aca="false">Pivot_Summaries!$F$30</f>
        <v>58.304</v>
      </c>
      <c r="F61" s="72" t="n">
        <f aca="false">INDEX(Pivot_Summaries!$F$6:$F$29, 11)/Pivot_Summaries!$F$30</f>
        <v>0.92005449270817</v>
      </c>
      <c r="G61" s="72" t="n">
        <v>1.05</v>
      </c>
      <c r="H61" s="41" t="n">
        <f aca="false">ROUND(E61*F61*G61, 0)</f>
        <v>56</v>
      </c>
      <c r="I61" s="41" t="n">
        <f aca="false">MAX(1, ROUND(H61 - 1.96 * 25, 0))</f>
        <v>7</v>
      </c>
      <c r="J61" s="41" t="n">
        <f aca="false">ROUND(H61 + 1.96 * 25, 0)</f>
        <v>105</v>
      </c>
      <c r="K61" s="35" t="str">
        <f aca="false">IF(H61&gt;=120, "High Commuter Rush - Rebalance Fleet", IF(H61&lt;=15, "Low Utilization - Schedule Maintenance", "Optimal Operation"))</f>
        <v>Optimal Operation</v>
      </c>
    </row>
    <row r="62" customFormat="false" ht="15" hidden="false" customHeight="false" outlineLevel="0" collapsed="false">
      <c r="A62" s="18" t="n">
        <v>1028</v>
      </c>
      <c r="B62" s="45" t="s">
        <v>411</v>
      </c>
      <c r="C62" s="45" t="s">
        <v>48</v>
      </c>
      <c r="D62" s="33" t="s">
        <v>21</v>
      </c>
      <c r="E62" s="53" t="n">
        <f aca="false">Pivot_Summaries!$F$30</f>
        <v>58.304</v>
      </c>
      <c r="F62" s="54" t="n">
        <f aca="false">INDEX(Pivot_Summaries!$F$6:$F$29, 12)/Pivot_Summaries!$F$30</f>
        <v>1.01847132925618</v>
      </c>
      <c r="G62" s="54" t="n">
        <v>1.05</v>
      </c>
      <c r="H62" s="18" t="n">
        <f aca="false">ROUND(E62*F62*G62, 0)</f>
        <v>62</v>
      </c>
      <c r="I62" s="18" t="n">
        <f aca="false">MAX(1, ROUND(H62 - 1.96 * 25, 0))</f>
        <v>13</v>
      </c>
      <c r="J62" s="18" t="n">
        <f aca="false">ROUND(H62 + 1.96 * 25, 0)</f>
        <v>111</v>
      </c>
      <c r="K62" s="33" t="str">
        <f aca="false">IF(H62&gt;=120, "High Commuter Rush - Rebalance Fleet", IF(H62&lt;=15, "Low Utilization - Schedule Maintenance", "Optimal Operation"))</f>
        <v>Optimal Operation</v>
      </c>
    </row>
    <row r="63" customFormat="false" ht="15" hidden="false" customHeight="false" outlineLevel="0" collapsed="false">
      <c r="A63" s="41" t="n">
        <v>1029</v>
      </c>
      <c r="B63" s="39" t="s">
        <v>411</v>
      </c>
      <c r="C63" s="39" t="s">
        <v>49</v>
      </c>
      <c r="D63" s="35" t="s">
        <v>21</v>
      </c>
      <c r="E63" s="52" t="n">
        <f aca="false">Pivot_Summaries!$F$30</f>
        <v>58.304</v>
      </c>
      <c r="F63" s="72" t="n">
        <f aca="false">INDEX(Pivot_Summaries!$F$6:$F$29, 13)/Pivot_Summaries!$F$30</f>
        <v>1.30949569856789</v>
      </c>
      <c r="G63" s="72" t="n">
        <v>1.05</v>
      </c>
      <c r="H63" s="41" t="n">
        <f aca="false">ROUND(E63*F63*G63, 0)</f>
        <v>80</v>
      </c>
      <c r="I63" s="41" t="n">
        <f aca="false">MAX(1, ROUND(H63 - 1.96 * 25, 0))</f>
        <v>31</v>
      </c>
      <c r="J63" s="41" t="n">
        <f aca="false">ROUND(H63 + 1.96 * 25, 0)</f>
        <v>129</v>
      </c>
      <c r="K63" s="35" t="str">
        <f aca="false">IF(H63&gt;=120, "High Commuter Rush - Rebalance Fleet", IF(H63&lt;=15, "Low Utilization - Schedule Maintenance", "Optimal Operation"))</f>
        <v>Optimal Operation</v>
      </c>
    </row>
    <row r="64" customFormat="false" ht="15" hidden="false" customHeight="false" outlineLevel="0" collapsed="false">
      <c r="A64" s="18" t="n">
        <v>1030</v>
      </c>
      <c r="B64" s="45" t="s">
        <v>411</v>
      </c>
      <c r="C64" s="45" t="s">
        <v>50</v>
      </c>
      <c r="D64" s="33" t="s">
        <v>21</v>
      </c>
      <c r="E64" s="53" t="n">
        <f aca="false">Pivot_Summaries!$F$30</f>
        <v>58.304</v>
      </c>
      <c r="F64" s="54" t="n">
        <f aca="false">INDEX(Pivot_Summaries!$F$6:$F$29, 14)/Pivot_Summaries!$F$30</f>
        <v>1.34659076404666</v>
      </c>
      <c r="G64" s="54" t="n">
        <v>1.05</v>
      </c>
      <c r="H64" s="18" t="n">
        <f aca="false">ROUND(E64*F64*G64, 0)</f>
        <v>82</v>
      </c>
      <c r="I64" s="18" t="n">
        <f aca="false">MAX(1, ROUND(H64 - 1.96 * 25, 0))</f>
        <v>33</v>
      </c>
      <c r="J64" s="18" t="n">
        <f aca="false">ROUND(H64 + 1.96 * 25, 0)</f>
        <v>131</v>
      </c>
      <c r="K64" s="33" t="str">
        <f aca="false">IF(H64&gt;=120, "High Commuter Rush - Rebalance Fleet", IF(H64&lt;=15, "Low Utilization - Schedule Maintenance", "Optimal Operation"))</f>
        <v>Optimal Operation</v>
      </c>
    </row>
    <row r="65" customFormat="false" ht="15" hidden="false" customHeight="false" outlineLevel="0" collapsed="false">
      <c r="A65" s="41" t="n">
        <v>1031</v>
      </c>
      <c r="B65" s="39" t="s">
        <v>411</v>
      </c>
      <c r="C65" s="39" t="s">
        <v>51</v>
      </c>
      <c r="D65" s="35" t="s">
        <v>21</v>
      </c>
      <c r="E65" s="52" t="n">
        <f aca="false">Pivot_Summaries!$F$30</f>
        <v>58.304</v>
      </c>
      <c r="F65" s="72" t="n">
        <f aca="false">INDEX(Pivot_Summaries!$F$6:$F$29, 15)/Pivot_Summaries!$F$30</f>
        <v>1.27638934980727</v>
      </c>
      <c r="G65" s="72" t="n">
        <v>1.05</v>
      </c>
      <c r="H65" s="41" t="n">
        <f aca="false">ROUND(E65*F65*G65, 0)</f>
        <v>78</v>
      </c>
      <c r="I65" s="41" t="n">
        <f aca="false">MAX(1, ROUND(H65 - 1.96 * 25, 0))</f>
        <v>29</v>
      </c>
      <c r="J65" s="41" t="n">
        <f aca="false">ROUND(H65 + 1.96 * 25, 0)</f>
        <v>127</v>
      </c>
      <c r="K65" s="35" t="str">
        <f aca="false">IF(H65&gt;=120, "High Commuter Rush - Rebalance Fleet", IF(H65&lt;=15, "Low Utilization - Schedule Maintenance", "Optimal Operation"))</f>
        <v>Optimal Operation</v>
      </c>
    </row>
    <row r="66" customFormat="false" ht="15" hidden="false" customHeight="false" outlineLevel="0" collapsed="false">
      <c r="A66" s="18" t="n">
        <v>1032</v>
      </c>
      <c r="B66" s="45" t="s">
        <v>411</v>
      </c>
      <c r="C66" s="45" t="s">
        <v>52</v>
      </c>
      <c r="D66" s="33" t="s">
        <v>21</v>
      </c>
      <c r="E66" s="53" t="n">
        <f aca="false">Pivot_Summaries!$F$30</f>
        <v>58.304</v>
      </c>
      <c r="F66" s="54" t="n">
        <f aca="false">INDEX(Pivot_Summaries!$F$6:$F$29, 16)/Pivot_Summaries!$F$30</f>
        <v>1.33701784392311</v>
      </c>
      <c r="G66" s="54" t="n">
        <v>1.05</v>
      </c>
      <c r="H66" s="18" t="n">
        <f aca="false">ROUND(E66*F66*G66, 0)</f>
        <v>82</v>
      </c>
      <c r="I66" s="18" t="n">
        <f aca="false">MAX(1, ROUND(H66 - 1.96 * 25, 0))</f>
        <v>33</v>
      </c>
      <c r="J66" s="18" t="n">
        <f aca="false">ROUND(H66 + 1.96 * 25, 0)</f>
        <v>131</v>
      </c>
      <c r="K66" s="33" t="str">
        <f aca="false">IF(H66&gt;=120, "High Commuter Rush - Rebalance Fleet", IF(H66&lt;=15, "Low Utilization - Schedule Maintenance", "Optimal Operation"))</f>
        <v>Optimal Operation</v>
      </c>
    </row>
    <row r="67" customFormat="false" ht="15" hidden="false" customHeight="false" outlineLevel="0" collapsed="false">
      <c r="A67" s="41" t="n">
        <v>1033</v>
      </c>
      <c r="B67" s="39" t="s">
        <v>411</v>
      </c>
      <c r="C67" s="39" t="s">
        <v>53</v>
      </c>
      <c r="D67" s="35" t="s">
        <v>21</v>
      </c>
      <c r="E67" s="52" t="n">
        <f aca="false">Pivot_Summaries!$F$30</f>
        <v>58.304</v>
      </c>
      <c r="F67" s="72" t="n">
        <f aca="false">INDEX(Pivot_Summaries!$F$6:$F$29, 17)/Pivot_Summaries!$F$30</f>
        <v>1.53115956491368</v>
      </c>
      <c r="G67" s="72" t="n">
        <v>1.05</v>
      </c>
      <c r="H67" s="41" t="n">
        <f aca="false">ROUND(E67*F67*G67, 0)</f>
        <v>94</v>
      </c>
      <c r="I67" s="41" t="n">
        <f aca="false">MAX(1, ROUND(H67 - 1.96 * 25, 0))</f>
        <v>45</v>
      </c>
      <c r="J67" s="41" t="n">
        <f aca="false">ROUND(H67 + 1.96 * 25, 0)</f>
        <v>143</v>
      </c>
      <c r="K67" s="35" t="str">
        <f aca="false">IF(H67&gt;=120, "High Commuter Rush - Rebalance Fleet", IF(H67&lt;=15, "Low Utilization - Schedule Maintenance", "Optimal Operation"))</f>
        <v>Optimal Operation</v>
      </c>
    </row>
    <row r="68" customFormat="false" ht="15" hidden="false" customHeight="false" outlineLevel="0" collapsed="false">
      <c r="A68" s="18" t="n">
        <v>1034</v>
      </c>
      <c r="B68" s="45" t="s">
        <v>411</v>
      </c>
      <c r="C68" s="45" t="s">
        <v>54</v>
      </c>
      <c r="D68" s="33" t="s">
        <v>21</v>
      </c>
      <c r="E68" s="53" t="n">
        <f aca="false">Pivot_Summaries!$F$30</f>
        <v>58.304</v>
      </c>
      <c r="F68" s="54" t="n">
        <f aca="false">INDEX(Pivot_Summaries!$F$6:$F$29, 18)/Pivot_Summaries!$F$30</f>
        <v>2.40471572198383</v>
      </c>
      <c r="G68" s="54" t="n">
        <v>1.05</v>
      </c>
      <c r="H68" s="18" t="n">
        <f aca="false">ROUND(E68*F68*G68, 0)</f>
        <v>147</v>
      </c>
      <c r="I68" s="18" t="n">
        <f aca="false">MAX(1, ROUND(H68 - 1.96 * 25, 0))</f>
        <v>98</v>
      </c>
      <c r="J68" s="18" t="n">
        <f aca="false">ROUND(H68 + 1.96 * 25, 0)</f>
        <v>196</v>
      </c>
      <c r="K68" s="33" t="str">
        <f aca="false">IF(H68&gt;=120, "High Commuter Rush - Rebalance Fleet", IF(H68&lt;=15, "Low Utilization - Schedule Maintenance", "Optimal Operation"))</f>
        <v>High Commuter Rush - Rebalance Fleet</v>
      </c>
    </row>
    <row r="69" customFormat="false" ht="15" hidden="false" customHeight="false" outlineLevel="0" collapsed="false">
      <c r="A69" s="41" t="n">
        <v>1035</v>
      </c>
      <c r="B69" s="39" t="s">
        <v>411</v>
      </c>
      <c r="C69" s="39" t="s">
        <v>55</v>
      </c>
      <c r="D69" s="35" t="s">
        <v>21</v>
      </c>
      <c r="E69" s="52" t="n">
        <f aca="false">Pivot_Summaries!$F$30</f>
        <v>58.304</v>
      </c>
      <c r="F69" s="72" t="n">
        <f aca="false">INDEX(Pivot_Summaries!$F$6:$F$29, 19)/Pivot_Summaries!$F$30</f>
        <v>2.10723904219743</v>
      </c>
      <c r="G69" s="72" t="n">
        <v>1.05</v>
      </c>
      <c r="H69" s="41" t="n">
        <f aca="false">ROUND(E69*F69*G69, 0)</f>
        <v>129</v>
      </c>
      <c r="I69" s="41" t="n">
        <f aca="false">MAX(1, ROUND(H69 - 1.96 * 25, 0))</f>
        <v>80</v>
      </c>
      <c r="J69" s="41" t="n">
        <f aca="false">ROUND(H69 + 1.96 * 25, 0)</f>
        <v>178</v>
      </c>
      <c r="K69" s="35" t="str">
        <f aca="false">IF(H69&gt;=120, "High Commuter Rush - Rebalance Fleet", IF(H69&lt;=15, "Low Utilization - Schedule Maintenance", "Optimal Operation"))</f>
        <v>High Commuter Rush - Rebalance Fleet</v>
      </c>
    </row>
    <row r="70" customFormat="false" ht="15" hidden="false" customHeight="false" outlineLevel="0" collapsed="false">
      <c r="A70" s="18" t="n">
        <v>1036</v>
      </c>
      <c r="B70" s="45" t="s">
        <v>411</v>
      </c>
      <c r="C70" s="45" t="s">
        <v>56</v>
      </c>
      <c r="D70" s="33" t="s">
        <v>21</v>
      </c>
      <c r="E70" s="53" t="n">
        <f aca="false">Pivot_Summaries!$F$30</f>
        <v>58.304</v>
      </c>
      <c r="F70" s="54" t="n">
        <f aca="false">INDEX(Pivot_Summaries!$F$6:$F$29, 20)/Pivot_Summaries!$F$30</f>
        <v>1.46026919051387</v>
      </c>
      <c r="G70" s="54" t="n">
        <v>1.05</v>
      </c>
      <c r="H70" s="18" t="n">
        <f aca="false">ROUND(E70*F70*G70, 0)</f>
        <v>89</v>
      </c>
      <c r="I70" s="18" t="n">
        <f aca="false">MAX(1, ROUND(H70 - 1.96 * 25, 0))</f>
        <v>40</v>
      </c>
      <c r="J70" s="18" t="n">
        <f aca="false">ROUND(H70 + 1.96 * 25, 0)</f>
        <v>138</v>
      </c>
      <c r="K70" s="33" t="str">
        <f aca="false">IF(H70&gt;=120, "High Commuter Rush - Rebalance Fleet", IF(H70&lt;=15, "Low Utilization - Schedule Maintenance", "Optimal Operation"))</f>
        <v>Optimal Operation</v>
      </c>
    </row>
    <row r="71" customFormat="false" ht="15" hidden="false" customHeight="false" outlineLevel="0" collapsed="false">
      <c r="A71" s="41" t="n">
        <v>1037</v>
      </c>
      <c r="B71" s="39" t="s">
        <v>411</v>
      </c>
      <c r="C71" s="39" t="s">
        <v>57</v>
      </c>
      <c r="D71" s="35" t="s">
        <v>21</v>
      </c>
      <c r="E71" s="52" t="n">
        <f aca="false">Pivot_Summaries!$F$30</f>
        <v>58.304</v>
      </c>
      <c r="F71" s="72" t="n">
        <f aca="false">INDEX(Pivot_Summaries!$F$6:$F$29, 21)/Pivot_Summaries!$F$30</f>
        <v>1.05940316034003</v>
      </c>
      <c r="G71" s="72" t="n">
        <v>1.05</v>
      </c>
      <c r="H71" s="41" t="n">
        <f aca="false">ROUND(E71*F71*G71, 0)</f>
        <v>65</v>
      </c>
      <c r="I71" s="41" t="n">
        <f aca="false">MAX(1, ROUND(H71 - 1.96 * 25, 0))</f>
        <v>16</v>
      </c>
      <c r="J71" s="41" t="n">
        <f aca="false">ROUND(H71 + 1.96 * 25, 0)</f>
        <v>114</v>
      </c>
      <c r="K71" s="35" t="str">
        <f aca="false">IF(H71&gt;=120, "High Commuter Rush - Rebalance Fleet", IF(H71&lt;=15, "Low Utilization - Schedule Maintenance", "Optimal Operation"))</f>
        <v>Optimal Operation</v>
      </c>
    </row>
    <row r="72" customFormat="false" ht="15" hidden="false" customHeight="false" outlineLevel="0" collapsed="false">
      <c r="A72" s="18" t="n">
        <v>1038</v>
      </c>
      <c r="B72" s="45" t="s">
        <v>411</v>
      </c>
      <c r="C72" s="45" t="s">
        <v>58</v>
      </c>
      <c r="D72" s="33" t="s">
        <v>21</v>
      </c>
      <c r="E72" s="53" t="n">
        <f aca="false">Pivot_Summaries!$F$30</f>
        <v>58.304</v>
      </c>
      <c r="F72" s="54" t="n">
        <f aca="false">INDEX(Pivot_Summaries!$F$6:$F$29, 22)/Pivot_Summaries!$F$30</f>
        <v>0.796147856942282</v>
      </c>
      <c r="G72" s="54" t="n">
        <v>1.05</v>
      </c>
      <c r="H72" s="18" t="n">
        <f aca="false">ROUND(E72*F72*G72, 0)</f>
        <v>49</v>
      </c>
      <c r="I72" s="18" t="n">
        <f aca="false">MAX(1, ROUND(H72 - 1.96 * 25, 0))</f>
        <v>1</v>
      </c>
      <c r="J72" s="18" t="n">
        <f aca="false">ROUND(H72 + 1.96 * 25, 0)</f>
        <v>98</v>
      </c>
      <c r="K72" s="33" t="str">
        <f aca="false">IF(H72&gt;=120, "High Commuter Rush - Rebalance Fleet", IF(H72&lt;=15, "Low Utilization - Schedule Maintenance", "Optimal Operation"))</f>
        <v>Optimal Operation</v>
      </c>
    </row>
    <row r="73" customFormat="false" ht="15" hidden="false" customHeight="false" outlineLevel="0" collapsed="false">
      <c r="A73" s="41" t="n">
        <v>1039</v>
      </c>
      <c r="B73" s="39" t="s">
        <v>411</v>
      </c>
      <c r="C73" s="39" t="s">
        <v>59</v>
      </c>
      <c r="D73" s="35" t="s">
        <v>21</v>
      </c>
      <c r="E73" s="52" t="n">
        <f aca="false">Pivot_Summaries!$F$30</f>
        <v>58.304</v>
      </c>
      <c r="F73" s="72" t="n">
        <f aca="false">INDEX(Pivot_Summaries!$F$6:$F$29, 23)/Pivot_Summaries!$F$30</f>
        <v>0.601498481096674</v>
      </c>
      <c r="G73" s="72" t="n">
        <v>1.05</v>
      </c>
      <c r="H73" s="41" t="n">
        <f aca="false">ROUND(E73*F73*G73, 0)</f>
        <v>37</v>
      </c>
      <c r="I73" s="41" t="n">
        <f aca="false">MAX(1, ROUND(H73 - 1.96 * 25, 0))</f>
        <v>1</v>
      </c>
      <c r="J73" s="41" t="n">
        <f aca="false">ROUND(H73 + 1.96 * 25, 0)</f>
        <v>86</v>
      </c>
      <c r="K73" s="35" t="str">
        <f aca="false">IF(H73&gt;=120, "High Commuter Rush - Rebalance Fleet", IF(H73&lt;=15, "Low Utilization - Schedule Maintenance", "Optimal Operation"))</f>
        <v>Optimal Operation</v>
      </c>
    </row>
    <row r="74" customFormat="false" ht="15" hidden="false" customHeight="false" outlineLevel="0" collapsed="false">
      <c r="A74" s="18" t="n">
        <v>1040</v>
      </c>
      <c r="B74" s="45" t="s">
        <v>411</v>
      </c>
      <c r="C74" s="45" t="s">
        <v>60</v>
      </c>
      <c r="D74" s="33" t="s">
        <v>21</v>
      </c>
      <c r="E74" s="53" t="n">
        <f aca="false">Pivot_Summaries!$F$30</f>
        <v>58.304</v>
      </c>
      <c r="F74" s="54" t="n">
        <f aca="false">INDEX(Pivot_Summaries!$F$6:$F$29, 24)/Pivot_Summaries!$F$30</f>
        <v>0.431978020575396</v>
      </c>
      <c r="G74" s="54" t="n">
        <v>1.05</v>
      </c>
      <c r="H74" s="18" t="n">
        <f aca="false">ROUND(E74*F74*G74, 0)</f>
        <v>26</v>
      </c>
      <c r="I74" s="18" t="n">
        <f aca="false">MAX(1, ROUND(H74 - 1.96 * 25, 0))</f>
        <v>1</v>
      </c>
      <c r="J74" s="18" t="n">
        <f aca="false">ROUND(H74 + 1.96 * 25, 0)</f>
        <v>75</v>
      </c>
      <c r="K74" s="33" t="str">
        <f aca="false">IF(H74&gt;=120, "High Commuter Rush - Rebalance Fleet", IF(H74&lt;=15, "Low Utilization - Schedule Maintenance", "Optimal Operation"))</f>
        <v>Optimal Operation</v>
      </c>
    </row>
    <row r="75" customFormat="false" ht="15" hidden="false" customHeight="false" outlineLevel="0" collapsed="false">
      <c r="A75" s="41" t="n">
        <v>1041</v>
      </c>
      <c r="B75" s="39" t="s">
        <v>412</v>
      </c>
      <c r="C75" s="39" t="s">
        <v>31</v>
      </c>
      <c r="D75" s="35" t="s">
        <v>22</v>
      </c>
      <c r="E75" s="52" t="n">
        <f aca="false">Pivot_Summaries!$F$30</f>
        <v>58.304</v>
      </c>
      <c r="F75" s="72" t="n">
        <f aca="false">INDEX(Pivot_Summaries!$F$6:$F$29, 1)/Pivot_Summaries!$F$30</f>
        <v>0.280406785285784</v>
      </c>
      <c r="G75" s="72" t="n">
        <v>1.05</v>
      </c>
      <c r="H75" s="41" t="n">
        <f aca="false">ROUND(E75*F75*G75, 0)</f>
        <v>17</v>
      </c>
      <c r="I75" s="41" t="n">
        <f aca="false">MAX(1, ROUND(H75 - 1.96 * 25, 0))</f>
        <v>1</v>
      </c>
      <c r="J75" s="41" t="n">
        <f aca="false">ROUND(H75 + 1.96 * 25, 0)</f>
        <v>66</v>
      </c>
      <c r="K75" s="35" t="str">
        <f aca="false">IF(H75&gt;=120, "High Commuter Rush - Rebalance Fleet", IF(H75&lt;=15, "Low Utilization - Schedule Maintenance", "Optimal Operation"))</f>
        <v>Optimal Operation</v>
      </c>
    </row>
    <row r="76" customFormat="false" ht="15" hidden="false" customHeight="false" outlineLevel="0" collapsed="false">
      <c r="A76" s="18" t="n">
        <v>1042</v>
      </c>
      <c r="B76" s="45" t="s">
        <v>412</v>
      </c>
      <c r="C76" s="45" t="s">
        <v>33</v>
      </c>
      <c r="D76" s="33" t="s">
        <v>22</v>
      </c>
      <c r="E76" s="53" t="n">
        <f aca="false">Pivot_Summaries!$F$30</f>
        <v>58.304</v>
      </c>
      <c r="F76" s="54" t="n">
        <f aca="false">INDEX(Pivot_Summaries!$F$6:$F$29, 2)/Pivot_Summaries!$F$30</f>
        <v>0.183480969034794</v>
      </c>
      <c r="G76" s="54" t="n">
        <v>1.05</v>
      </c>
      <c r="H76" s="18" t="n">
        <f aca="false">ROUND(E76*F76*G76, 0)</f>
        <v>11</v>
      </c>
      <c r="I76" s="18" t="n">
        <f aca="false">MAX(1, ROUND(H76 - 1.96 * 25, 0))</f>
        <v>1</v>
      </c>
      <c r="J76" s="18" t="n">
        <f aca="false">ROUND(H76 + 1.96 * 25, 0)</f>
        <v>60</v>
      </c>
      <c r="K76" s="33" t="str">
        <f aca="false">IF(H76&gt;=120, "High Commuter Rush - Rebalance Fleet", IF(H76&lt;=15, "Low Utilization - Schedule Maintenance", "Optimal Operation"))</f>
        <v>Low Utilization - Schedule Maintenance</v>
      </c>
    </row>
    <row r="77" customFormat="false" ht="15" hidden="false" customHeight="false" outlineLevel="0" collapsed="false">
      <c r="A77" s="41" t="n">
        <v>1043</v>
      </c>
      <c r="B77" s="39" t="s">
        <v>412</v>
      </c>
      <c r="C77" s="39" t="s">
        <v>35</v>
      </c>
      <c r="D77" s="35" t="s">
        <v>22</v>
      </c>
      <c r="E77" s="52" t="n">
        <f aca="false">Pivot_Summaries!$F$30</f>
        <v>58.304</v>
      </c>
      <c r="F77" s="72" t="n">
        <f aca="false">INDEX(Pivot_Summaries!$F$6:$F$29, 3)/Pivot_Summaries!$F$30</f>
        <v>0.122988675002008</v>
      </c>
      <c r="G77" s="72" t="n">
        <v>1.05</v>
      </c>
      <c r="H77" s="41" t="n">
        <f aca="false">ROUND(E77*F77*G77, 0)</f>
        <v>8</v>
      </c>
      <c r="I77" s="41" t="n">
        <f aca="false">MAX(1, ROUND(H77 - 1.96 * 25, 0))</f>
        <v>1</v>
      </c>
      <c r="J77" s="41" t="n">
        <f aca="false">ROUND(H77 + 1.96 * 25, 0)</f>
        <v>57</v>
      </c>
      <c r="K77" s="35" t="str">
        <f aca="false">IF(H77&gt;=120, "High Commuter Rush - Rebalance Fleet", IF(H77&lt;=15, "Low Utilization - Schedule Maintenance", "Optimal Operation"))</f>
        <v>Low Utilization - Schedule Maintenance</v>
      </c>
    </row>
    <row r="78" customFormat="false" ht="15" hidden="false" customHeight="false" outlineLevel="0" collapsed="false">
      <c r="A78" s="18" t="n">
        <v>1044</v>
      </c>
      <c r="B78" s="45" t="s">
        <v>412</v>
      </c>
      <c r="C78" s="45" t="s">
        <v>37</v>
      </c>
      <c r="D78" s="33" t="s">
        <v>22</v>
      </c>
      <c r="E78" s="53" t="n">
        <f aca="false">Pivot_Summaries!$F$30</f>
        <v>58.304</v>
      </c>
      <c r="F78" s="54" t="n">
        <f aca="false">INDEX(Pivot_Summaries!$F$6:$F$29, 4)/Pivot_Summaries!$F$30</f>
        <v>0.0835443150030098</v>
      </c>
      <c r="G78" s="54" t="n">
        <v>1.05</v>
      </c>
      <c r="H78" s="18" t="n">
        <f aca="false">ROUND(E78*F78*G78, 0)</f>
        <v>5</v>
      </c>
      <c r="I78" s="18" t="n">
        <f aca="false">MAX(1, ROUND(H78 - 1.96 * 25, 0))</f>
        <v>1</v>
      </c>
      <c r="J78" s="18" t="n">
        <f aca="false">ROUND(H78 + 1.96 * 25, 0)</f>
        <v>54</v>
      </c>
      <c r="K78" s="33" t="str">
        <f aca="false">IF(H78&gt;=120, "High Commuter Rush - Rebalance Fleet", IF(H78&lt;=15, "Low Utilization - Schedule Maintenance", "Optimal Operation"))</f>
        <v>Low Utilization - Schedule Maintenance</v>
      </c>
    </row>
    <row r="79" customFormat="false" ht="15" hidden="false" customHeight="false" outlineLevel="0" collapsed="false">
      <c r="A79" s="41" t="n">
        <v>1045</v>
      </c>
      <c r="B79" s="39" t="s">
        <v>412</v>
      </c>
      <c r="C79" s="39" t="s">
        <v>39</v>
      </c>
      <c r="D79" s="35" t="s">
        <v>22</v>
      </c>
      <c r="E79" s="52" t="n">
        <f aca="false">Pivot_Summaries!$F$30</f>
        <v>58.304</v>
      </c>
      <c r="F79" s="72" t="n">
        <f aca="false">INDEX(Pivot_Summaries!$F$6:$F$29, 5)/Pivot_Summaries!$F$30</f>
        <v>0.0369828828210757</v>
      </c>
      <c r="G79" s="72" t="n">
        <v>1.05</v>
      </c>
      <c r="H79" s="41" t="n">
        <f aca="false">ROUND(E79*F79*G79, 0)</f>
        <v>2</v>
      </c>
      <c r="I79" s="41" t="n">
        <f aca="false">MAX(1, ROUND(H79 - 1.96 * 25, 0))</f>
        <v>1</v>
      </c>
      <c r="J79" s="41" t="n">
        <f aca="false">ROUND(H79 + 1.96 * 25, 0)</f>
        <v>51</v>
      </c>
      <c r="K79" s="35" t="str">
        <f aca="false">IF(H79&gt;=120, "High Commuter Rush - Rebalance Fleet", IF(H79&lt;=15, "Low Utilization - Schedule Maintenance", "Optimal Operation"))</f>
        <v>Low Utilization - Schedule Maintenance</v>
      </c>
    </row>
    <row r="80" customFormat="false" ht="15" hidden="false" customHeight="false" outlineLevel="0" collapsed="false">
      <c r="A80" s="18" t="n">
        <v>1046</v>
      </c>
      <c r="B80" s="45" t="s">
        <v>412</v>
      </c>
      <c r="C80" s="45" t="s">
        <v>42</v>
      </c>
      <c r="D80" s="33" t="s">
        <v>22</v>
      </c>
      <c r="E80" s="53" t="n">
        <f aca="false">Pivot_Summaries!$F$30</f>
        <v>58.304</v>
      </c>
      <c r="F80" s="54" t="n">
        <f aca="false">INDEX(Pivot_Summaries!$F$6:$F$29, 6)/Pivot_Summaries!$F$30</f>
        <v>0.0721241802471221</v>
      </c>
      <c r="G80" s="54" t="n">
        <v>1.05</v>
      </c>
      <c r="H80" s="18" t="n">
        <f aca="false">ROUND(E80*F80*G80, 0)</f>
        <v>4</v>
      </c>
      <c r="I80" s="18" t="n">
        <f aca="false">MAX(1, ROUND(H80 - 1.96 * 25, 0))</f>
        <v>1</v>
      </c>
      <c r="J80" s="18" t="n">
        <f aca="false">ROUND(H80 + 1.96 * 25, 0)</f>
        <v>53</v>
      </c>
      <c r="K80" s="33" t="str">
        <f aca="false">IF(H80&gt;=120, "High Commuter Rush - Rebalance Fleet", IF(H80&lt;=15, "Low Utilization - Schedule Maintenance", "Optimal Operation"))</f>
        <v>Low Utilization - Schedule Maintenance</v>
      </c>
    </row>
    <row r="81" customFormat="false" ht="15" hidden="false" customHeight="false" outlineLevel="0" collapsed="false">
      <c r="A81" s="41" t="n">
        <v>1047</v>
      </c>
      <c r="B81" s="39" t="s">
        <v>412</v>
      </c>
      <c r="C81" s="39" t="s">
        <v>43</v>
      </c>
      <c r="D81" s="35" t="s">
        <v>22</v>
      </c>
      <c r="E81" s="52" t="n">
        <f aca="false">Pivot_Summaries!$F$30</f>
        <v>58.304</v>
      </c>
      <c r="F81" s="72" t="n">
        <f aca="false">INDEX(Pivot_Summaries!$F$6:$F$29, 7)/Pivot_Summaries!$F$30</f>
        <v>0.33567900266583</v>
      </c>
      <c r="G81" s="72" t="n">
        <v>1.05</v>
      </c>
      <c r="H81" s="41" t="n">
        <f aca="false">ROUND(E81*F81*G81, 0)</f>
        <v>21</v>
      </c>
      <c r="I81" s="41" t="n">
        <f aca="false">MAX(1, ROUND(H81 - 1.96 * 25, 0))</f>
        <v>1</v>
      </c>
      <c r="J81" s="41" t="n">
        <f aca="false">ROUND(H81 + 1.96 * 25, 0)</f>
        <v>70</v>
      </c>
      <c r="K81" s="35" t="str">
        <f aca="false">IF(H81&gt;=120, "High Commuter Rush - Rebalance Fleet", IF(H81&lt;=15, "Low Utilization - Schedule Maintenance", "Optimal Operation"))</f>
        <v>Optimal Operation</v>
      </c>
    </row>
    <row r="82" customFormat="false" ht="15" hidden="false" customHeight="false" outlineLevel="0" collapsed="false">
      <c r="A82" s="18" t="n">
        <v>1048</v>
      </c>
      <c r="B82" s="45" t="s">
        <v>412</v>
      </c>
      <c r="C82" s="45" t="s">
        <v>44</v>
      </c>
      <c r="D82" s="33" t="s">
        <v>22</v>
      </c>
      <c r="E82" s="53" t="n">
        <f aca="false">Pivot_Summaries!$F$30</f>
        <v>58.304</v>
      </c>
      <c r="F82" s="54" t="n">
        <f aca="false">INDEX(Pivot_Summaries!$F$6:$F$29, 8)/Pivot_Summaries!$F$30</f>
        <v>0.932960840374748</v>
      </c>
      <c r="G82" s="54" t="n">
        <v>1.05</v>
      </c>
      <c r="H82" s="18" t="n">
        <f aca="false">ROUND(E82*F82*G82, 0)</f>
        <v>57</v>
      </c>
      <c r="I82" s="18" t="n">
        <f aca="false">MAX(1, ROUND(H82 - 1.96 * 25, 0))</f>
        <v>8</v>
      </c>
      <c r="J82" s="18" t="n">
        <f aca="false">ROUND(H82 + 1.96 * 25, 0)</f>
        <v>106</v>
      </c>
      <c r="K82" s="33" t="str">
        <f aca="false">IF(H82&gt;=120, "High Commuter Rush - Rebalance Fleet", IF(H82&lt;=15, "Low Utilization - Schedule Maintenance", "Optimal Operation"))</f>
        <v>Optimal Operation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4"/>
    <col collapsed="false" customWidth="true" hidden="false" outlineLevel="0" max="3" min="3" style="0" width="27"/>
    <col collapsed="false" customWidth="true" hidden="false" outlineLevel="0" max="4" min="4" style="0" width="53"/>
    <col collapsed="false" customWidth="true" hidden="false" outlineLevel="0" max="5" min="5" style="0" width="60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413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414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15" t="s">
        <v>415</v>
      </c>
      <c r="B4" s="15" t="s">
        <v>155</v>
      </c>
      <c r="C4" s="15" t="s">
        <v>416</v>
      </c>
      <c r="D4" s="15" t="s">
        <v>417</v>
      </c>
      <c r="E4" s="15" t="s">
        <v>418</v>
      </c>
    </row>
    <row r="5" customFormat="false" ht="36" hidden="false" customHeight="true" outlineLevel="0" collapsed="false">
      <c r="A5" s="36" t="s">
        <v>419</v>
      </c>
      <c r="B5" s="73" t="s">
        <v>420</v>
      </c>
      <c r="C5" s="35" t="s">
        <v>421</v>
      </c>
      <c r="D5" s="35" t="s">
        <v>422</v>
      </c>
      <c r="E5" s="35" t="s">
        <v>423</v>
      </c>
    </row>
    <row r="6" customFormat="false" ht="36" hidden="false" customHeight="true" outlineLevel="0" collapsed="false">
      <c r="A6" s="34" t="s">
        <v>424</v>
      </c>
      <c r="B6" s="17" t="s">
        <v>420</v>
      </c>
      <c r="C6" s="33" t="s">
        <v>425</v>
      </c>
      <c r="D6" s="33" t="s">
        <v>426</v>
      </c>
      <c r="E6" s="33" t="s">
        <v>427</v>
      </c>
    </row>
    <row r="7" customFormat="false" ht="36" hidden="false" customHeight="true" outlineLevel="0" collapsed="false">
      <c r="A7" s="36" t="s">
        <v>428</v>
      </c>
      <c r="B7" s="73" t="s">
        <v>420</v>
      </c>
      <c r="C7" s="35" t="s">
        <v>429</v>
      </c>
      <c r="D7" s="35" t="s">
        <v>430</v>
      </c>
      <c r="E7" s="35" t="s">
        <v>431</v>
      </c>
    </row>
    <row r="8" customFormat="false" ht="36" hidden="false" customHeight="true" outlineLevel="0" collapsed="false">
      <c r="A8" s="34" t="s">
        <v>432</v>
      </c>
      <c r="B8" s="17" t="s">
        <v>433</v>
      </c>
      <c r="C8" s="33" t="s">
        <v>434</v>
      </c>
      <c r="D8" s="33" t="s">
        <v>435</v>
      </c>
      <c r="E8" s="33" t="s">
        <v>436</v>
      </c>
    </row>
    <row r="9" customFormat="false" ht="36" hidden="false" customHeight="true" outlineLevel="0" collapsed="false">
      <c r="A9" s="36" t="s">
        <v>437</v>
      </c>
      <c r="B9" s="73" t="s">
        <v>433</v>
      </c>
      <c r="C9" s="35" t="s">
        <v>434</v>
      </c>
      <c r="D9" s="35" t="s">
        <v>438</v>
      </c>
      <c r="E9" s="35" t="s">
        <v>439</v>
      </c>
    </row>
    <row r="10" customFormat="false" ht="36" hidden="false" customHeight="true" outlineLevel="0" collapsed="false">
      <c r="A10" s="34" t="s">
        <v>440</v>
      </c>
      <c r="B10" s="17" t="s">
        <v>433</v>
      </c>
      <c r="C10" s="33" t="s">
        <v>434</v>
      </c>
      <c r="D10" s="33" t="s">
        <v>441</v>
      </c>
      <c r="E10" s="33" t="s">
        <v>442</v>
      </c>
    </row>
    <row r="13" customFormat="false" ht="15" hidden="false" customHeight="false" outlineLevel="0" collapsed="false">
      <c r="A13" s="32" t="s">
        <v>443</v>
      </c>
    </row>
    <row r="14" customFormat="false" ht="15" hidden="false" customHeight="false" outlineLevel="0" collapsed="false">
      <c r="A14" s="74" t="s">
        <v>444</v>
      </c>
    </row>
    <row r="15" customFormat="false" ht="15" hidden="false" customHeight="false" outlineLevel="0" collapsed="false">
      <c r="A15" s="74" t="s">
        <v>445</v>
      </c>
    </row>
    <row r="16" customFormat="false" ht="15" hidden="false" customHeight="false" outlineLevel="0" collapsed="false">
      <c r="A16" s="74" t="s">
        <v>446</v>
      </c>
    </row>
    <row r="17" customFormat="false" ht="15" hidden="false" customHeight="false" outlineLevel="0" collapsed="false">
      <c r="A17" s="74" t="s">
        <v>447</v>
      </c>
    </row>
    <row r="18" customFormat="false" ht="15" hidden="false" customHeight="false" outlineLevel="0" collapsed="false">
      <c r="A18" s="74" t="s">
        <v>448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2026-10-10T06:15:29Z</dcterms:created>
  <dc:creator>openpyxl</dc:creator>
  <dc:description/>
  <dc:language>en-US</dc:language>
  <cp:lastModifiedBy/>
  <dcterms:modified xsi:type="dcterms:W3CDTF">2026-10-10T06:15:33Z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